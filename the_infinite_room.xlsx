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91913\Desktop\Excel Project\"/>
    </mc:Choice>
  </mc:AlternateContent>
  <xr:revisionPtr revIDLastSave="0" documentId="13_ncr:1_{9AAEA684-1AE0-4622-8CCC-0812335B63A1}" xr6:coauthVersionLast="47" xr6:coauthVersionMax="47" xr10:uidLastSave="{00000000-0000-0000-0000-000000000000}"/>
  <bookViews>
    <workbookView xWindow="-108" yWindow="-108" windowWidth="23256" windowHeight="12456" xr2:uid="{011EFB2C-BAB8-4F2E-9A57-80A822B1D9B3}"/>
  </bookViews>
  <sheets>
    <sheet name="DASHBOARD" sheetId="3" r:id="rId1"/>
    <sheet name="TABLES" sheetId="6" r:id="rId2"/>
    <sheet name="DATASET" sheetId="1" r:id="rId3"/>
  </sheets>
  <definedNames>
    <definedName name="_xlchart.v1.0" hidden="1">TABLES!$N$22:$N$29</definedName>
    <definedName name="_xlchart.v1.1" hidden="1">TABLES!$O$20:$O$21</definedName>
    <definedName name="_xlchart.v1.10" hidden="1">TABLES!$S$22:$S$29</definedName>
    <definedName name="_xlchart.v1.11" hidden="1">TABLES!$T$20:$T$21</definedName>
    <definedName name="_xlchart.v1.12" hidden="1">TABLES!$T$22:$T$29</definedName>
    <definedName name="_xlchart.v1.2" hidden="1">TABLES!$O$22:$O$29</definedName>
    <definedName name="_xlchart.v1.3" hidden="1">TABLES!$P$20:$P$21</definedName>
    <definedName name="_xlchart.v1.4" hidden="1">TABLES!$P$22:$P$29</definedName>
    <definedName name="_xlchart.v1.5" hidden="1">TABLES!$Q$20:$Q$21</definedName>
    <definedName name="_xlchart.v1.6" hidden="1">TABLES!$Q$22:$Q$29</definedName>
    <definedName name="_xlchart.v1.7" hidden="1">TABLES!$R$20:$R$21</definedName>
    <definedName name="_xlchart.v1.8" hidden="1">TABLES!$R$22:$R$29</definedName>
    <definedName name="_xlchart.v1.9" hidden="1">TABLES!$S$20:$S$21</definedName>
    <definedName name="NativeTimeline_Purchase_Date">#N/A</definedName>
    <definedName name="Slicer_Brand">#N/A</definedName>
    <definedName name="Slicer_Category">#N/A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calcChain.xml><?xml version="1.0" encoding="utf-8"?>
<calcChain xmlns="http://schemas.openxmlformats.org/spreadsheetml/2006/main">
  <c r="S3" i="1" l="1"/>
  <c r="S4" i="1"/>
  <c r="S6" i="1"/>
  <c r="S8" i="1"/>
  <c r="S10" i="1"/>
  <c r="S11" i="1"/>
  <c r="S12" i="1"/>
  <c r="S15" i="1"/>
  <c r="S18" i="1"/>
  <c r="S19" i="1"/>
  <c r="S21" i="1"/>
  <c r="S22" i="1"/>
  <c r="S23" i="1"/>
  <c r="S25" i="1"/>
  <c r="S28" i="1"/>
  <c r="S29" i="1"/>
  <c r="S31" i="1"/>
  <c r="S32" i="1"/>
  <c r="S33" i="1"/>
  <c r="S34" i="1"/>
  <c r="S35" i="1"/>
  <c r="S36" i="1"/>
  <c r="S37" i="1"/>
  <c r="S38" i="1"/>
  <c r="S39" i="1"/>
  <c r="S43" i="1"/>
  <c r="S44" i="1"/>
  <c r="S46" i="1"/>
  <c r="S47" i="1"/>
  <c r="S49" i="1"/>
  <c r="S50" i="1"/>
  <c r="S51" i="1"/>
  <c r="S53" i="1"/>
  <c r="S56" i="1"/>
  <c r="S58" i="1"/>
  <c r="S59" i="1"/>
  <c r="S60" i="1"/>
  <c r="S62" i="1"/>
  <c r="S63" i="1"/>
  <c r="S64" i="1"/>
  <c r="S66" i="1"/>
  <c r="S67" i="1"/>
  <c r="S71" i="1"/>
  <c r="S72" i="1"/>
  <c r="S73" i="1"/>
  <c r="S74" i="1"/>
  <c r="S75" i="1"/>
  <c r="S78" i="1"/>
  <c r="S80" i="1"/>
  <c r="S81" i="1"/>
  <c r="S82" i="1"/>
  <c r="S83" i="1"/>
  <c r="S84" i="1"/>
  <c r="S85" i="1"/>
  <c r="S86" i="1"/>
  <c r="S87" i="1"/>
  <c r="S88" i="1"/>
  <c r="S89" i="1"/>
  <c r="S91" i="1"/>
  <c r="S92" i="1"/>
  <c r="S93" i="1"/>
  <c r="S94" i="1"/>
  <c r="S95" i="1"/>
  <c r="S96" i="1"/>
  <c r="S97" i="1"/>
  <c r="S99" i="1"/>
  <c r="S100" i="1"/>
  <c r="S108" i="1"/>
  <c r="S109" i="1"/>
  <c r="S111" i="1"/>
  <c r="S112" i="1"/>
  <c r="S113" i="1"/>
  <c r="S115" i="1"/>
  <c r="S116" i="1"/>
  <c r="S117" i="1"/>
  <c r="S118" i="1"/>
  <c r="S119" i="1"/>
  <c r="S120" i="1"/>
  <c r="S124" i="1"/>
  <c r="S128" i="1"/>
  <c r="S129" i="1"/>
  <c r="S132" i="1"/>
  <c r="S133" i="1"/>
  <c r="S134" i="1"/>
  <c r="S136" i="1"/>
  <c r="S137" i="1"/>
  <c r="S138" i="1"/>
  <c r="S140" i="1"/>
  <c r="S142" i="1"/>
  <c r="S143" i="1"/>
  <c r="S145" i="1"/>
  <c r="S146" i="1"/>
  <c r="S147" i="1"/>
  <c r="S148" i="1"/>
  <c r="S151" i="1"/>
  <c r="S152" i="1"/>
  <c r="S153" i="1"/>
  <c r="S154" i="1"/>
  <c r="S155" i="1"/>
  <c r="S156" i="1"/>
  <c r="S157" i="1"/>
  <c r="S159" i="1"/>
  <c r="S161" i="1"/>
  <c r="S163" i="1"/>
  <c r="S164" i="1"/>
  <c r="S165" i="1"/>
  <c r="S166" i="1"/>
  <c r="S167" i="1"/>
  <c r="S168" i="1"/>
  <c r="S169" i="1"/>
  <c r="S170" i="1"/>
  <c r="S172" i="1"/>
  <c r="S175" i="1"/>
  <c r="S177" i="1"/>
  <c r="S178" i="1"/>
  <c r="S180" i="1"/>
  <c r="S181" i="1"/>
  <c r="S182" i="1"/>
  <c r="S183" i="1"/>
  <c r="S184" i="1"/>
  <c r="S185" i="1"/>
  <c r="S186" i="1"/>
  <c r="S189" i="1"/>
  <c r="S190" i="1"/>
  <c r="S191" i="1"/>
  <c r="S192" i="1"/>
  <c r="S194" i="1"/>
  <c r="S195" i="1"/>
  <c r="S196" i="1"/>
  <c r="S197" i="1"/>
  <c r="S198" i="1"/>
  <c r="S199" i="1"/>
  <c r="S200" i="1"/>
  <c r="S201" i="1"/>
  <c r="S202" i="1"/>
  <c r="S204" i="1"/>
  <c r="S205" i="1"/>
  <c r="S206" i="1"/>
  <c r="S207" i="1"/>
  <c r="S208" i="1"/>
  <c r="S209" i="1"/>
  <c r="S211" i="1"/>
  <c r="S212" i="1"/>
  <c r="S213" i="1"/>
  <c r="S214" i="1"/>
  <c r="S216" i="1"/>
  <c r="S217" i="1"/>
  <c r="S218" i="1"/>
  <c r="S219" i="1"/>
  <c r="S221" i="1"/>
  <c r="S223" i="1"/>
  <c r="S224" i="1"/>
  <c r="S225" i="1"/>
  <c r="S226" i="1"/>
  <c r="S227" i="1"/>
  <c r="S228" i="1"/>
  <c r="S229" i="1"/>
  <c r="S230" i="1"/>
  <c r="S231" i="1"/>
  <c r="S232" i="1"/>
  <c r="S233" i="1"/>
  <c r="S234" i="1"/>
  <c r="S235" i="1"/>
  <c r="S237" i="1"/>
  <c r="S238" i="1"/>
  <c r="S239" i="1"/>
  <c r="S240" i="1"/>
  <c r="S242" i="1"/>
  <c r="S244" i="1"/>
  <c r="S246" i="1"/>
  <c r="S248" i="1"/>
  <c r="S249" i="1"/>
  <c r="S251" i="1"/>
  <c r="S252" i="1"/>
  <c r="S257" i="1"/>
  <c r="S258" i="1"/>
  <c r="S259" i="1"/>
  <c r="S260" i="1"/>
  <c r="S261" i="1"/>
  <c r="S262" i="1"/>
  <c r="S263" i="1"/>
  <c r="S264" i="1"/>
  <c r="S265" i="1"/>
  <c r="S266" i="1"/>
  <c r="S268" i="1"/>
  <c r="S270" i="1"/>
  <c r="S271" i="1"/>
  <c r="S273" i="1"/>
  <c r="S274" i="1"/>
  <c r="S276" i="1"/>
  <c r="S279" i="1"/>
  <c r="S280" i="1"/>
  <c r="S282" i="1"/>
  <c r="S283" i="1"/>
  <c r="S286" i="1"/>
  <c r="S287" i="1"/>
  <c r="S289" i="1"/>
  <c r="S290" i="1"/>
  <c r="S291" i="1"/>
  <c r="S292" i="1"/>
  <c r="S293" i="1"/>
  <c r="S295" i="1"/>
  <c r="S297" i="1"/>
  <c r="S299" i="1"/>
  <c r="S301" i="1"/>
  <c r="S302" i="1"/>
  <c r="S303" i="1"/>
  <c r="S304" i="1"/>
  <c r="S305" i="1"/>
  <c r="S306" i="1"/>
  <c r="S308" i="1"/>
  <c r="S309" i="1"/>
  <c r="S310" i="1"/>
  <c r="S311" i="1"/>
  <c r="S313" i="1"/>
  <c r="S316" i="1"/>
  <c r="S317" i="1"/>
  <c r="S318" i="1"/>
  <c r="S319" i="1"/>
  <c r="S321" i="1"/>
  <c r="S322" i="1"/>
  <c r="S323" i="1"/>
  <c r="S324" i="1"/>
  <c r="S326" i="1"/>
  <c r="S327" i="1"/>
  <c r="S328" i="1"/>
  <c r="S329" i="1"/>
  <c r="S330" i="1"/>
  <c r="S331" i="1"/>
  <c r="S332" i="1"/>
  <c r="S333" i="1"/>
  <c r="S334" i="1"/>
  <c r="S335" i="1"/>
  <c r="S336" i="1"/>
  <c r="S339" i="1"/>
  <c r="S340" i="1"/>
  <c r="S341" i="1"/>
  <c r="S342" i="1"/>
  <c r="S343" i="1"/>
  <c r="S344" i="1"/>
  <c r="S346" i="1"/>
  <c r="S347" i="1"/>
  <c r="S348" i="1"/>
  <c r="S349" i="1"/>
  <c r="S350" i="1"/>
  <c r="S352" i="1"/>
  <c r="S353" i="1"/>
  <c r="S354" i="1"/>
  <c r="S356" i="1"/>
  <c r="S357" i="1"/>
  <c r="S358" i="1"/>
  <c r="S359" i="1"/>
  <c r="S360" i="1"/>
  <c r="S361" i="1"/>
  <c r="S364" i="1"/>
  <c r="S365" i="1"/>
  <c r="S366" i="1"/>
  <c r="S367" i="1"/>
  <c r="S369" i="1"/>
  <c r="S370" i="1"/>
  <c r="S371" i="1"/>
  <c r="S372" i="1"/>
  <c r="S373" i="1"/>
  <c r="S374" i="1"/>
  <c r="S375" i="1"/>
  <c r="S376" i="1"/>
  <c r="S377" i="1"/>
  <c r="S378" i="1"/>
  <c r="S379" i="1"/>
  <c r="S380" i="1"/>
  <c r="S382" i="1"/>
  <c r="S383" i="1"/>
  <c r="S384" i="1"/>
  <c r="S385" i="1"/>
  <c r="S386" i="1"/>
  <c r="S387" i="1"/>
  <c r="S388" i="1"/>
  <c r="S389" i="1"/>
  <c r="S390" i="1"/>
  <c r="S392" i="1"/>
  <c r="S393" i="1"/>
  <c r="S394" i="1"/>
  <c r="S395" i="1"/>
  <c r="S396" i="1"/>
  <c r="S398" i="1"/>
  <c r="S400" i="1"/>
  <c r="S402" i="1"/>
  <c r="S403" i="1"/>
  <c r="S404" i="1"/>
  <c r="S406" i="1"/>
  <c r="S408" i="1"/>
  <c r="S409" i="1"/>
  <c r="S410" i="1"/>
  <c r="S411" i="1"/>
  <c r="S414" i="1"/>
  <c r="S415" i="1"/>
  <c r="S416" i="1"/>
  <c r="S418" i="1"/>
  <c r="S420" i="1"/>
  <c r="S421" i="1"/>
  <c r="S423" i="1"/>
  <c r="S424" i="1"/>
  <c r="S425" i="1"/>
  <c r="S426" i="1"/>
  <c r="S427" i="1"/>
  <c r="S429" i="1"/>
  <c r="S430" i="1"/>
  <c r="S431" i="1"/>
  <c r="S433" i="1"/>
  <c r="S438" i="1"/>
  <c r="S439" i="1"/>
  <c r="S440" i="1"/>
  <c r="S441" i="1"/>
  <c r="S442" i="1"/>
  <c r="S443" i="1"/>
  <c r="S444" i="1"/>
  <c r="S447" i="1"/>
  <c r="S448" i="1"/>
  <c r="S449" i="1"/>
  <c r="S451" i="1"/>
  <c r="S452" i="1"/>
  <c r="S454" i="1"/>
  <c r="S456" i="1"/>
  <c r="S457" i="1"/>
  <c r="S458" i="1"/>
  <c r="S459" i="1"/>
  <c r="S460" i="1"/>
  <c r="S462" i="1"/>
  <c r="S463" i="1"/>
  <c r="S464" i="1"/>
  <c r="S465" i="1"/>
  <c r="S466" i="1"/>
  <c r="S467" i="1"/>
  <c r="S468" i="1"/>
  <c r="S469" i="1"/>
  <c r="S470" i="1"/>
  <c r="S471" i="1"/>
  <c r="S472" i="1"/>
  <c r="S473" i="1"/>
  <c r="S474" i="1"/>
  <c r="S476" i="1"/>
  <c r="S479" i="1"/>
  <c r="S480" i="1"/>
  <c r="S481" i="1"/>
  <c r="S483" i="1"/>
  <c r="S484" i="1"/>
  <c r="S485" i="1"/>
  <c r="S486" i="1"/>
  <c r="S487" i="1"/>
  <c r="S488" i="1"/>
  <c r="S490" i="1"/>
  <c r="S491" i="1"/>
  <c r="S492" i="1"/>
  <c r="S494" i="1"/>
  <c r="S495" i="1"/>
  <c r="S499" i="1"/>
  <c r="S503" i="1"/>
  <c r="S504" i="1"/>
  <c r="S506" i="1"/>
  <c r="S507" i="1"/>
  <c r="S509" i="1"/>
  <c r="S511" i="1"/>
  <c r="S512" i="1"/>
  <c r="S513" i="1"/>
  <c r="S514" i="1"/>
  <c r="S516" i="1"/>
  <c r="S517" i="1"/>
  <c r="S519" i="1"/>
  <c r="S520" i="1"/>
  <c r="S521" i="1"/>
  <c r="S522" i="1"/>
  <c r="S523" i="1"/>
  <c r="S524" i="1"/>
  <c r="S525" i="1"/>
  <c r="S528" i="1"/>
  <c r="S529" i="1"/>
  <c r="S530" i="1"/>
  <c r="S531" i="1"/>
  <c r="S532" i="1"/>
  <c r="S533" i="1"/>
  <c r="S535" i="1"/>
  <c r="S536" i="1"/>
  <c r="S537" i="1"/>
  <c r="S539" i="1"/>
  <c r="S541" i="1"/>
  <c r="S542" i="1"/>
  <c r="S543" i="1"/>
  <c r="S545" i="1"/>
  <c r="S546" i="1"/>
  <c r="S547" i="1"/>
  <c r="S548" i="1"/>
  <c r="S550" i="1"/>
  <c r="S551" i="1"/>
  <c r="S552" i="1"/>
  <c r="S554" i="1"/>
  <c r="S555" i="1"/>
  <c r="S556" i="1"/>
  <c r="S558" i="1"/>
  <c r="S559" i="1"/>
  <c r="S562" i="1"/>
  <c r="S563" i="1"/>
  <c r="S564" i="1"/>
  <c r="S565" i="1"/>
  <c r="S566" i="1"/>
  <c r="S568" i="1"/>
  <c r="S569" i="1"/>
  <c r="S571" i="1"/>
  <c r="S573" i="1"/>
  <c r="S574" i="1"/>
  <c r="S575" i="1"/>
  <c r="S577" i="1"/>
  <c r="S578" i="1"/>
  <c r="S579" i="1"/>
  <c r="S580" i="1"/>
  <c r="S581" i="1"/>
  <c r="S582" i="1"/>
  <c r="S583" i="1"/>
  <c r="S588" i="1"/>
  <c r="S589" i="1"/>
  <c r="S590" i="1"/>
  <c r="S591" i="1"/>
  <c r="S593" i="1"/>
  <c r="S594" i="1"/>
  <c r="S595" i="1"/>
  <c r="S596" i="1"/>
  <c r="S598" i="1"/>
  <c r="S601" i="1"/>
  <c r="S602" i="1"/>
  <c r="S603" i="1"/>
  <c r="S605" i="1"/>
  <c r="S606" i="1"/>
  <c r="S608" i="1"/>
  <c r="S609" i="1"/>
  <c r="S610" i="1"/>
  <c r="S611" i="1"/>
  <c r="S612" i="1"/>
  <c r="S613" i="1"/>
  <c r="S614" i="1"/>
  <c r="S615" i="1"/>
  <c r="S617" i="1"/>
  <c r="S618" i="1"/>
  <c r="S619" i="1"/>
  <c r="S620" i="1"/>
  <c r="S621" i="1"/>
  <c r="S622" i="1"/>
  <c r="S623" i="1"/>
  <c r="S625" i="1"/>
  <c r="S627" i="1"/>
  <c r="S629" i="1"/>
  <c r="S631" i="1"/>
  <c r="S632" i="1"/>
  <c r="S634" i="1"/>
  <c r="S635" i="1"/>
  <c r="S636" i="1"/>
  <c r="S637" i="1"/>
  <c r="S642" i="1"/>
  <c r="S643" i="1"/>
  <c r="S644" i="1"/>
  <c r="S645" i="1"/>
  <c r="S646" i="1"/>
  <c r="S650" i="1"/>
  <c r="S651" i="1"/>
  <c r="S653" i="1"/>
  <c r="S654" i="1"/>
  <c r="S657" i="1"/>
  <c r="S658" i="1"/>
  <c r="S659" i="1"/>
  <c r="S660" i="1"/>
  <c r="S661" i="1"/>
  <c r="S662" i="1"/>
  <c r="S663" i="1"/>
  <c r="S664" i="1"/>
  <c r="S666" i="1"/>
  <c r="S667" i="1"/>
  <c r="S668" i="1"/>
  <c r="S669" i="1"/>
  <c r="S670" i="1"/>
  <c r="S671" i="1"/>
  <c r="S672" i="1"/>
  <c r="S675" i="1"/>
  <c r="S676" i="1"/>
  <c r="S677" i="1"/>
  <c r="S678" i="1"/>
  <c r="S679" i="1"/>
  <c r="S680" i="1"/>
  <c r="S682" i="1"/>
  <c r="S683" i="1"/>
  <c r="S686" i="1"/>
  <c r="S687" i="1"/>
  <c r="S688" i="1"/>
  <c r="S690" i="1"/>
  <c r="S691" i="1"/>
  <c r="S692" i="1"/>
  <c r="S693" i="1"/>
  <c r="S694" i="1"/>
  <c r="S695" i="1"/>
  <c r="S696" i="1"/>
  <c r="S697" i="1"/>
  <c r="S698" i="1"/>
  <c r="S699" i="1"/>
  <c r="S700" i="1"/>
  <c r="S707" i="1"/>
  <c r="S709" i="1"/>
  <c r="S710" i="1"/>
  <c r="S711" i="1"/>
  <c r="S712" i="1"/>
  <c r="S714" i="1"/>
  <c r="S715" i="1"/>
  <c r="S717" i="1"/>
  <c r="S719" i="1"/>
  <c r="S720" i="1"/>
  <c r="S722" i="1"/>
  <c r="S723" i="1"/>
  <c r="S726" i="1"/>
  <c r="S727" i="1"/>
  <c r="S731" i="1"/>
  <c r="S732" i="1"/>
  <c r="S733" i="1"/>
  <c r="S734" i="1"/>
  <c r="S735" i="1"/>
  <c r="S736" i="1"/>
  <c r="S737" i="1"/>
  <c r="S739" i="1"/>
  <c r="S740" i="1"/>
  <c r="S741" i="1"/>
  <c r="S742" i="1"/>
  <c r="S743" i="1"/>
  <c r="S745" i="1"/>
  <c r="S747" i="1"/>
  <c r="S748" i="1"/>
  <c r="S749" i="1"/>
  <c r="S751" i="1"/>
  <c r="S752" i="1"/>
  <c r="S753" i="1"/>
  <c r="S754" i="1"/>
  <c r="S755" i="1"/>
  <c r="S757" i="1"/>
  <c r="S758" i="1"/>
  <c r="S760" i="1"/>
  <c r="S761" i="1"/>
  <c r="S762" i="1"/>
  <c r="S763" i="1"/>
  <c r="S765" i="1"/>
  <c r="S766" i="1"/>
  <c r="S767" i="1"/>
  <c r="S768" i="1"/>
  <c r="S769" i="1"/>
  <c r="S770" i="1"/>
  <c r="S771" i="1"/>
  <c r="S772" i="1"/>
  <c r="S773" i="1"/>
  <c r="S775" i="1"/>
  <c r="S776" i="1"/>
  <c r="S777" i="1"/>
  <c r="S778" i="1"/>
  <c r="S780" i="1"/>
  <c r="S782" i="1"/>
  <c r="S785" i="1"/>
  <c r="S786" i="1"/>
  <c r="S787" i="1"/>
  <c r="S788" i="1"/>
  <c r="S789" i="1"/>
  <c r="S792" i="1"/>
  <c r="S793" i="1"/>
  <c r="S794" i="1"/>
  <c r="S795" i="1"/>
  <c r="S796" i="1"/>
  <c r="S797" i="1"/>
  <c r="S798" i="1"/>
  <c r="S799" i="1"/>
  <c r="S800" i="1"/>
  <c r="S802" i="1"/>
  <c r="S803" i="1"/>
  <c r="S804" i="1"/>
  <c r="S808" i="1"/>
  <c r="S809" i="1"/>
  <c r="S810" i="1"/>
  <c r="S811" i="1"/>
  <c r="S813" i="1"/>
  <c r="S815" i="1"/>
  <c r="S816" i="1"/>
  <c r="S818" i="1"/>
  <c r="S819" i="1"/>
  <c r="S820" i="1"/>
  <c r="S822" i="1"/>
  <c r="S823" i="1"/>
  <c r="S826" i="1"/>
  <c r="S827" i="1"/>
  <c r="S829" i="1"/>
  <c r="S831" i="1"/>
  <c r="S833" i="1"/>
  <c r="S834" i="1"/>
  <c r="S835" i="1"/>
  <c r="S836" i="1"/>
  <c r="S837" i="1"/>
  <c r="S838" i="1"/>
  <c r="S839" i="1"/>
  <c r="S840" i="1"/>
  <c r="S842" i="1"/>
  <c r="S844" i="1"/>
  <c r="S845" i="1"/>
  <c r="S850" i="1"/>
  <c r="S851" i="1"/>
  <c r="S852" i="1"/>
  <c r="S854" i="1"/>
  <c r="S855" i="1"/>
  <c r="S856" i="1"/>
  <c r="S857" i="1"/>
  <c r="S858" i="1"/>
  <c r="S859" i="1"/>
  <c r="S861" i="1"/>
  <c r="S862" i="1"/>
  <c r="S863" i="1"/>
  <c r="S864" i="1"/>
  <c r="S865" i="1"/>
  <c r="S866" i="1"/>
  <c r="S868" i="1"/>
  <c r="S869" i="1"/>
  <c r="S870" i="1"/>
  <c r="S872" i="1"/>
  <c r="S873" i="1"/>
  <c r="S874" i="1"/>
  <c r="S875" i="1"/>
  <c r="S876" i="1"/>
  <c r="S877" i="1"/>
  <c r="S879" i="1"/>
  <c r="S880" i="1"/>
  <c r="S881" i="1"/>
  <c r="S882" i="1"/>
  <c r="S883" i="1"/>
  <c r="S884" i="1"/>
  <c r="S885" i="1"/>
  <c r="S886" i="1"/>
  <c r="S887" i="1"/>
  <c r="S888" i="1"/>
  <c r="S889" i="1"/>
  <c r="S891" i="1"/>
  <c r="S893" i="1"/>
  <c r="S895" i="1"/>
  <c r="S896" i="1"/>
  <c r="S897" i="1"/>
  <c r="S898" i="1"/>
  <c r="S899" i="1"/>
  <c r="S900" i="1"/>
  <c r="S901" i="1"/>
  <c r="S902" i="1"/>
  <c r="S903" i="1"/>
  <c r="S904" i="1"/>
  <c r="S906" i="1"/>
  <c r="S907" i="1"/>
  <c r="S910" i="1"/>
  <c r="S911" i="1"/>
  <c r="S912" i="1"/>
  <c r="S913" i="1"/>
  <c r="S914" i="1"/>
  <c r="S915" i="1"/>
  <c r="S917" i="1"/>
  <c r="S918" i="1"/>
  <c r="S919" i="1"/>
  <c r="S920" i="1"/>
  <c r="S922" i="1"/>
  <c r="S923" i="1"/>
  <c r="S924" i="1"/>
  <c r="S925" i="1"/>
  <c r="S926" i="1"/>
  <c r="S930" i="1"/>
  <c r="S932" i="1"/>
  <c r="S933" i="1"/>
  <c r="S934" i="1"/>
  <c r="S937" i="1"/>
  <c r="S938" i="1"/>
  <c r="S939" i="1"/>
  <c r="S940" i="1"/>
  <c r="S941" i="1"/>
  <c r="S942" i="1"/>
  <c r="S943" i="1"/>
  <c r="S944" i="1"/>
  <c r="S945" i="1"/>
  <c r="S946" i="1"/>
  <c r="S947" i="1"/>
  <c r="S948" i="1"/>
  <c r="S949" i="1"/>
  <c r="S950" i="1"/>
  <c r="S951" i="1"/>
  <c r="S952" i="1"/>
  <c r="S953" i="1"/>
  <c r="S955" i="1"/>
  <c r="S957" i="1"/>
  <c r="S958" i="1"/>
  <c r="S959" i="1"/>
  <c r="S962" i="1"/>
  <c r="S963" i="1"/>
  <c r="S964" i="1"/>
  <c r="S965" i="1"/>
  <c r="S967" i="1"/>
  <c r="S968" i="1"/>
  <c r="S969" i="1"/>
  <c r="S970" i="1"/>
  <c r="S971" i="1"/>
  <c r="S972" i="1"/>
  <c r="S973" i="1"/>
  <c r="S974" i="1"/>
  <c r="S975" i="1"/>
  <c r="S976" i="1"/>
  <c r="S977" i="1"/>
  <c r="S979" i="1"/>
  <c r="S981" i="1"/>
  <c r="S982" i="1"/>
  <c r="S984" i="1"/>
  <c r="S985" i="1"/>
  <c r="S987" i="1"/>
  <c r="S988" i="1"/>
  <c r="S989" i="1"/>
  <c r="S991" i="1"/>
  <c r="S992" i="1"/>
  <c r="S993" i="1"/>
  <c r="S994" i="1"/>
  <c r="S995" i="1"/>
  <c r="S996" i="1"/>
  <c r="S997" i="1"/>
  <c r="S998" i="1"/>
  <c r="S999" i="1"/>
  <c r="S1000" i="1"/>
  <c r="S1001" i="1"/>
  <c r="S1002" i="1"/>
  <c r="S1004" i="1"/>
  <c r="S1005" i="1"/>
  <c r="S1006" i="1"/>
  <c r="S1008" i="1"/>
  <c r="S1009" i="1"/>
  <c r="S1010" i="1"/>
  <c r="S1011" i="1"/>
  <c r="S1012" i="1"/>
  <c r="S1014" i="1"/>
  <c r="S1015" i="1"/>
  <c r="S1016" i="1"/>
  <c r="S1017" i="1"/>
  <c r="S1018" i="1"/>
  <c r="S1019" i="1"/>
  <c r="S1020" i="1"/>
  <c r="S1022" i="1"/>
  <c r="S1024" i="1"/>
  <c r="S1025" i="1"/>
  <c r="S1026" i="1"/>
  <c r="S1031" i="1"/>
  <c r="S1032" i="1"/>
  <c r="S1033" i="1"/>
  <c r="S1034" i="1"/>
  <c r="S1035" i="1"/>
  <c r="S1036" i="1"/>
  <c r="S1037" i="1"/>
  <c r="S1038" i="1"/>
  <c r="S1039" i="1"/>
  <c r="S1041" i="1"/>
  <c r="S1043" i="1"/>
  <c r="S1049" i="1"/>
  <c r="S1051" i="1"/>
  <c r="S1052" i="1"/>
  <c r="S1056" i="1"/>
  <c r="S1059" i="1"/>
  <c r="S1060" i="1"/>
  <c r="S1062" i="1"/>
  <c r="S1063" i="1"/>
  <c r="S1066" i="1"/>
  <c r="S1067" i="1"/>
  <c r="S1068" i="1"/>
  <c r="S1069" i="1"/>
  <c r="S1071" i="1"/>
  <c r="S1072" i="1"/>
  <c r="S1073" i="1"/>
  <c r="S1075" i="1"/>
  <c r="S1077" i="1"/>
  <c r="S1078" i="1"/>
  <c r="S1079" i="1"/>
  <c r="S1081" i="1"/>
  <c r="S1084" i="1"/>
  <c r="S1085" i="1"/>
  <c r="S1086" i="1"/>
  <c r="S1087" i="1"/>
  <c r="S1088" i="1"/>
  <c r="S1089" i="1"/>
  <c r="S1090" i="1"/>
  <c r="S1094" i="1"/>
  <c r="S1095" i="1"/>
  <c r="S1096" i="1"/>
  <c r="S1097" i="1"/>
  <c r="S1098" i="1"/>
  <c r="S1099" i="1"/>
  <c r="S1100" i="1"/>
  <c r="S1101" i="1"/>
  <c r="S1102" i="1"/>
  <c r="S1103" i="1"/>
  <c r="S1104" i="1"/>
  <c r="S1107" i="1"/>
  <c r="S1109" i="1"/>
  <c r="S1110" i="1"/>
  <c r="S1111" i="1"/>
  <c r="S1112" i="1"/>
  <c r="S1113" i="1"/>
  <c r="S1114" i="1"/>
  <c r="S1115" i="1"/>
  <c r="S1116" i="1"/>
  <c r="S1117" i="1"/>
  <c r="S1118" i="1"/>
  <c r="S1121" i="1"/>
  <c r="S1122" i="1"/>
  <c r="S1123" i="1"/>
  <c r="S1124" i="1"/>
  <c r="S1125" i="1"/>
  <c r="S1127" i="1"/>
  <c r="S1128" i="1"/>
  <c r="S1129" i="1"/>
  <c r="S1131" i="1"/>
  <c r="S1132" i="1"/>
  <c r="S1135" i="1"/>
  <c r="S1138" i="1"/>
  <c r="S1142" i="1"/>
  <c r="S1143" i="1"/>
  <c r="S1144" i="1"/>
  <c r="S1145" i="1"/>
  <c r="S1146" i="1"/>
  <c r="S1147" i="1"/>
  <c r="S1148" i="1"/>
  <c r="S1150" i="1"/>
  <c r="S1151" i="1"/>
  <c r="S1152" i="1"/>
  <c r="S1153" i="1"/>
  <c r="S1154" i="1"/>
  <c r="S1155" i="1"/>
  <c r="S1156" i="1"/>
  <c r="S1157" i="1"/>
  <c r="S1159" i="1"/>
  <c r="S1160" i="1"/>
  <c r="S1161" i="1"/>
  <c r="S1163" i="1"/>
  <c r="S1164" i="1"/>
  <c r="S1165" i="1"/>
  <c r="S1166" i="1"/>
  <c r="S1167" i="1"/>
  <c r="S1168" i="1"/>
  <c r="S1171" i="1"/>
  <c r="S1172" i="1"/>
  <c r="S1174" i="1"/>
  <c r="S1175" i="1"/>
  <c r="S1176" i="1"/>
  <c r="S1177" i="1"/>
  <c r="S1178" i="1"/>
  <c r="S1179" i="1"/>
  <c r="S1181" i="1"/>
  <c r="S1183" i="1"/>
  <c r="S1184" i="1"/>
  <c r="S1185" i="1"/>
  <c r="S1186" i="1"/>
  <c r="S1187" i="1"/>
  <c r="S1190" i="1"/>
  <c r="S1191" i="1"/>
  <c r="S1194" i="1"/>
  <c r="S1195" i="1"/>
  <c r="S1196" i="1"/>
  <c r="S1197" i="1"/>
  <c r="S1198" i="1"/>
  <c r="S1200" i="1"/>
  <c r="S1201" i="1"/>
  <c r="S1202" i="1"/>
  <c r="S1204" i="1"/>
  <c r="S1205" i="1"/>
  <c r="S1207" i="1"/>
  <c r="S1209" i="1"/>
  <c r="S1210" i="1"/>
  <c r="S1211" i="1"/>
  <c r="S1213" i="1"/>
  <c r="S1214" i="1"/>
  <c r="S1215" i="1"/>
  <c r="S1216" i="1"/>
  <c r="S1217" i="1"/>
  <c r="S1218" i="1"/>
  <c r="S1221" i="1"/>
  <c r="S1222" i="1"/>
  <c r="S1223" i="1"/>
  <c r="S1224" i="1"/>
  <c r="S1225" i="1"/>
  <c r="S1226" i="1"/>
  <c r="S1227" i="1"/>
  <c r="S1230" i="1"/>
  <c r="S1231" i="1"/>
  <c r="S1235" i="1"/>
  <c r="S1238" i="1"/>
  <c r="S1239" i="1"/>
  <c r="S1241" i="1"/>
  <c r="S1242" i="1"/>
  <c r="S1243" i="1"/>
  <c r="S1244" i="1"/>
  <c r="S1245" i="1"/>
  <c r="S1247" i="1"/>
  <c r="S1249" i="1"/>
  <c r="S1251" i="1"/>
  <c r="S1252" i="1"/>
  <c r="S1253" i="1"/>
  <c r="S1254" i="1"/>
  <c r="S1257" i="1"/>
  <c r="S1258" i="1"/>
  <c r="S1259" i="1"/>
  <c r="S1260" i="1"/>
  <c r="S1261" i="1"/>
  <c r="S1262" i="1"/>
  <c r="S1263" i="1"/>
  <c r="S1264" i="1"/>
  <c r="S1266" i="1"/>
  <c r="S1268" i="1"/>
  <c r="S1269" i="1"/>
  <c r="S1270" i="1"/>
  <c r="S1271" i="1"/>
  <c r="S1272" i="1"/>
  <c r="S1273" i="1"/>
  <c r="S1276" i="1"/>
  <c r="S1277" i="1"/>
  <c r="S1280" i="1"/>
  <c r="S1282" i="1"/>
  <c r="S1283" i="1"/>
  <c r="S1284" i="1"/>
  <c r="S1287" i="1"/>
  <c r="S1289" i="1"/>
  <c r="S1290" i="1"/>
  <c r="S1291" i="1"/>
  <c r="S1292" i="1"/>
  <c r="S1293" i="1"/>
  <c r="S1294" i="1"/>
  <c r="S1295" i="1"/>
  <c r="S1297" i="1"/>
  <c r="S1298" i="1"/>
  <c r="S1300" i="1"/>
  <c r="S1301" i="1"/>
  <c r="S1302" i="1"/>
  <c r="S1303" i="1"/>
  <c r="S1304" i="1"/>
  <c r="S1305" i="1"/>
  <c r="S1307" i="1"/>
  <c r="S1308" i="1"/>
  <c r="S1309" i="1"/>
  <c r="S1310" i="1"/>
  <c r="S1311" i="1"/>
  <c r="S1312" i="1"/>
  <c r="S1313" i="1"/>
  <c r="S1314" i="1"/>
  <c r="S1315" i="1"/>
  <c r="S1320" i="1"/>
  <c r="S1321" i="1"/>
  <c r="S1322" i="1"/>
  <c r="S1323" i="1"/>
  <c r="S1324" i="1"/>
  <c r="S1326" i="1"/>
  <c r="S1327" i="1"/>
  <c r="S1330" i="1"/>
  <c r="S1331" i="1"/>
  <c r="S1332" i="1"/>
  <c r="S1333" i="1"/>
  <c r="S1334" i="1"/>
  <c r="S1336" i="1"/>
  <c r="S1338" i="1"/>
  <c r="S1341" i="1"/>
  <c r="S1342" i="1"/>
  <c r="S1343" i="1"/>
  <c r="S1344" i="1"/>
  <c r="S1345" i="1"/>
  <c r="S1347" i="1"/>
  <c r="S1348" i="1"/>
  <c r="S1349" i="1"/>
  <c r="S1351" i="1"/>
  <c r="S1352" i="1"/>
  <c r="S1356" i="1"/>
  <c r="S1357" i="1"/>
  <c r="S1358" i="1"/>
  <c r="S1359" i="1"/>
  <c r="S1360" i="1"/>
  <c r="S1361" i="1"/>
  <c r="S1362" i="1"/>
  <c r="S1364" i="1"/>
  <c r="S1365" i="1"/>
  <c r="S1366" i="1"/>
  <c r="S1367" i="1"/>
  <c r="S1370" i="1"/>
  <c r="S1371" i="1"/>
  <c r="S1372" i="1"/>
  <c r="S1373" i="1"/>
  <c r="S1374" i="1"/>
  <c r="S1375" i="1"/>
  <c r="S1376" i="1"/>
  <c r="S1377" i="1"/>
  <c r="S1378" i="1"/>
  <c r="S1379" i="1"/>
  <c r="S1380" i="1"/>
  <c r="S1381" i="1"/>
  <c r="S1382" i="1"/>
  <c r="S1383" i="1"/>
  <c r="S1384" i="1"/>
  <c r="S1385" i="1"/>
  <c r="S1386" i="1"/>
  <c r="S1387" i="1"/>
  <c r="S1388" i="1"/>
  <c r="S1389" i="1"/>
  <c r="S1392" i="1"/>
  <c r="S1393" i="1"/>
  <c r="S1394" i="1"/>
  <c r="S1395" i="1"/>
  <c r="S1396" i="1"/>
  <c r="S1397" i="1"/>
  <c r="S1398" i="1"/>
  <c r="S1399" i="1"/>
  <c r="S1400" i="1"/>
  <c r="S1403" i="1"/>
  <c r="S1404" i="1"/>
  <c r="S1405" i="1"/>
  <c r="S1406" i="1"/>
  <c r="S1407" i="1"/>
  <c r="S1408" i="1"/>
  <c r="S1409" i="1"/>
  <c r="S1410" i="1"/>
  <c r="S1412" i="1"/>
  <c r="S1415" i="1"/>
  <c r="S1416" i="1"/>
  <c r="S1417" i="1"/>
  <c r="S1418" i="1"/>
  <c r="S1419" i="1"/>
  <c r="S1421" i="1"/>
  <c r="S1422" i="1"/>
  <c r="S1423" i="1"/>
  <c r="S1425" i="1"/>
  <c r="S1426" i="1"/>
  <c r="S1427" i="1"/>
  <c r="S1429" i="1"/>
  <c r="S1431" i="1"/>
  <c r="S1432" i="1"/>
  <c r="S1434" i="1"/>
  <c r="S1436" i="1"/>
  <c r="S1437" i="1"/>
  <c r="S1438" i="1"/>
  <c r="S1439" i="1"/>
  <c r="S1440" i="1"/>
  <c r="S1441" i="1"/>
  <c r="S1442" i="1"/>
  <c r="S1443" i="1"/>
  <c r="S1444" i="1"/>
  <c r="S1445" i="1"/>
  <c r="S1446" i="1"/>
  <c r="S1448" i="1"/>
  <c r="S1449" i="1"/>
  <c r="S1451" i="1"/>
  <c r="S1452" i="1"/>
  <c r="S1453" i="1"/>
  <c r="S1454" i="1"/>
  <c r="S1455" i="1"/>
  <c r="S1457" i="1"/>
  <c r="S1459" i="1"/>
  <c r="S1461" i="1"/>
  <c r="S1462" i="1"/>
  <c r="S1463" i="1"/>
  <c r="S1464" i="1"/>
  <c r="S1465" i="1"/>
  <c r="S1467" i="1"/>
  <c r="S1468" i="1"/>
  <c r="S1469" i="1"/>
  <c r="S1471" i="1"/>
  <c r="S1473" i="1"/>
  <c r="S1475" i="1"/>
  <c r="S1478" i="1"/>
  <c r="S1479" i="1"/>
  <c r="S1480" i="1"/>
  <c r="S1481" i="1"/>
  <c r="S1482" i="1"/>
  <c r="S1483" i="1"/>
  <c r="S1484" i="1"/>
  <c r="S1485" i="1"/>
  <c r="S1486" i="1"/>
  <c r="S1487" i="1"/>
  <c r="S1488" i="1"/>
  <c r="S1490" i="1"/>
  <c r="S1492" i="1"/>
  <c r="S1493" i="1"/>
  <c r="S1494" i="1"/>
  <c r="S1495" i="1"/>
  <c r="S1496" i="1"/>
  <c r="S1497" i="1"/>
  <c r="S1499" i="1"/>
  <c r="S1500" i="1"/>
  <c r="S1501" i="1"/>
  <c r="S1502" i="1"/>
  <c r="S1503" i="1"/>
  <c r="S1504" i="1"/>
  <c r="S1506" i="1"/>
  <c r="S1507" i="1"/>
  <c r="S1508" i="1"/>
  <c r="S1509" i="1"/>
  <c r="S1510" i="1"/>
  <c r="S1512" i="1"/>
  <c r="S1513" i="1"/>
  <c r="S1514" i="1"/>
  <c r="S1516" i="1"/>
  <c r="S1517" i="1"/>
  <c r="S1519" i="1"/>
  <c r="S1522" i="1"/>
  <c r="S1523" i="1"/>
  <c r="S1525" i="1"/>
  <c r="S1528" i="1"/>
  <c r="S1530" i="1"/>
  <c r="S1532" i="1"/>
  <c r="S1533" i="1"/>
  <c r="S1535" i="1"/>
  <c r="S1537" i="1"/>
  <c r="S1538" i="1"/>
  <c r="S1539" i="1"/>
  <c r="S1540" i="1"/>
  <c r="S1541" i="1"/>
  <c r="S1542" i="1"/>
  <c r="S1543" i="1"/>
  <c r="S1544" i="1"/>
  <c r="S1545" i="1"/>
  <c r="S1546" i="1"/>
  <c r="S1547" i="1"/>
  <c r="S1548" i="1"/>
  <c r="S1549" i="1"/>
  <c r="S1550" i="1"/>
  <c r="S1552" i="1"/>
  <c r="S1554" i="1"/>
  <c r="S1555" i="1"/>
  <c r="S1557" i="1"/>
  <c r="S1558" i="1"/>
  <c r="S1559" i="1"/>
  <c r="S1560" i="1"/>
  <c r="S1561" i="1"/>
  <c r="S1565" i="1"/>
  <c r="S1566" i="1"/>
  <c r="S1568" i="1"/>
  <c r="S1571" i="1"/>
  <c r="S1572" i="1"/>
  <c r="S1573" i="1"/>
  <c r="S1576" i="1"/>
  <c r="S1577" i="1"/>
  <c r="S1580" i="1"/>
  <c r="S1582" i="1"/>
  <c r="S1585" i="1"/>
  <c r="S1588" i="1"/>
  <c r="S1589" i="1"/>
  <c r="S1590" i="1"/>
  <c r="S1591" i="1"/>
  <c r="S1593" i="1"/>
  <c r="S1594" i="1"/>
  <c r="S1595" i="1"/>
  <c r="S1598" i="1"/>
  <c r="S1599" i="1"/>
  <c r="S1600" i="1"/>
  <c r="S1602" i="1"/>
  <c r="S1605" i="1"/>
  <c r="S1606" i="1"/>
  <c r="S1607" i="1"/>
  <c r="S1608" i="1"/>
  <c r="S1610" i="1"/>
  <c r="S1611" i="1"/>
  <c r="S1612" i="1"/>
  <c r="S1613" i="1"/>
  <c r="S1614" i="1"/>
  <c r="S1615" i="1"/>
  <c r="S1616" i="1"/>
  <c r="S1617" i="1"/>
  <c r="S1618" i="1"/>
  <c r="S1619" i="1"/>
  <c r="S1620" i="1"/>
  <c r="S1621" i="1"/>
  <c r="S1627" i="1"/>
  <c r="S1628" i="1"/>
  <c r="S1629" i="1"/>
  <c r="S1630" i="1"/>
  <c r="S1632" i="1"/>
  <c r="S1633" i="1"/>
  <c r="S1634" i="1"/>
  <c r="S1635" i="1"/>
  <c r="S1637" i="1"/>
  <c r="S1638" i="1"/>
  <c r="S1639" i="1"/>
  <c r="S1643" i="1"/>
  <c r="S1644" i="1"/>
  <c r="S1645" i="1"/>
  <c r="S1646" i="1"/>
  <c r="S1648" i="1"/>
  <c r="S1649" i="1"/>
  <c r="S1650" i="1"/>
  <c r="S1654" i="1"/>
  <c r="S1655" i="1"/>
  <c r="S1656" i="1"/>
  <c r="S1657" i="1"/>
  <c r="S1658" i="1"/>
  <c r="S1659" i="1"/>
  <c r="S1662" i="1"/>
  <c r="S1663" i="1"/>
  <c r="S1664" i="1"/>
  <c r="S1667" i="1"/>
  <c r="S1668" i="1"/>
  <c r="S1669" i="1"/>
  <c r="S1671" i="1"/>
  <c r="S1672" i="1"/>
  <c r="S1673" i="1"/>
  <c r="S1674" i="1"/>
  <c r="S1676" i="1"/>
  <c r="S1678" i="1"/>
  <c r="S1679" i="1"/>
  <c r="S1680" i="1"/>
  <c r="S1681" i="1"/>
  <c r="S1682" i="1"/>
  <c r="S1683" i="1"/>
  <c r="S1684" i="1"/>
  <c r="S1685" i="1"/>
  <c r="S1687" i="1"/>
  <c r="S1688" i="1"/>
  <c r="S1689" i="1"/>
  <c r="S1690" i="1"/>
  <c r="S1691" i="1"/>
  <c r="S1692" i="1"/>
  <c r="S1694" i="1"/>
  <c r="S1695" i="1"/>
  <c r="S1696" i="1"/>
  <c r="S1697" i="1"/>
  <c r="S1698" i="1"/>
  <c r="S1699" i="1"/>
  <c r="S1700" i="1"/>
  <c r="S1701" i="1"/>
  <c r="S1702" i="1"/>
  <c r="S1703" i="1"/>
  <c r="S1704" i="1"/>
  <c r="S1705" i="1"/>
  <c r="S1706" i="1"/>
  <c r="S1707" i="1"/>
  <c r="S1709" i="1"/>
  <c r="S1712" i="1"/>
  <c r="S1713" i="1"/>
  <c r="S1715" i="1"/>
  <c r="S1716" i="1"/>
  <c r="S1717" i="1"/>
  <c r="S1719" i="1"/>
  <c r="S1720" i="1"/>
  <c r="S1721" i="1"/>
  <c r="S1722" i="1"/>
  <c r="S1723" i="1"/>
  <c r="S1724" i="1"/>
  <c r="S1725" i="1"/>
  <c r="S1727" i="1"/>
  <c r="S1728" i="1"/>
  <c r="S1730" i="1"/>
  <c r="S1731" i="1"/>
  <c r="S1733" i="1"/>
  <c r="S1734" i="1"/>
  <c r="S1735" i="1"/>
  <c r="S1736" i="1"/>
  <c r="S1737" i="1"/>
  <c r="S1738" i="1"/>
  <c r="S1739" i="1"/>
  <c r="S1740" i="1"/>
  <c r="S1741" i="1"/>
  <c r="S1742" i="1"/>
  <c r="S1744" i="1"/>
  <c r="S1745" i="1"/>
  <c r="S1746" i="1"/>
  <c r="S1749" i="1"/>
  <c r="S1752" i="1"/>
  <c r="S1753" i="1"/>
  <c r="S1754" i="1"/>
  <c r="S1755" i="1"/>
  <c r="S1756" i="1"/>
  <c r="S1757" i="1"/>
  <c r="S1758" i="1"/>
  <c r="S1759" i="1"/>
  <c r="S1760" i="1"/>
  <c r="S1761" i="1"/>
  <c r="S1762" i="1"/>
  <c r="S1763" i="1"/>
  <c r="S1764" i="1"/>
  <c r="S1769" i="1"/>
  <c r="S1770" i="1"/>
  <c r="S1771" i="1"/>
  <c r="S1772" i="1"/>
  <c r="S1773" i="1"/>
  <c r="S1775" i="1"/>
  <c r="S1776" i="1"/>
  <c r="S1780" i="1"/>
  <c r="S1781" i="1"/>
  <c r="S1782" i="1"/>
  <c r="S1784" i="1"/>
  <c r="S1785" i="1"/>
  <c r="S1786" i="1"/>
  <c r="S1787" i="1"/>
  <c r="S1790" i="1"/>
  <c r="S1791" i="1"/>
  <c r="S1793" i="1"/>
  <c r="S1794" i="1"/>
  <c r="S1795" i="1"/>
  <c r="S1796" i="1"/>
  <c r="S1798" i="1"/>
  <c r="S1799" i="1"/>
  <c r="S1800" i="1"/>
  <c r="S1803" i="1"/>
  <c r="S1804" i="1"/>
  <c r="S1805" i="1"/>
  <c r="S1806" i="1"/>
  <c r="S1807" i="1"/>
  <c r="S1808" i="1"/>
  <c r="S1809" i="1"/>
  <c r="S1811" i="1"/>
  <c r="S1813" i="1"/>
  <c r="S1814" i="1"/>
  <c r="S1816" i="1"/>
  <c r="S1817" i="1"/>
  <c r="S1820" i="1"/>
  <c r="S1821" i="1"/>
  <c r="S1822" i="1"/>
  <c r="S1824" i="1"/>
  <c r="S1825" i="1"/>
  <c r="S1827" i="1"/>
  <c r="S1828" i="1"/>
  <c r="S1829" i="1"/>
  <c r="S1831" i="1"/>
  <c r="S1832" i="1"/>
  <c r="S1833" i="1"/>
  <c r="S1835" i="1"/>
  <c r="S1836" i="1"/>
  <c r="S1839" i="1"/>
  <c r="S1841" i="1"/>
  <c r="S1843" i="1"/>
  <c r="S1844" i="1"/>
  <c r="S1845" i="1"/>
  <c r="S1847" i="1"/>
  <c r="S1848" i="1"/>
  <c r="S1852" i="1"/>
  <c r="S1855" i="1"/>
  <c r="S1857" i="1"/>
  <c r="S1858" i="1"/>
  <c r="S1861" i="1"/>
  <c r="S1862" i="1"/>
  <c r="S1863" i="1"/>
  <c r="S1864" i="1"/>
  <c r="S1867" i="1"/>
  <c r="S1869" i="1"/>
  <c r="S1871" i="1"/>
  <c r="S1876" i="1"/>
  <c r="S1877" i="1"/>
  <c r="S1878" i="1"/>
  <c r="S1879" i="1"/>
  <c r="S1880" i="1"/>
  <c r="S1882" i="1"/>
  <c r="S1883" i="1"/>
  <c r="S1884" i="1"/>
  <c r="S1885" i="1"/>
  <c r="S1887" i="1"/>
  <c r="S1888" i="1"/>
  <c r="S1889" i="1"/>
  <c r="S1890" i="1"/>
  <c r="S1891" i="1"/>
  <c r="S1892" i="1"/>
  <c r="S1894" i="1"/>
  <c r="S1895" i="1"/>
  <c r="S1897" i="1"/>
  <c r="S1898" i="1"/>
  <c r="S1899" i="1"/>
  <c r="S1901" i="1"/>
  <c r="S1902" i="1"/>
  <c r="S1903" i="1"/>
  <c r="S1904" i="1"/>
  <c r="S1905" i="1"/>
  <c r="S1907" i="1"/>
  <c r="S1908" i="1"/>
  <c r="S1909" i="1"/>
  <c r="S1912" i="1"/>
  <c r="S1913" i="1"/>
  <c r="S1914" i="1"/>
  <c r="S1917" i="1"/>
  <c r="S1918" i="1"/>
  <c r="S1919" i="1"/>
  <c r="S1920" i="1"/>
  <c r="S1922" i="1"/>
  <c r="S1923" i="1"/>
  <c r="S1925" i="1"/>
  <c r="S1927" i="1"/>
  <c r="S1930" i="1"/>
  <c r="S1931" i="1"/>
  <c r="S1932" i="1"/>
  <c r="S1933" i="1"/>
  <c r="S1934" i="1"/>
  <c r="S1935" i="1"/>
  <c r="S1936" i="1"/>
  <c r="S1937" i="1"/>
  <c r="S1939" i="1"/>
  <c r="S1941" i="1"/>
  <c r="S1944" i="1"/>
  <c r="S1945" i="1"/>
  <c r="S1946" i="1"/>
  <c r="S1947" i="1"/>
  <c r="S1948" i="1"/>
  <c r="S1949" i="1"/>
  <c r="S1950" i="1"/>
  <c r="S1953" i="1"/>
  <c r="S1954" i="1"/>
  <c r="S1956" i="1"/>
  <c r="S1957" i="1"/>
  <c r="S1959" i="1"/>
  <c r="S1962" i="1"/>
  <c r="S1963" i="1"/>
  <c r="S1965" i="1"/>
  <c r="S1967" i="1"/>
  <c r="S1968" i="1"/>
  <c r="S1969" i="1"/>
  <c r="S1970" i="1"/>
  <c r="S1972" i="1"/>
  <c r="S1974" i="1"/>
  <c r="S1976" i="1"/>
  <c r="S1977" i="1"/>
  <c r="S1978" i="1"/>
  <c r="S1979" i="1"/>
  <c r="S1980" i="1"/>
  <c r="S1981" i="1"/>
  <c r="S1982" i="1"/>
  <c r="S1983" i="1"/>
  <c r="S1984" i="1"/>
  <c r="S1985" i="1"/>
  <c r="S1986" i="1"/>
  <c r="S1988" i="1"/>
  <c r="S1989" i="1"/>
  <c r="S1990" i="1"/>
  <c r="S1991" i="1"/>
  <c r="S1992" i="1"/>
  <c r="S1993" i="1"/>
  <c r="S1994" i="1"/>
  <c r="S1996" i="1"/>
  <c r="S1997" i="1"/>
  <c r="S1998" i="1"/>
  <c r="S1999" i="1"/>
  <c r="S2000" i="1"/>
  <c r="S2002" i="1"/>
  <c r="S2003" i="1"/>
  <c r="S2004" i="1"/>
  <c r="S2006" i="1"/>
  <c r="S2007" i="1"/>
  <c r="S2009" i="1"/>
  <c r="S2010" i="1"/>
  <c r="S2011" i="1"/>
  <c r="S2014" i="1"/>
  <c r="S2016" i="1"/>
  <c r="S2017" i="1"/>
  <c r="S2021" i="1"/>
  <c r="S2022" i="1"/>
  <c r="S2025" i="1"/>
  <c r="S2026" i="1"/>
  <c r="S2027" i="1"/>
  <c r="S2028" i="1"/>
  <c r="S2030" i="1"/>
  <c r="S2031" i="1"/>
  <c r="S2032" i="1"/>
  <c r="S2033" i="1"/>
  <c r="S2035" i="1"/>
  <c r="S2036" i="1"/>
  <c r="S2037" i="1"/>
  <c r="S2039" i="1"/>
  <c r="S2040" i="1"/>
  <c r="S2041" i="1"/>
  <c r="S2044" i="1"/>
  <c r="S2045" i="1"/>
  <c r="S2048" i="1"/>
  <c r="S2049" i="1"/>
  <c r="S2050" i="1"/>
  <c r="S2051" i="1"/>
  <c r="S2054" i="1"/>
  <c r="S2055" i="1"/>
  <c r="S2056" i="1"/>
  <c r="S2058" i="1"/>
  <c r="S2059" i="1"/>
  <c r="S2060" i="1"/>
  <c r="S2061" i="1"/>
  <c r="S2062" i="1"/>
  <c r="S2065" i="1"/>
  <c r="S2067" i="1"/>
  <c r="S2068" i="1"/>
  <c r="S2069" i="1"/>
  <c r="S2071" i="1"/>
  <c r="S2072" i="1"/>
  <c r="S2073" i="1"/>
  <c r="S2074" i="1"/>
  <c r="S2075" i="1"/>
  <c r="S2078" i="1"/>
  <c r="S2080" i="1"/>
  <c r="S2081" i="1"/>
  <c r="S2083" i="1"/>
  <c r="S2085" i="1"/>
  <c r="S2086" i="1"/>
  <c r="S2087" i="1"/>
  <c r="S2088" i="1"/>
  <c r="S2089" i="1"/>
  <c r="S2091" i="1"/>
  <c r="S2092" i="1"/>
  <c r="S2093" i="1"/>
  <c r="S2094" i="1"/>
  <c r="S2098" i="1"/>
  <c r="S2099" i="1"/>
  <c r="S2100" i="1"/>
  <c r="S2101" i="1"/>
  <c r="S2102" i="1"/>
  <c r="S2103" i="1"/>
  <c r="S2108" i="1"/>
  <c r="S2109" i="1"/>
  <c r="S2110" i="1"/>
  <c r="S2113" i="1"/>
  <c r="S2115" i="1"/>
  <c r="S2116" i="1"/>
  <c r="S2117" i="1"/>
  <c r="S2119" i="1"/>
  <c r="S2120" i="1"/>
  <c r="S2121" i="1"/>
  <c r="S2122" i="1"/>
  <c r="S2123" i="1"/>
  <c r="S2124" i="1"/>
  <c r="S2126" i="1"/>
  <c r="S2127" i="1"/>
  <c r="S2128" i="1"/>
  <c r="S2130" i="1"/>
  <c r="S2131" i="1"/>
  <c r="S2133" i="1"/>
  <c r="S2136" i="1"/>
  <c r="S2137" i="1"/>
  <c r="S2138" i="1"/>
  <c r="S2139" i="1"/>
  <c r="S2141" i="1"/>
  <c r="S2145" i="1"/>
  <c r="S2146" i="1"/>
  <c r="S2149" i="1"/>
  <c r="S2151" i="1"/>
  <c r="S2152" i="1"/>
  <c r="S2155" i="1"/>
  <c r="S2157" i="1"/>
  <c r="S2158" i="1"/>
  <c r="S2159" i="1"/>
  <c r="S2160" i="1"/>
  <c r="S2161" i="1"/>
  <c r="S2162" i="1"/>
  <c r="S2163" i="1"/>
  <c r="S2165" i="1"/>
  <c r="S2166" i="1"/>
  <c r="S2168" i="1"/>
  <c r="S2169" i="1"/>
  <c r="S2170" i="1"/>
  <c r="S2171" i="1"/>
  <c r="S2172" i="1"/>
  <c r="S2173" i="1"/>
  <c r="S2176" i="1"/>
  <c r="S2" i="1"/>
  <c r="Q297" i="1"/>
  <c r="U297" i="1" s="1"/>
  <c r="Q553" i="1"/>
  <c r="Q997" i="1"/>
  <c r="U997" i="1" s="1"/>
  <c r="Q1097" i="1"/>
  <c r="Q1225" i="1"/>
  <c r="U1225" i="1" s="1"/>
  <c r="Q1353" i="1"/>
  <c r="Q1481" i="1"/>
  <c r="U1481" i="1" s="1"/>
  <c r="Q1737" i="1"/>
  <c r="U1737" i="1" s="1"/>
  <c r="Q1865" i="1"/>
  <c r="T3" i="1"/>
  <c r="T4" i="1"/>
  <c r="T6" i="1"/>
  <c r="T8" i="1"/>
  <c r="T10" i="1"/>
  <c r="T11" i="1"/>
  <c r="T12" i="1"/>
  <c r="T15" i="1"/>
  <c r="T18" i="1"/>
  <c r="T19" i="1"/>
  <c r="T21" i="1"/>
  <c r="T22" i="1"/>
  <c r="T23" i="1"/>
  <c r="T25" i="1"/>
  <c r="T28" i="1"/>
  <c r="T29" i="1"/>
  <c r="T31" i="1"/>
  <c r="T32" i="1"/>
  <c r="T33" i="1"/>
  <c r="T34" i="1"/>
  <c r="T35" i="1"/>
  <c r="T36" i="1"/>
  <c r="T37" i="1"/>
  <c r="T38" i="1"/>
  <c r="T39" i="1"/>
  <c r="T43" i="1"/>
  <c r="T44" i="1"/>
  <c r="T46" i="1"/>
  <c r="T47" i="1"/>
  <c r="T49" i="1"/>
  <c r="T50" i="1"/>
  <c r="T51" i="1"/>
  <c r="T53" i="1"/>
  <c r="T56" i="1"/>
  <c r="T58" i="1"/>
  <c r="T59" i="1"/>
  <c r="T60" i="1"/>
  <c r="T62" i="1"/>
  <c r="T63" i="1"/>
  <c r="T64" i="1"/>
  <c r="T66" i="1"/>
  <c r="T67" i="1"/>
  <c r="T71" i="1"/>
  <c r="T72" i="1"/>
  <c r="T73" i="1"/>
  <c r="T74" i="1"/>
  <c r="T75" i="1"/>
  <c r="T78" i="1"/>
  <c r="T80" i="1"/>
  <c r="T81" i="1"/>
  <c r="T82" i="1"/>
  <c r="T83" i="1"/>
  <c r="T84" i="1"/>
  <c r="T85" i="1"/>
  <c r="T86" i="1"/>
  <c r="T87" i="1"/>
  <c r="T88" i="1"/>
  <c r="T89" i="1"/>
  <c r="T91" i="1"/>
  <c r="T92" i="1"/>
  <c r="T93" i="1"/>
  <c r="T94" i="1"/>
  <c r="T95" i="1"/>
  <c r="T96" i="1"/>
  <c r="T97" i="1"/>
  <c r="T99" i="1"/>
  <c r="T100" i="1"/>
  <c r="T108" i="1"/>
  <c r="T109" i="1"/>
  <c r="T111" i="1"/>
  <c r="T112" i="1"/>
  <c r="T113" i="1"/>
  <c r="T115" i="1"/>
  <c r="T116" i="1"/>
  <c r="T117" i="1"/>
  <c r="T118" i="1"/>
  <c r="T119" i="1"/>
  <c r="T120" i="1"/>
  <c r="T124" i="1"/>
  <c r="T128" i="1"/>
  <c r="T129" i="1"/>
  <c r="T132" i="1"/>
  <c r="T133" i="1"/>
  <c r="T134" i="1"/>
  <c r="T136" i="1"/>
  <c r="T137" i="1"/>
  <c r="T138" i="1"/>
  <c r="T140" i="1"/>
  <c r="T142" i="1"/>
  <c r="T143" i="1"/>
  <c r="T145" i="1"/>
  <c r="T146" i="1"/>
  <c r="T147" i="1"/>
  <c r="T148" i="1"/>
  <c r="T151" i="1"/>
  <c r="T152" i="1"/>
  <c r="T153" i="1"/>
  <c r="T154" i="1"/>
  <c r="T155" i="1"/>
  <c r="T156" i="1"/>
  <c r="T157" i="1"/>
  <c r="T159" i="1"/>
  <c r="T161" i="1"/>
  <c r="T163" i="1"/>
  <c r="T164" i="1"/>
  <c r="T165" i="1"/>
  <c r="T166" i="1"/>
  <c r="T167" i="1"/>
  <c r="T168" i="1"/>
  <c r="T169" i="1"/>
  <c r="T170" i="1"/>
  <c r="T172" i="1"/>
  <c r="T175" i="1"/>
  <c r="T177" i="1"/>
  <c r="T178" i="1"/>
  <c r="T180" i="1"/>
  <c r="T181" i="1"/>
  <c r="T182" i="1"/>
  <c r="T183" i="1"/>
  <c r="T184" i="1"/>
  <c r="T185" i="1"/>
  <c r="T186" i="1"/>
  <c r="T189" i="1"/>
  <c r="T190" i="1"/>
  <c r="T191" i="1"/>
  <c r="T192" i="1"/>
  <c r="T194" i="1"/>
  <c r="T195" i="1"/>
  <c r="T196" i="1"/>
  <c r="T197" i="1"/>
  <c r="T198" i="1"/>
  <c r="T199" i="1"/>
  <c r="T200" i="1"/>
  <c r="T201" i="1"/>
  <c r="T202" i="1"/>
  <c r="T204" i="1"/>
  <c r="T205" i="1"/>
  <c r="T206" i="1"/>
  <c r="T207" i="1"/>
  <c r="T208" i="1"/>
  <c r="T209" i="1"/>
  <c r="T211" i="1"/>
  <c r="T212" i="1"/>
  <c r="T213" i="1"/>
  <c r="T214" i="1"/>
  <c r="T216" i="1"/>
  <c r="T217" i="1"/>
  <c r="T218" i="1"/>
  <c r="T219" i="1"/>
  <c r="T221" i="1"/>
  <c r="T223" i="1"/>
  <c r="T224" i="1"/>
  <c r="T225" i="1"/>
  <c r="T226" i="1"/>
  <c r="T227" i="1"/>
  <c r="T228" i="1"/>
  <c r="T229" i="1"/>
  <c r="T230" i="1"/>
  <c r="T231" i="1"/>
  <c r="T232" i="1"/>
  <c r="T233" i="1"/>
  <c r="T234" i="1"/>
  <c r="T235" i="1"/>
  <c r="T237" i="1"/>
  <c r="T238" i="1"/>
  <c r="T239" i="1"/>
  <c r="T240" i="1"/>
  <c r="T242" i="1"/>
  <c r="T244" i="1"/>
  <c r="T246" i="1"/>
  <c r="T248" i="1"/>
  <c r="T249" i="1"/>
  <c r="T251" i="1"/>
  <c r="T252" i="1"/>
  <c r="T257" i="1"/>
  <c r="T258" i="1"/>
  <c r="T259" i="1"/>
  <c r="T260" i="1"/>
  <c r="T261" i="1"/>
  <c r="T262" i="1"/>
  <c r="T263" i="1"/>
  <c r="T264" i="1"/>
  <c r="T265" i="1"/>
  <c r="T266" i="1"/>
  <c r="T268" i="1"/>
  <c r="T270" i="1"/>
  <c r="T271" i="1"/>
  <c r="T273" i="1"/>
  <c r="T274" i="1"/>
  <c r="T276" i="1"/>
  <c r="T279" i="1"/>
  <c r="T280" i="1"/>
  <c r="T282" i="1"/>
  <c r="T283" i="1"/>
  <c r="T286" i="1"/>
  <c r="T287" i="1"/>
  <c r="T289" i="1"/>
  <c r="T290" i="1"/>
  <c r="T291" i="1"/>
  <c r="T292" i="1"/>
  <c r="T293" i="1"/>
  <c r="T295" i="1"/>
  <c r="T297" i="1"/>
  <c r="T299" i="1"/>
  <c r="T301" i="1"/>
  <c r="T302" i="1"/>
  <c r="T303" i="1"/>
  <c r="T304" i="1"/>
  <c r="T305" i="1"/>
  <c r="T306" i="1"/>
  <c r="T308" i="1"/>
  <c r="T309" i="1"/>
  <c r="T310" i="1"/>
  <c r="T311" i="1"/>
  <c r="T313" i="1"/>
  <c r="T316" i="1"/>
  <c r="T317" i="1"/>
  <c r="T318" i="1"/>
  <c r="T319" i="1"/>
  <c r="T321" i="1"/>
  <c r="T322" i="1"/>
  <c r="T323" i="1"/>
  <c r="T324" i="1"/>
  <c r="T326" i="1"/>
  <c r="T327" i="1"/>
  <c r="T328" i="1"/>
  <c r="T329" i="1"/>
  <c r="T330" i="1"/>
  <c r="T331" i="1"/>
  <c r="T332" i="1"/>
  <c r="T333" i="1"/>
  <c r="T334" i="1"/>
  <c r="T335" i="1"/>
  <c r="T336" i="1"/>
  <c r="T339" i="1"/>
  <c r="T340" i="1"/>
  <c r="T341" i="1"/>
  <c r="T342" i="1"/>
  <c r="T343" i="1"/>
  <c r="T344" i="1"/>
  <c r="T346" i="1"/>
  <c r="T347" i="1"/>
  <c r="T348" i="1"/>
  <c r="T349" i="1"/>
  <c r="T350" i="1"/>
  <c r="T352" i="1"/>
  <c r="T353" i="1"/>
  <c r="T354" i="1"/>
  <c r="T356" i="1"/>
  <c r="T357" i="1"/>
  <c r="T358" i="1"/>
  <c r="T359" i="1"/>
  <c r="T360" i="1"/>
  <c r="T361" i="1"/>
  <c r="T364" i="1"/>
  <c r="T365" i="1"/>
  <c r="T366" i="1"/>
  <c r="T367" i="1"/>
  <c r="T369" i="1"/>
  <c r="T370" i="1"/>
  <c r="T371" i="1"/>
  <c r="T372" i="1"/>
  <c r="T373" i="1"/>
  <c r="T374" i="1"/>
  <c r="T375" i="1"/>
  <c r="T376" i="1"/>
  <c r="T377" i="1"/>
  <c r="T378" i="1"/>
  <c r="T379" i="1"/>
  <c r="T380" i="1"/>
  <c r="T382" i="1"/>
  <c r="T383" i="1"/>
  <c r="T384" i="1"/>
  <c r="T385" i="1"/>
  <c r="T386" i="1"/>
  <c r="T387" i="1"/>
  <c r="T388" i="1"/>
  <c r="T389" i="1"/>
  <c r="T390" i="1"/>
  <c r="T392" i="1"/>
  <c r="T393" i="1"/>
  <c r="T394" i="1"/>
  <c r="T395" i="1"/>
  <c r="T396" i="1"/>
  <c r="T398" i="1"/>
  <c r="T400" i="1"/>
  <c r="T402" i="1"/>
  <c r="T403" i="1"/>
  <c r="T404" i="1"/>
  <c r="T406" i="1"/>
  <c r="T408" i="1"/>
  <c r="T409" i="1"/>
  <c r="T410" i="1"/>
  <c r="T411" i="1"/>
  <c r="T414" i="1"/>
  <c r="T415" i="1"/>
  <c r="T416" i="1"/>
  <c r="T418" i="1"/>
  <c r="T420" i="1"/>
  <c r="T421" i="1"/>
  <c r="T423" i="1"/>
  <c r="T424" i="1"/>
  <c r="T425" i="1"/>
  <c r="T426" i="1"/>
  <c r="T427" i="1"/>
  <c r="T429" i="1"/>
  <c r="T430" i="1"/>
  <c r="T431" i="1"/>
  <c r="T433" i="1"/>
  <c r="T438" i="1"/>
  <c r="T439" i="1"/>
  <c r="T440" i="1"/>
  <c r="T441" i="1"/>
  <c r="T442" i="1"/>
  <c r="T443" i="1"/>
  <c r="T444" i="1"/>
  <c r="T447" i="1"/>
  <c r="T448" i="1"/>
  <c r="T449" i="1"/>
  <c r="T451" i="1"/>
  <c r="T452" i="1"/>
  <c r="T454" i="1"/>
  <c r="T456" i="1"/>
  <c r="T457" i="1"/>
  <c r="T458" i="1"/>
  <c r="T459" i="1"/>
  <c r="T460" i="1"/>
  <c r="T462" i="1"/>
  <c r="T463" i="1"/>
  <c r="T464" i="1"/>
  <c r="T465" i="1"/>
  <c r="T467" i="1"/>
  <c r="T468" i="1"/>
  <c r="T469" i="1"/>
  <c r="T470" i="1"/>
  <c r="T471" i="1"/>
  <c r="T472" i="1"/>
  <c r="T473" i="1"/>
  <c r="T474" i="1"/>
  <c r="T476" i="1"/>
  <c r="T479" i="1"/>
  <c r="T480" i="1"/>
  <c r="T481" i="1"/>
  <c r="T483" i="1"/>
  <c r="T484" i="1"/>
  <c r="T485" i="1"/>
  <c r="T486" i="1"/>
  <c r="T487" i="1"/>
  <c r="T488" i="1"/>
  <c r="T490" i="1"/>
  <c r="T491" i="1"/>
  <c r="T492" i="1"/>
  <c r="T494" i="1"/>
  <c r="T495" i="1"/>
  <c r="T499" i="1"/>
  <c r="T503" i="1"/>
  <c r="T504" i="1"/>
  <c r="T506" i="1"/>
  <c r="T507" i="1"/>
  <c r="T509" i="1"/>
  <c r="T511" i="1"/>
  <c r="T512" i="1"/>
  <c r="T513" i="1"/>
  <c r="T514" i="1"/>
  <c r="T516" i="1"/>
  <c r="T517" i="1"/>
  <c r="T519" i="1"/>
  <c r="T520" i="1"/>
  <c r="T521" i="1"/>
  <c r="T522" i="1"/>
  <c r="T523" i="1"/>
  <c r="T524" i="1"/>
  <c r="T525" i="1"/>
  <c r="T528" i="1"/>
  <c r="T529" i="1"/>
  <c r="T530" i="1"/>
  <c r="T531" i="1"/>
  <c r="T532" i="1"/>
  <c r="T533" i="1"/>
  <c r="T535" i="1"/>
  <c r="T536" i="1"/>
  <c r="T537" i="1"/>
  <c r="T539" i="1"/>
  <c r="T541" i="1"/>
  <c r="T542" i="1"/>
  <c r="T543" i="1"/>
  <c r="T545" i="1"/>
  <c r="T546" i="1"/>
  <c r="T547" i="1"/>
  <c r="T548" i="1"/>
  <c r="T550" i="1"/>
  <c r="T551" i="1"/>
  <c r="T552" i="1"/>
  <c r="T554" i="1"/>
  <c r="T555" i="1"/>
  <c r="T556" i="1"/>
  <c r="T558" i="1"/>
  <c r="T559" i="1"/>
  <c r="T562" i="1"/>
  <c r="T563" i="1"/>
  <c r="T564" i="1"/>
  <c r="T565" i="1"/>
  <c r="T566" i="1"/>
  <c r="T568" i="1"/>
  <c r="T569" i="1"/>
  <c r="T571" i="1"/>
  <c r="T573" i="1"/>
  <c r="T574" i="1"/>
  <c r="T575" i="1"/>
  <c r="T577" i="1"/>
  <c r="T578" i="1"/>
  <c r="T579" i="1"/>
  <c r="T580" i="1"/>
  <c r="T581" i="1"/>
  <c r="T582" i="1"/>
  <c r="T583" i="1"/>
  <c r="T588" i="1"/>
  <c r="T589" i="1"/>
  <c r="T590" i="1"/>
  <c r="T591" i="1"/>
  <c r="T593" i="1"/>
  <c r="T594" i="1"/>
  <c r="T595" i="1"/>
  <c r="T596" i="1"/>
  <c r="T598" i="1"/>
  <c r="T601" i="1"/>
  <c r="T602" i="1"/>
  <c r="T603" i="1"/>
  <c r="T605" i="1"/>
  <c r="T606" i="1"/>
  <c r="T608" i="1"/>
  <c r="T609" i="1"/>
  <c r="T610" i="1"/>
  <c r="T611" i="1"/>
  <c r="T612" i="1"/>
  <c r="T613" i="1"/>
  <c r="T614" i="1"/>
  <c r="T615" i="1"/>
  <c r="T617" i="1"/>
  <c r="T618" i="1"/>
  <c r="T619" i="1"/>
  <c r="T620" i="1"/>
  <c r="T621" i="1"/>
  <c r="T622" i="1"/>
  <c r="T623" i="1"/>
  <c r="T625" i="1"/>
  <c r="T627" i="1"/>
  <c r="T629" i="1"/>
  <c r="T631" i="1"/>
  <c r="T632" i="1"/>
  <c r="T634" i="1"/>
  <c r="T635" i="1"/>
  <c r="T636" i="1"/>
  <c r="T637" i="1"/>
  <c r="T642" i="1"/>
  <c r="T643" i="1"/>
  <c r="T644" i="1"/>
  <c r="T645" i="1"/>
  <c r="T646" i="1"/>
  <c r="T650" i="1"/>
  <c r="T651" i="1"/>
  <c r="T653" i="1"/>
  <c r="T654" i="1"/>
  <c r="T657" i="1"/>
  <c r="T658" i="1"/>
  <c r="T659" i="1"/>
  <c r="T660" i="1"/>
  <c r="T661" i="1"/>
  <c r="T662" i="1"/>
  <c r="T663" i="1"/>
  <c r="T664" i="1"/>
  <c r="T666" i="1"/>
  <c r="T667" i="1"/>
  <c r="T668" i="1"/>
  <c r="T669" i="1"/>
  <c r="T670" i="1"/>
  <c r="T671" i="1"/>
  <c r="T672" i="1"/>
  <c r="T675" i="1"/>
  <c r="T676" i="1"/>
  <c r="T677" i="1"/>
  <c r="T678" i="1"/>
  <c r="T679" i="1"/>
  <c r="T680" i="1"/>
  <c r="T682" i="1"/>
  <c r="T683" i="1"/>
  <c r="T686" i="1"/>
  <c r="T687" i="1"/>
  <c r="T688" i="1"/>
  <c r="T690" i="1"/>
  <c r="T691" i="1"/>
  <c r="T692" i="1"/>
  <c r="T693" i="1"/>
  <c r="T694" i="1"/>
  <c r="T695" i="1"/>
  <c r="T696" i="1"/>
  <c r="T697" i="1"/>
  <c r="T698" i="1"/>
  <c r="T699" i="1"/>
  <c r="T700" i="1"/>
  <c r="T707" i="1"/>
  <c r="T709" i="1"/>
  <c r="T710" i="1"/>
  <c r="T711" i="1"/>
  <c r="T712" i="1"/>
  <c r="T714" i="1"/>
  <c r="T715" i="1"/>
  <c r="T717" i="1"/>
  <c r="T719" i="1"/>
  <c r="T720" i="1"/>
  <c r="T722" i="1"/>
  <c r="T723" i="1"/>
  <c r="T726" i="1"/>
  <c r="T727" i="1"/>
  <c r="T731" i="1"/>
  <c r="T732" i="1"/>
  <c r="T733" i="1"/>
  <c r="T734" i="1"/>
  <c r="T735" i="1"/>
  <c r="T736" i="1"/>
  <c r="T737" i="1"/>
  <c r="T739" i="1"/>
  <c r="T740" i="1"/>
  <c r="T741" i="1"/>
  <c r="T742" i="1"/>
  <c r="T743" i="1"/>
  <c r="T745" i="1"/>
  <c r="T747" i="1"/>
  <c r="T748" i="1"/>
  <c r="T749" i="1"/>
  <c r="T751" i="1"/>
  <c r="T752" i="1"/>
  <c r="T753" i="1"/>
  <c r="T754" i="1"/>
  <c r="T755" i="1"/>
  <c r="T757" i="1"/>
  <c r="T758" i="1"/>
  <c r="T760" i="1"/>
  <c r="T761" i="1"/>
  <c r="T762" i="1"/>
  <c r="T763" i="1"/>
  <c r="T765" i="1"/>
  <c r="T766" i="1"/>
  <c r="T767" i="1"/>
  <c r="T768" i="1"/>
  <c r="T769" i="1"/>
  <c r="T770" i="1"/>
  <c r="T771" i="1"/>
  <c r="T772" i="1"/>
  <c r="T773" i="1"/>
  <c r="T775" i="1"/>
  <c r="T776" i="1"/>
  <c r="T777" i="1"/>
  <c r="T778" i="1"/>
  <c r="T780" i="1"/>
  <c r="T782" i="1"/>
  <c r="T785" i="1"/>
  <c r="T786" i="1"/>
  <c r="T787" i="1"/>
  <c r="T788" i="1"/>
  <c r="T789" i="1"/>
  <c r="T792" i="1"/>
  <c r="T793" i="1"/>
  <c r="T794" i="1"/>
  <c r="T795" i="1"/>
  <c r="T796" i="1"/>
  <c r="T797" i="1"/>
  <c r="T798" i="1"/>
  <c r="T799" i="1"/>
  <c r="T800" i="1"/>
  <c r="T802" i="1"/>
  <c r="T803" i="1"/>
  <c r="T804" i="1"/>
  <c r="T808" i="1"/>
  <c r="T809" i="1"/>
  <c r="T810" i="1"/>
  <c r="T811" i="1"/>
  <c r="T813" i="1"/>
  <c r="T815" i="1"/>
  <c r="T816" i="1"/>
  <c r="T818" i="1"/>
  <c r="T819" i="1"/>
  <c r="T820" i="1"/>
  <c r="T822" i="1"/>
  <c r="T823" i="1"/>
  <c r="T826" i="1"/>
  <c r="T827" i="1"/>
  <c r="T829" i="1"/>
  <c r="T831" i="1"/>
  <c r="T833" i="1"/>
  <c r="T834" i="1"/>
  <c r="T835" i="1"/>
  <c r="T836" i="1"/>
  <c r="T837" i="1"/>
  <c r="T838" i="1"/>
  <c r="T839" i="1"/>
  <c r="T840" i="1"/>
  <c r="T842" i="1"/>
  <c r="T844" i="1"/>
  <c r="T845" i="1"/>
  <c r="T850" i="1"/>
  <c r="T851" i="1"/>
  <c r="T852" i="1"/>
  <c r="T854" i="1"/>
  <c r="T855" i="1"/>
  <c r="T856" i="1"/>
  <c r="T857" i="1"/>
  <c r="T858" i="1"/>
  <c r="T859" i="1"/>
  <c r="T861" i="1"/>
  <c r="T862" i="1"/>
  <c r="T863" i="1"/>
  <c r="T864" i="1"/>
  <c r="T865" i="1"/>
  <c r="T866" i="1"/>
  <c r="T868" i="1"/>
  <c r="T869" i="1"/>
  <c r="T870" i="1"/>
  <c r="T872" i="1"/>
  <c r="T873" i="1"/>
  <c r="T874" i="1"/>
  <c r="T875" i="1"/>
  <c r="T876" i="1"/>
  <c r="T877" i="1"/>
  <c r="T879" i="1"/>
  <c r="T880" i="1"/>
  <c r="T881" i="1"/>
  <c r="T882" i="1"/>
  <c r="T883" i="1"/>
  <c r="T884" i="1"/>
  <c r="T885" i="1"/>
  <c r="T886" i="1"/>
  <c r="T887" i="1"/>
  <c r="T888" i="1"/>
  <c r="T889" i="1"/>
  <c r="T891" i="1"/>
  <c r="T893" i="1"/>
  <c r="T895" i="1"/>
  <c r="T896" i="1"/>
  <c r="T897" i="1"/>
  <c r="T898" i="1"/>
  <c r="T899" i="1"/>
  <c r="T900" i="1"/>
  <c r="T901" i="1"/>
  <c r="T902" i="1"/>
  <c r="T903" i="1"/>
  <c r="T904" i="1"/>
  <c r="T906" i="1"/>
  <c r="T907" i="1"/>
  <c r="T910" i="1"/>
  <c r="T911" i="1"/>
  <c r="T912" i="1"/>
  <c r="T913" i="1"/>
  <c r="T914" i="1"/>
  <c r="T915" i="1"/>
  <c r="T917" i="1"/>
  <c r="T918" i="1"/>
  <c r="T919" i="1"/>
  <c r="T920" i="1"/>
  <c r="T922" i="1"/>
  <c r="T923" i="1"/>
  <c r="T924" i="1"/>
  <c r="T925" i="1"/>
  <c r="T926" i="1"/>
  <c r="T930" i="1"/>
  <c r="T932" i="1"/>
  <c r="T933" i="1"/>
  <c r="T934" i="1"/>
  <c r="T937" i="1"/>
  <c r="T938" i="1"/>
  <c r="T939" i="1"/>
  <c r="T940" i="1"/>
  <c r="T941" i="1"/>
  <c r="T942" i="1"/>
  <c r="T943" i="1"/>
  <c r="T944" i="1"/>
  <c r="T945" i="1"/>
  <c r="T946" i="1"/>
  <c r="T947" i="1"/>
  <c r="T948" i="1"/>
  <c r="T949" i="1"/>
  <c r="T950" i="1"/>
  <c r="T951" i="1"/>
  <c r="T952" i="1"/>
  <c r="T953" i="1"/>
  <c r="T955" i="1"/>
  <c r="T957" i="1"/>
  <c r="T958" i="1"/>
  <c r="T959" i="1"/>
  <c r="T962" i="1"/>
  <c r="T963" i="1"/>
  <c r="T964" i="1"/>
  <c r="T965" i="1"/>
  <c r="T967" i="1"/>
  <c r="T968" i="1"/>
  <c r="T969" i="1"/>
  <c r="T970" i="1"/>
  <c r="T971" i="1"/>
  <c r="T972" i="1"/>
  <c r="T973" i="1"/>
  <c r="T974" i="1"/>
  <c r="T975" i="1"/>
  <c r="T976" i="1"/>
  <c r="T977" i="1"/>
  <c r="T979" i="1"/>
  <c r="T981" i="1"/>
  <c r="T982" i="1"/>
  <c r="T984" i="1"/>
  <c r="T985" i="1"/>
  <c r="T987" i="1"/>
  <c r="T988" i="1"/>
  <c r="T989" i="1"/>
  <c r="T991" i="1"/>
  <c r="T992" i="1"/>
  <c r="T993" i="1"/>
  <c r="T994" i="1"/>
  <c r="T995" i="1"/>
  <c r="T996" i="1"/>
  <c r="T997" i="1"/>
  <c r="T998" i="1"/>
  <c r="T999" i="1"/>
  <c r="T1000" i="1"/>
  <c r="T1001" i="1"/>
  <c r="T1002" i="1"/>
  <c r="T1004" i="1"/>
  <c r="T1005" i="1"/>
  <c r="T1006" i="1"/>
  <c r="T1008" i="1"/>
  <c r="T1009" i="1"/>
  <c r="T1010" i="1"/>
  <c r="T1011" i="1"/>
  <c r="T1012" i="1"/>
  <c r="T1014" i="1"/>
  <c r="T1015" i="1"/>
  <c r="T1016" i="1"/>
  <c r="T1017" i="1"/>
  <c r="T1018" i="1"/>
  <c r="T1019" i="1"/>
  <c r="T1020" i="1"/>
  <c r="T1022" i="1"/>
  <c r="T1024" i="1"/>
  <c r="T1025" i="1"/>
  <c r="T1026" i="1"/>
  <c r="T1031" i="1"/>
  <c r="T1032" i="1"/>
  <c r="T1033" i="1"/>
  <c r="T1034" i="1"/>
  <c r="T1035" i="1"/>
  <c r="T1036" i="1"/>
  <c r="T1037" i="1"/>
  <c r="T1038" i="1"/>
  <c r="T1039" i="1"/>
  <c r="T1041" i="1"/>
  <c r="T1043" i="1"/>
  <c r="T1049" i="1"/>
  <c r="T1051" i="1"/>
  <c r="T1052" i="1"/>
  <c r="T1056" i="1"/>
  <c r="T1059" i="1"/>
  <c r="T1060" i="1"/>
  <c r="T1062" i="1"/>
  <c r="T1063" i="1"/>
  <c r="T1066" i="1"/>
  <c r="T1067" i="1"/>
  <c r="T1068" i="1"/>
  <c r="T1069" i="1"/>
  <c r="T1071" i="1"/>
  <c r="T1072" i="1"/>
  <c r="T1073" i="1"/>
  <c r="T1075" i="1"/>
  <c r="T1077" i="1"/>
  <c r="T1078" i="1"/>
  <c r="T1079" i="1"/>
  <c r="T1081" i="1"/>
  <c r="T1084" i="1"/>
  <c r="T1085" i="1"/>
  <c r="T1086" i="1"/>
  <c r="T1087" i="1"/>
  <c r="T1088" i="1"/>
  <c r="T1089" i="1"/>
  <c r="T1090" i="1"/>
  <c r="T1094" i="1"/>
  <c r="T1095" i="1"/>
  <c r="T1096" i="1"/>
  <c r="T1097" i="1"/>
  <c r="T1098" i="1"/>
  <c r="T1099" i="1"/>
  <c r="T1100" i="1"/>
  <c r="T1101" i="1"/>
  <c r="T1102" i="1"/>
  <c r="T1103" i="1"/>
  <c r="T1104" i="1"/>
  <c r="T1107" i="1"/>
  <c r="T1109" i="1"/>
  <c r="T1110" i="1"/>
  <c r="T1111" i="1"/>
  <c r="T1112" i="1"/>
  <c r="T1113" i="1"/>
  <c r="T1114" i="1"/>
  <c r="T1115" i="1"/>
  <c r="T1116" i="1"/>
  <c r="T1117" i="1"/>
  <c r="T1118" i="1"/>
  <c r="T1121" i="1"/>
  <c r="T1122" i="1"/>
  <c r="T1123" i="1"/>
  <c r="T1124" i="1"/>
  <c r="T1125" i="1"/>
  <c r="T1127" i="1"/>
  <c r="T1128" i="1"/>
  <c r="T1129" i="1"/>
  <c r="T1131" i="1"/>
  <c r="T1132" i="1"/>
  <c r="T1135" i="1"/>
  <c r="T1138" i="1"/>
  <c r="T1142" i="1"/>
  <c r="T1143" i="1"/>
  <c r="T1144" i="1"/>
  <c r="T1145" i="1"/>
  <c r="T1146" i="1"/>
  <c r="T1147" i="1"/>
  <c r="T1148" i="1"/>
  <c r="T1150" i="1"/>
  <c r="T1151" i="1"/>
  <c r="T1152" i="1"/>
  <c r="T1153" i="1"/>
  <c r="T1154" i="1"/>
  <c r="T1155" i="1"/>
  <c r="T1156" i="1"/>
  <c r="T1157" i="1"/>
  <c r="T1159" i="1"/>
  <c r="T1160" i="1"/>
  <c r="T1161" i="1"/>
  <c r="T1163" i="1"/>
  <c r="T1164" i="1"/>
  <c r="T1165" i="1"/>
  <c r="T1166" i="1"/>
  <c r="T1167" i="1"/>
  <c r="T1168" i="1"/>
  <c r="T1171" i="1"/>
  <c r="T1172" i="1"/>
  <c r="T1174" i="1"/>
  <c r="T1175" i="1"/>
  <c r="T1176" i="1"/>
  <c r="T1177" i="1"/>
  <c r="T1178" i="1"/>
  <c r="T1179" i="1"/>
  <c r="T1181" i="1"/>
  <c r="T1183" i="1"/>
  <c r="T1184" i="1"/>
  <c r="T1185" i="1"/>
  <c r="T1186" i="1"/>
  <c r="T1187" i="1"/>
  <c r="T1190" i="1"/>
  <c r="T1191" i="1"/>
  <c r="T1194" i="1"/>
  <c r="T1195" i="1"/>
  <c r="T1196" i="1"/>
  <c r="T1197" i="1"/>
  <c r="T1198" i="1"/>
  <c r="T1200" i="1"/>
  <c r="T1201" i="1"/>
  <c r="T1202" i="1"/>
  <c r="T1204" i="1"/>
  <c r="T1205" i="1"/>
  <c r="T1207" i="1"/>
  <c r="T1209" i="1"/>
  <c r="T1210" i="1"/>
  <c r="T1211" i="1"/>
  <c r="T1213" i="1"/>
  <c r="T1214" i="1"/>
  <c r="T1215" i="1"/>
  <c r="T1216" i="1"/>
  <c r="T1217" i="1"/>
  <c r="T1218" i="1"/>
  <c r="T1221" i="1"/>
  <c r="T1222" i="1"/>
  <c r="T1223" i="1"/>
  <c r="T1224" i="1"/>
  <c r="T1225" i="1"/>
  <c r="T1226" i="1"/>
  <c r="T1227" i="1"/>
  <c r="T1230" i="1"/>
  <c r="T1231" i="1"/>
  <c r="T1235" i="1"/>
  <c r="T1238" i="1"/>
  <c r="T1239" i="1"/>
  <c r="T1241" i="1"/>
  <c r="T1242" i="1"/>
  <c r="T1243" i="1"/>
  <c r="T1244" i="1"/>
  <c r="T1245" i="1"/>
  <c r="T1247" i="1"/>
  <c r="T1249" i="1"/>
  <c r="T1251" i="1"/>
  <c r="T1252" i="1"/>
  <c r="T1253" i="1"/>
  <c r="T1254" i="1"/>
  <c r="T1257" i="1"/>
  <c r="T1258" i="1"/>
  <c r="T1259" i="1"/>
  <c r="T1260" i="1"/>
  <c r="T1261" i="1"/>
  <c r="T1262" i="1"/>
  <c r="T1263" i="1"/>
  <c r="T1264" i="1"/>
  <c r="T1266" i="1"/>
  <c r="T1268" i="1"/>
  <c r="T1269" i="1"/>
  <c r="T1270" i="1"/>
  <c r="T1271" i="1"/>
  <c r="T1272" i="1"/>
  <c r="T1273" i="1"/>
  <c r="T1276" i="1"/>
  <c r="T1277" i="1"/>
  <c r="T1280" i="1"/>
  <c r="T1282" i="1"/>
  <c r="T1283" i="1"/>
  <c r="T1284" i="1"/>
  <c r="T1287" i="1"/>
  <c r="T1289" i="1"/>
  <c r="T1290" i="1"/>
  <c r="T1291" i="1"/>
  <c r="T1292" i="1"/>
  <c r="T1293" i="1"/>
  <c r="T1294" i="1"/>
  <c r="T1295" i="1"/>
  <c r="T1297" i="1"/>
  <c r="T1298" i="1"/>
  <c r="T1300" i="1"/>
  <c r="T1301" i="1"/>
  <c r="T1302" i="1"/>
  <c r="T1303" i="1"/>
  <c r="T1304" i="1"/>
  <c r="T1305" i="1"/>
  <c r="T1307" i="1"/>
  <c r="T1308" i="1"/>
  <c r="T1309" i="1"/>
  <c r="T1310" i="1"/>
  <c r="T1311" i="1"/>
  <c r="T1312" i="1"/>
  <c r="T1313" i="1"/>
  <c r="T1314" i="1"/>
  <c r="T1315" i="1"/>
  <c r="T1320" i="1"/>
  <c r="T1321" i="1"/>
  <c r="T1322" i="1"/>
  <c r="T1323" i="1"/>
  <c r="T1324" i="1"/>
  <c r="T1326" i="1"/>
  <c r="T1327" i="1"/>
  <c r="T1330" i="1"/>
  <c r="T1331" i="1"/>
  <c r="T1332" i="1"/>
  <c r="T1333" i="1"/>
  <c r="T1334" i="1"/>
  <c r="T1336" i="1"/>
  <c r="T1338" i="1"/>
  <c r="T1341" i="1"/>
  <c r="T1342" i="1"/>
  <c r="T1343" i="1"/>
  <c r="T1344" i="1"/>
  <c r="T1345" i="1"/>
  <c r="T1347" i="1"/>
  <c r="T1348" i="1"/>
  <c r="T1349" i="1"/>
  <c r="T1351" i="1"/>
  <c r="T1352" i="1"/>
  <c r="T1356" i="1"/>
  <c r="T1357" i="1"/>
  <c r="T1358" i="1"/>
  <c r="T1359" i="1"/>
  <c r="T1360" i="1"/>
  <c r="T1361" i="1"/>
  <c r="T1362" i="1"/>
  <c r="T1364" i="1"/>
  <c r="T1365" i="1"/>
  <c r="T1366" i="1"/>
  <c r="T1367" i="1"/>
  <c r="T1370" i="1"/>
  <c r="T1371" i="1"/>
  <c r="T1372" i="1"/>
  <c r="T1373" i="1"/>
  <c r="T1374" i="1"/>
  <c r="T1375" i="1"/>
  <c r="T1376" i="1"/>
  <c r="T1377" i="1"/>
  <c r="T1378" i="1"/>
  <c r="T1379" i="1"/>
  <c r="T1380" i="1"/>
  <c r="T1381" i="1"/>
  <c r="T1382" i="1"/>
  <c r="T1383" i="1"/>
  <c r="T1384" i="1"/>
  <c r="T1385" i="1"/>
  <c r="T1386" i="1"/>
  <c r="T1387" i="1"/>
  <c r="T1388" i="1"/>
  <c r="T1389" i="1"/>
  <c r="T1392" i="1"/>
  <c r="T1393" i="1"/>
  <c r="T1394" i="1"/>
  <c r="T1395" i="1"/>
  <c r="T1396" i="1"/>
  <c r="T1397" i="1"/>
  <c r="T1398" i="1"/>
  <c r="T1399" i="1"/>
  <c r="T1400" i="1"/>
  <c r="T1403" i="1"/>
  <c r="T1404" i="1"/>
  <c r="T1405" i="1"/>
  <c r="T1406" i="1"/>
  <c r="T1407" i="1"/>
  <c r="T1408" i="1"/>
  <c r="T1409" i="1"/>
  <c r="T1410" i="1"/>
  <c r="T1412" i="1"/>
  <c r="T1415" i="1"/>
  <c r="T1416" i="1"/>
  <c r="T1417" i="1"/>
  <c r="T1418" i="1"/>
  <c r="T1419" i="1"/>
  <c r="T1421" i="1"/>
  <c r="T1422" i="1"/>
  <c r="T1423" i="1"/>
  <c r="T1425" i="1"/>
  <c r="T1426" i="1"/>
  <c r="T1427" i="1"/>
  <c r="T1429" i="1"/>
  <c r="T1431" i="1"/>
  <c r="T1432" i="1"/>
  <c r="T1434" i="1"/>
  <c r="T1436" i="1"/>
  <c r="T1437" i="1"/>
  <c r="T1438" i="1"/>
  <c r="T1439" i="1"/>
  <c r="T1440" i="1"/>
  <c r="T1441" i="1"/>
  <c r="T1442" i="1"/>
  <c r="T1443" i="1"/>
  <c r="T1444" i="1"/>
  <c r="T1445" i="1"/>
  <c r="T1446" i="1"/>
  <c r="T1448" i="1"/>
  <c r="T1449" i="1"/>
  <c r="T1451" i="1"/>
  <c r="T1452" i="1"/>
  <c r="T1453" i="1"/>
  <c r="T1454" i="1"/>
  <c r="T1455" i="1"/>
  <c r="T1457" i="1"/>
  <c r="T1459" i="1"/>
  <c r="T1461" i="1"/>
  <c r="T1462" i="1"/>
  <c r="T1463" i="1"/>
  <c r="T1464" i="1"/>
  <c r="T1465" i="1"/>
  <c r="T1467" i="1"/>
  <c r="T1468" i="1"/>
  <c r="T1469" i="1"/>
  <c r="T1471" i="1"/>
  <c r="T1473" i="1"/>
  <c r="T1475" i="1"/>
  <c r="T1478" i="1"/>
  <c r="T1479" i="1"/>
  <c r="T1480" i="1"/>
  <c r="T1481" i="1"/>
  <c r="T1482" i="1"/>
  <c r="T1483" i="1"/>
  <c r="T1484" i="1"/>
  <c r="T1485" i="1"/>
  <c r="T1486" i="1"/>
  <c r="T1487" i="1"/>
  <c r="T1488" i="1"/>
  <c r="T1490" i="1"/>
  <c r="T1492" i="1"/>
  <c r="T1493" i="1"/>
  <c r="T1494" i="1"/>
  <c r="T1495" i="1"/>
  <c r="T1496" i="1"/>
  <c r="T1497" i="1"/>
  <c r="T1499" i="1"/>
  <c r="T1500" i="1"/>
  <c r="T1501" i="1"/>
  <c r="T1502" i="1"/>
  <c r="T1503" i="1"/>
  <c r="T1504" i="1"/>
  <c r="T1506" i="1"/>
  <c r="T1507" i="1"/>
  <c r="T1508" i="1"/>
  <c r="T1509" i="1"/>
  <c r="T1510" i="1"/>
  <c r="T1512" i="1"/>
  <c r="T1513" i="1"/>
  <c r="T1514" i="1"/>
  <c r="T1516" i="1"/>
  <c r="T1517" i="1"/>
  <c r="T1519" i="1"/>
  <c r="T1522" i="1"/>
  <c r="T1523" i="1"/>
  <c r="T1525" i="1"/>
  <c r="T1528" i="1"/>
  <c r="T1530" i="1"/>
  <c r="T1532" i="1"/>
  <c r="T1533" i="1"/>
  <c r="T1535" i="1"/>
  <c r="T1537" i="1"/>
  <c r="T1538" i="1"/>
  <c r="T1539" i="1"/>
  <c r="T1540" i="1"/>
  <c r="T1541" i="1"/>
  <c r="T1542" i="1"/>
  <c r="T1543" i="1"/>
  <c r="T1544" i="1"/>
  <c r="T1545" i="1"/>
  <c r="T1546" i="1"/>
  <c r="T1547" i="1"/>
  <c r="T1548" i="1"/>
  <c r="T1549" i="1"/>
  <c r="T1550" i="1"/>
  <c r="T1552" i="1"/>
  <c r="T1554" i="1"/>
  <c r="T1555" i="1"/>
  <c r="T1557" i="1"/>
  <c r="T1558" i="1"/>
  <c r="T1559" i="1"/>
  <c r="T1560" i="1"/>
  <c r="T1561" i="1"/>
  <c r="T1565" i="1"/>
  <c r="T1566" i="1"/>
  <c r="T1568" i="1"/>
  <c r="T1571" i="1"/>
  <c r="T1572" i="1"/>
  <c r="T1573" i="1"/>
  <c r="T1576" i="1"/>
  <c r="T1577" i="1"/>
  <c r="T1580" i="1"/>
  <c r="T1582" i="1"/>
  <c r="T1585" i="1"/>
  <c r="T1588" i="1"/>
  <c r="T1589" i="1"/>
  <c r="T1590" i="1"/>
  <c r="T1591" i="1"/>
  <c r="T1593" i="1"/>
  <c r="T1594" i="1"/>
  <c r="T1595" i="1"/>
  <c r="T1598" i="1"/>
  <c r="T1599" i="1"/>
  <c r="T1600" i="1"/>
  <c r="T1602" i="1"/>
  <c r="T1605" i="1"/>
  <c r="T1606" i="1"/>
  <c r="T1607" i="1"/>
  <c r="T1608" i="1"/>
  <c r="T1610" i="1"/>
  <c r="T1611" i="1"/>
  <c r="T1612" i="1"/>
  <c r="T1613" i="1"/>
  <c r="T1614" i="1"/>
  <c r="T1615" i="1"/>
  <c r="T1616" i="1"/>
  <c r="T1617" i="1"/>
  <c r="T1618" i="1"/>
  <c r="T1619" i="1"/>
  <c r="T1620" i="1"/>
  <c r="T1621" i="1"/>
  <c r="T1627" i="1"/>
  <c r="T1628" i="1"/>
  <c r="T1629" i="1"/>
  <c r="T1630" i="1"/>
  <c r="T1632" i="1"/>
  <c r="T1633" i="1"/>
  <c r="T1634" i="1"/>
  <c r="T1635" i="1"/>
  <c r="T1637" i="1"/>
  <c r="T1638" i="1"/>
  <c r="T1639" i="1"/>
  <c r="T1643" i="1"/>
  <c r="T1644" i="1"/>
  <c r="T1645" i="1"/>
  <c r="T1646" i="1"/>
  <c r="T1648" i="1"/>
  <c r="T1649" i="1"/>
  <c r="T1650" i="1"/>
  <c r="T1654" i="1"/>
  <c r="T1655" i="1"/>
  <c r="T1656" i="1"/>
  <c r="T1657" i="1"/>
  <c r="T1658" i="1"/>
  <c r="T1659" i="1"/>
  <c r="T1662" i="1"/>
  <c r="T1663" i="1"/>
  <c r="T1664" i="1"/>
  <c r="T1667" i="1"/>
  <c r="T1668" i="1"/>
  <c r="T1669" i="1"/>
  <c r="T1671" i="1"/>
  <c r="T1672" i="1"/>
  <c r="T1673" i="1"/>
  <c r="T1674" i="1"/>
  <c r="T1676" i="1"/>
  <c r="T1678" i="1"/>
  <c r="T1679" i="1"/>
  <c r="T1680" i="1"/>
  <c r="T1681" i="1"/>
  <c r="T1682" i="1"/>
  <c r="T1683" i="1"/>
  <c r="T1684" i="1"/>
  <c r="T1685" i="1"/>
  <c r="T1687" i="1"/>
  <c r="T1688" i="1"/>
  <c r="T1689" i="1"/>
  <c r="T1690" i="1"/>
  <c r="T1691" i="1"/>
  <c r="T1692" i="1"/>
  <c r="T1694" i="1"/>
  <c r="T1695" i="1"/>
  <c r="T1696" i="1"/>
  <c r="T1697" i="1"/>
  <c r="T1698" i="1"/>
  <c r="T1699" i="1"/>
  <c r="T1700" i="1"/>
  <c r="T1701" i="1"/>
  <c r="T1702" i="1"/>
  <c r="T1703" i="1"/>
  <c r="T1704" i="1"/>
  <c r="T1705" i="1"/>
  <c r="T1706" i="1"/>
  <c r="T1707" i="1"/>
  <c r="T1709" i="1"/>
  <c r="T1712" i="1"/>
  <c r="T1713" i="1"/>
  <c r="T1715" i="1"/>
  <c r="T1716" i="1"/>
  <c r="T1717" i="1"/>
  <c r="T1719" i="1"/>
  <c r="T1720" i="1"/>
  <c r="T1721" i="1"/>
  <c r="T1722" i="1"/>
  <c r="T1723" i="1"/>
  <c r="T1724" i="1"/>
  <c r="T1725" i="1"/>
  <c r="T1727" i="1"/>
  <c r="T1728" i="1"/>
  <c r="T1730" i="1"/>
  <c r="T1731" i="1"/>
  <c r="T1733" i="1"/>
  <c r="T1734" i="1"/>
  <c r="T1735" i="1"/>
  <c r="T1736" i="1"/>
  <c r="T1737" i="1"/>
  <c r="T1738" i="1"/>
  <c r="T1739" i="1"/>
  <c r="T1740" i="1"/>
  <c r="T1741" i="1"/>
  <c r="T1742" i="1"/>
  <c r="T1744" i="1"/>
  <c r="T1745" i="1"/>
  <c r="T1746" i="1"/>
  <c r="T1749" i="1"/>
  <c r="T1752" i="1"/>
  <c r="T1753" i="1"/>
  <c r="T1754" i="1"/>
  <c r="T1755" i="1"/>
  <c r="T1756" i="1"/>
  <c r="T1757" i="1"/>
  <c r="T1758" i="1"/>
  <c r="T1759" i="1"/>
  <c r="T1760" i="1"/>
  <c r="T1761" i="1"/>
  <c r="T1762" i="1"/>
  <c r="T1763" i="1"/>
  <c r="T1764" i="1"/>
  <c r="T1769" i="1"/>
  <c r="T1770" i="1"/>
  <c r="T1771" i="1"/>
  <c r="T1772" i="1"/>
  <c r="T1773" i="1"/>
  <c r="T1775" i="1"/>
  <c r="T1776" i="1"/>
  <c r="T1780" i="1"/>
  <c r="T1781" i="1"/>
  <c r="T1782" i="1"/>
  <c r="T1784" i="1"/>
  <c r="T1785" i="1"/>
  <c r="T1786" i="1"/>
  <c r="T1787" i="1"/>
  <c r="T1790" i="1"/>
  <c r="T1791" i="1"/>
  <c r="T1793" i="1"/>
  <c r="T1794" i="1"/>
  <c r="T1795" i="1"/>
  <c r="T1796" i="1"/>
  <c r="T1798" i="1"/>
  <c r="T1799" i="1"/>
  <c r="T1800" i="1"/>
  <c r="T1803" i="1"/>
  <c r="T1804" i="1"/>
  <c r="T1805" i="1"/>
  <c r="T1806" i="1"/>
  <c r="T1807" i="1"/>
  <c r="T1808" i="1"/>
  <c r="T1809" i="1"/>
  <c r="T1811" i="1"/>
  <c r="T1813" i="1"/>
  <c r="T1814" i="1"/>
  <c r="T1816" i="1"/>
  <c r="T1817" i="1"/>
  <c r="T1820" i="1"/>
  <c r="T1821" i="1"/>
  <c r="T1822" i="1"/>
  <c r="T1824" i="1"/>
  <c r="T1825" i="1"/>
  <c r="T1827" i="1"/>
  <c r="T1828" i="1"/>
  <c r="T1829" i="1"/>
  <c r="T1831" i="1"/>
  <c r="T1832" i="1"/>
  <c r="T1833" i="1"/>
  <c r="T1835" i="1"/>
  <c r="T1836" i="1"/>
  <c r="T1839" i="1"/>
  <c r="T1841" i="1"/>
  <c r="T1843" i="1"/>
  <c r="T1844" i="1"/>
  <c r="T1845" i="1"/>
  <c r="T1847" i="1"/>
  <c r="T1848" i="1"/>
  <c r="T1852" i="1"/>
  <c r="T1855" i="1"/>
  <c r="T1857" i="1"/>
  <c r="T1858" i="1"/>
  <c r="T1861" i="1"/>
  <c r="T1862" i="1"/>
  <c r="T1863" i="1"/>
  <c r="T1864" i="1"/>
  <c r="T1867" i="1"/>
  <c r="T1869" i="1"/>
  <c r="T1871" i="1"/>
  <c r="T1876" i="1"/>
  <c r="T1877" i="1"/>
  <c r="T1878" i="1"/>
  <c r="T1879" i="1"/>
  <c r="T1880" i="1"/>
  <c r="T1882" i="1"/>
  <c r="T1883" i="1"/>
  <c r="T1884" i="1"/>
  <c r="T1885" i="1"/>
  <c r="T1887" i="1"/>
  <c r="T1888" i="1"/>
  <c r="T1889" i="1"/>
  <c r="T1890" i="1"/>
  <c r="T1891" i="1"/>
  <c r="T1892" i="1"/>
  <c r="T1894" i="1"/>
  <c r="T1895" i="1"/>
  <c r="T1897" i="1"/>
  <c r="T1898" i="1"/>
  <c r="T1899" i="1"/>
  <c r="T1901" i="1"/>
  <c r="T1902" i="1"/>
  <c r="T1903" i="1"/>
  <c r="T1904" i="1"/>
  <c r="T1905" i="1"/>
  <c r="T1907" i="1"/>
  <c r="T1908" i="1"/>
  <c r="T1909" i="1"/>
  <c r="T1912" i="1"/>
  <c r="T1913" i="1"/>
  <c r="T1914" i="1"/>
  <c r="T1917" i="1"/>
  <c r="T1918" i="1"/>
  <c r="T1919" i="1"/>
  <c r="T1920" i="1"/>
  <c r="T1922" i="1"/>
  <c r="T1923" i="1"/>
  <c r="T1925" i="1"/>
  <c r="T1927" i="1"/>
  <c r="T1930" i="1"/>
  <c r="T1931" i="1"/>
  <c r="T1932" i="1"/>
  <c r="T1933" i="1"/>
  <c r="T1934" i="1"/>
  <c r="T1935" i="1"/>
  <c r="T1936" i="1"/>
  <c r="T1937" i="1"/>
  <c r="T1939" i="1"/>
  <c r="T1941" i="1"/>
  <c r="T1944" i="1"/>
  <c r="T1945" i="1"/>
  <c r="T1946" i="1"/>
  <c r="T1947" i="1"/>
  <c r="T1948" i="1"/>
  <c r="T1949" i="1"/>
  <c r="T1950" i="1"/>
  <c r="T1953" i="1"/>
  <c r="T1954" i="1"/>
  <c r="T1956" i="1"/>
  <c r="T1957" i="1"/>
  <c r="T1959" i="1"/>
  <c r="T1962" i="1"/>
  <c r="T1963" i="1"/>
  <c r="T1965" i="1"/>
  <c r="T1967" i="1"/>
  <c r="T1968" i="1"/>
  <c r="T1969" i="1"/>
  <c r="T1970" i="1"/>
  <c r="T1972" i="1"/>
  <c r="T1974" i="1"/>
  <c r="T1976" i="1"/>
  <c r="T1977" i="1"/>
  <c r="T1978" i="1"/>
  <c r="T1979" i="1"/>
  <c r="T1980" i="1"/>
  <c r="T1981" i="1"/>
  <c r="T1982" i="1"/>
  <c r="T1983" i="1"/>
  <c r="T1984" i="1"/>
  <c r="T1985" i="1"/>
  <c r="T1986" i="1"/>
  <c r="T1988" i="1"/>
  <c r="T1989" i="1"/>
  <c r="T1990" i="1"/>
  <c r="T1991" i="1"/>
  <c r="T1992" i="1"/>
  <c r="T1993" i="1"/>
  <c r="T1994" i="1"/>
  <c r="T1996" i="1"/>
  <c r="T1997" i="1"/>
  <c r="T1998" i="1"/>
  <c r="T1999" i="1"/>
  <c r="T2000" i="1"/>
  <c r="T2002" i="1"/>
  <c r="T2003" i="1"/>
  <c r="T2004" i="1"/>
  <c r="T2006" i="1"/>
  <c r="T2007" i="1"/>
  <c r="T2009" i="1"/>
  <c r="T2010" i="1"/>
  <c r="T2011" i="1"/>
  <c r="T2014" i="1"/>
  <c r="T2016" i="1"/>
  <c r="T2017" i="1"/>
  <c r="T2021" i="1"/>
  <c r="T2022" i="1"/>
  <c r="T2025" i="1"/>
  <c r="T2026" i="1"/>
  <c r="T2027" i="1"/>
  <c r="T2028" i="1"/>
  <c r="T2030" i="1"/>
  <c r="T2031" i="1"/>
  <c r="T2032" i="1"/>
  <c r="T2033" i="1"/>
  <c r="T2035" i="1"/>
  <c r="T2036" i="1"/>
  <c r="T2037" i="1"/>
  <c r="T2039" i="1"/>
  <c r="T2040" i="1"/>
  <c r="T2041" i="1"/>
  <c r="T2044" i="1"/>
  <c r="T2045" i="1"/>
  <c r="T2048" i="1"/>
  <c r="T2049" i="1"/>
  <c r="T2050" i="1"/>
  <c r="T2051" i="1"/>
  <c r="T2054" i="1"/>
  <c r="T2055" i="1"/>
  <c r="T2056" i="1"/>
  <c r="T2058" i="1"/>
  <c r="T2059" i="1"/>
  <c r="T2060" i="1"/>
  <c r="T2061" i="1"/>
  <c r="T2062" i="1"/>
  <c r="T2065" i="1"/>
  <c r="T2067" i="1"/>
  <c r="T2068" i="1"/>
  <c r="T2069" i="1"/>
  <c r="T2071" i="1"/>
  <c r="T2072" i="1"/>
  <c r="T2073" i="1"/>
  <c r="T2074" i="1"/>
  <c r="T2075" i="1"/>
  <c r="T2078" i="1"/>
  <c r="T2080" i="1"/>
  <c r="T2081" i="1"/>
  <c r="T2083" i="1"/>
  <c r="T2085" i="1"/>
  <c r="T2086" i="1"/>
  <c r="T2087" i="1"/>
  <c r="T2088" i="1"/>
  <c r="T2089" i="1"/>
  <c r="T2091" i="1"/>
  <c r="T2092" i="1"/>
  <c r="T2093" i="1"/>
  <c r="T2094" i="1"/>
  <c r="T2098" i="1"/>
  <c r="T2099" i="1"/>
  <c r="T2100" i="1"/>
  <c r="T2101" i="1"/>
  <c r="T2102" i="1"/>
  <c r="T2103" i="1"/>
  <c r="T2108" i="1"/>
  <c r="T2109" i="1"/>
  <c r="T2110" i="1"/>
  <c r="T2113" i="1"/>
  <c r="T2115" i="1"/>
  <c r="T2116" i="1"/>
  <c r="T2117" i="1"/>
  <c r="T2119" i="1"/>
  <c r="T2120" i="1"/>
  <c r="T2121" i="1"/>
  <c r="T2122" i="1"/>
  <c r="T2123" i="1"/>
  <c r="T2124" i="1"/>
  <c r="T2126" i="1"/>
  <c r="T2127" i="1"/>
  <c r="T2128" i="1"/>
  <c r="T2130" i="1"/>
  <c r="T2131" i="1"/>
  <c r="T2133" i="1"/>
  <c r="T2136" i="1"/>
  <c r="T2137" i="1"/>
  <c r="T2138" i="1"/>
  <c r="T2139" i="1"/>
  <c r="T2141" i="1"/>
  <c r="T2145" i="1"/>
  <c r="T2146" i="1"/>
  <c r="T2149" i="1"/>
  <c r="T2151" i="1"/>
  <c r="T2152" i="1"/>
  <c r="T2155" i="1"/>
  <c r="T2157" i="1"/>
  <c r="T2158" i="1"/>
  <c r="T2159" i="1"/>
  <c r="T2160" i="1"/>
  <c r="T2161" i="1"/>
  <c r="T2162" i="1"/>
  <c r="T2163" i="1"/>
  <c r="T2165" i="1"/>
  <c r="T2166" i="1"/>
  <c r="T2168" i="1"/>
  <c r="T2169" i="1"/>
  <c r="T2170" i="1"/>
  <c r="T2171" i="1"/>
  <c r="T2172" i="1"/>
  <c r="T2173" i="1"/>
  <c r="T2176" i="1"/>
  <c r="T2" i="1"/>
  <c r="K3" i="1"/>
  <c r="K4" i="1"/>
  <c r="K5" i="1"/>
  <c r="K6" i="1"/>
  <c r="K7" i="1"/>
  <c r="K8" i="1"/>
  <c r="K9" i="1"/>
  <c r="K10" i="1"/>
  <c r="K11" i="1"/>
  <c r="K12" i="1"/>
  <c r="K13" i="1"/>
  <c r="K14" i="1"/>
  <c r="K15" i="1"/>
  <c r="P15" i="1" s="1"/>
  <c r="K16" i="1"/>
  <c r="K17" i="1"/>
  <c r="K18" i="1"/>
  <c r="K19" i="1"/>
  <c r="K20" i="1"/>
  <c r="K21" i="1"/>
  <c r="K22" i="1"/>
  <c r="K23" i="1"/>
  <c r="K24" i="1"/>
  <c r="K25" i="1"/>
  <c r="K26" i="1"/>
  <c r="K27" i="1"/>
  <c r="K28" i="1"/>
  <c r="K29" i="1"/>
  <c r="K30" i="1"/>
  <c r="K31" i="1"/>
  <c r="P31" i="1" s="1"/>
  <c r="K32" i="1"/>
  <c r="K33" i="1"/>
  <c r="K34" i="1"/>
  <c r="K35" i="1"/>
  <c r="K36" i="1"/>
  <c r="K37" i="1"/>
  <c r="K38" i="1"/>
  <c r="K39" i="1"/>
  <c r="K40" i="1"/>
  <c r="K41" i="1"/>
  <c r="K42" i="1"/>
  <c r="K43" i="1"/>
  <c r="K44" i="1"/>
  <c r="K45" i="1"/>
  <c r="K46" i="1"/>
  <c r="K47" i="1"/>
  <c r="P47" i="1" s="1"/>
  <c r="K48" i="1"/>
  <c r="K49" i="1"/>
  <c r="K50" i="1"/>
  <c r="K51" i="1"/>
  <c r="K52" i="1"/>
  <c r="K53" i="1"/>
  <c r="K54" i="1"/>
  <c r="K55" i="1"/>
  <c r="K56" i="1"/>
  <c r="K57" i="1"/>
  <c r="K58" i="1"/>
  <c r="K59" i="1"/>
  <c r="K60" i="1"/>
  <c r="K61" i="1"/>
  <c r="K62" i="1"/>
  <c r="K63" i="1"/>
  <c r="P63" i="1" s="1"/>
  <c r="K64" i="1"/>
  <c r="K65" i="1"/>
  <c r="K66" i="1"/>
  <c r="K67" i="1"/>
  <c r="K68" i="1"/>
  <c r="K69" i="1"/>
  <c r="K70" i="1"/>
  <c r="K71" i="1"/>
  <c r="K72" i="1"/>
  <c r="K73" i="1"/>
  <c r="K74" i="1"/>
  <c r="K75" i="1"/>
  <c r="K76" i="1"/>
  <c r="K77" i="1"/>
  <c r="K78" i="1"/>
  <c r="K79" i="1"/>
  <c r="K80" i="1"/>
  <c r="K81" i="1"/>
  <c r="K82" i="1"/>
  <c r="K83" i="1"/>
  <c r="K84" i="1"/>
  <c r="P84" i="1" s="1"/>
  <c r="K85" i="1"/>
  <c r="K86" i="1"/>
  <c r="K87" i="1"/>
  <c r="K88" i="1"/>
  <c r="K89" i="1"/>
  <c r="K90" i="1"/>
  <c r="K91" i="1"/>
  <c r="K92" i="1"/>
  <c r="K93" i="1"/>
  <c r="K94" i="1"/>
  <c r="K95" i="1"/>
  <c r="P95" i="1" s="1"/>
  <c r="K96" i="1"/>
  <c r="K97" i="1"/>
  <c r="K98" i="1"/>
  <c r="K99" i="1"/>
  <c r="K100" i="1"/>
  <c r="K101" i="1"/>
  <c r="K102" i="1"/>
  <c r="K103" i="1"/>
  <c r="K104" i="1"/>
  <c r="K105" i="1"/>
  <c r="K106" i="1"/>
  <c r="K107" i="1"/>
  <c r="K108" i="1"/>
  <c r="K109" i="1"/>
  <c r="K110" i="1"/>
  <c r="K111" i="1"/>
  <c r="P111" i="1" s="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P143" i="1" s="1"/>
  <c r="K144" i="1"/>
  <c r="K145" i="1"/>
  <c r="K146" i="1"/>
  <c r="K147" i="1"/>
  <c r="K148" i="1"/>
  <c r="P148" i="1" s="1"/>
  <c r="K149" i="1"/>
  <c r="K150" i="1"/>
  <c r="K151" i="1"/>
  <c r="K152" i="1"/>
  <c r="K153" i="1"/>
  <c r="K154" i="1"/>
  <c r="K155" i="1"/>
  <c r="K156" i="1"/>
  <c r="K157" i="1"/>
  <c r="K158" i="1"/>
  <c r="K159" i="1"/>
  <c r="P159" i="1" s="1"/>
  <c r="K160" i="1"/>
  <c r="K161" i="1"/>
  <c r="K162" i="1"/>
  <c r="K163" i="1"/>
  <c r="K164" i="1"/>
  <c r="K165" i="1"/>
  <c r="K166" i="1"/>
  <c r="K167" i="1"/>
  <c r="K168" i="1"/>
  <c r="K169" i="1"/>
  <c r="P169" i="1" s="1"/>
  <c r="K170" i="1"/>
  <c r="K171" i="1"/>
  <c r="K172" i="1"/>
  <c r="K173" i="1"/>
  <c r="K174" i="1"/>
  <c r="K175" i="1"/>
  <c r="P175" i="1" s="1"/>
  <c r="K176" i="1"/>
  <c r="K177" i="1"/>
  <c r="K178" i="1"/>
  <c r="K179" i="1"/>
  <c r="K180" i="1"/>
  <c r="K181" i="1"/>
  <c r="K182" i="1"/>
  <c r="K183" i="1"/>
  <c r="K184" i="1"/>
  <c r="K185" i="1"/>
  <c r="K186" i="1"/>
  <c r="K187" i="1"/>
  <c r="K188" i="1"/>
  <c r="K189" i="1"/>
  <c r="K190" i="1"/>
  <c r="K191" i="1"/>
  <c r="P191" i="1" s="1"/>
  <c r="K192" i="1"/>
  <c r="K193" i="1"/>
  <c r="K194" i="1"/>
  <c r="K195" i="1"/>
  <c r="K196" i="1"/>
  <c r="K197" i="1"/>
  <c r="K198" i="1"/>
  <c r="K199" i="1"/>
  <c r="K200" i="1"/>
  <c r="K201" i="1"/>
  <c r="K202" i="1"/>
  <c r="K203" i="1"/>
  <c r="K204" i="1"/>
  <c r="K205" i="1"/>
  <c r="K206" i="1"/>
  <c r="K207" i="1"/>
  <c r="P207" i="1" s="1"/>
  <c r="K208" i="1"/>
  <c r="K209" i="1"/>
  <c r="K210" i="1"/>
  <c r="K211" i="1"/>
  <c r="K212" i="1"/>
  <c r="P212" i="1" s="1"/>
  <c r="K213" i="1"/>
  <c r="K214" i="1"/>
  <c r="K215" i="1"/>
  <c r="K216" i="1"/>
  <c r="K217" i="1"/>
  <c r="K218" i="1"/>
  <c r="K219" i="1"/>
  <c r="K220" i="1"/>
  <c r="K221" i="1"/>
  <c r="K222" i="1"/>
  <c r="K223" i="1"/>
  <c r="P223" i="1" s="1"/>
  <c r="K224" i="1"/>
  <c r="K225" i="1"/>
  <c r="K226" i="1"/>
  <c r="K227" i="1"/>
  <c r="K228" i="1"/>
  <c r="K229" i="1"/>
  <c r="K230" i="1"/>
  <c r="K231" i="1"/>
  <c r="K232" i="1"/>
  <c r="K233" i="1"/>
  <c r="P233" i="1" s="1"/>
  <c r="K234" i="1"/>
  <c r="K235" i="1"/>
  <c r="K236" i="1"/>
  <c r="K237" i="1"/>
  <c r="K238" i="1"/>
  <c r="K239" i="1"/>
  <c r="P239" i="1" s="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P271" i="1" s="1"/>
  <c r="K272" i="1"/>
  <c r="S272" i="1" s="1"/>
  <c r="K273" i="1"/>
  <c r="K274" i="1"/>
  <c r="K275" i="1"/>
  <c r="K276" i="1"/>
  <c r="P276" i="1" s="1"/>
  <c r="K277" i="1"/>
  <c r="K278" i="1"/>
  <c r="K279" i="1"/>
  <c r="K280" i="1"/>
  <c r="K281" i="1"/>
  <c r="K282" i="1"/>
  <c r="K283" i="1"/>
  <c r="K284" i="1"/>
  <c r="S284" i="1" s="1"/>
  <c r="K285" i="1"/>
  <c r="K286" i="1"/>
  <c r="K287" i="1"/>
  <c r="P287" i="1" s="1"/>
  <c r="K288" i="1"/>
  <c r="K289" i="1"/>
  <c r="K290" i="1"/>
  <c r="K291" i="1"/>
  <c r="K292" i="1"/>
  <c r="K293" i="1"/>
  <c r="K294" i="1"/>
  <c r="K295" i="1"/>
  <c r="K296" i="1"/>
  <c r="K297" i="1"/>
  <c r="P297" i="1" s="1"/>
  <c r="K298" i="1"/>
  <c r="K299" i="1"/>
  <c r="K300" i="1"/>
  <c r="K301" i="1"/>
  <c r="K302" i="1"/>
  <c r="K303" i="1"/>
  <c r="P303" i="1" s="1"/>
  <c r="K304" i="1"/>
  <c r="K305" i="1"/>
  <c r="K306" i="1"/>
  <c r="K307" i="1"/>
  <c r="K308" i="1"/>
  <c r="K309" i="1"/>
  <c r="K310" i="1"/>
  <c r="K311" i="1"/>
  <c r="K312" i="1"/>
  <c r="K313" i="1"/>
  <c r="K314" i="1"/>
  <c r="K315" i="1"/>
  <c r="K316" i="1"/>
  <c r="K317" i="1"/>
  <c r="K318" i="1"/>
  <c r="K319" i="1"/>
  <c r="P319" i="1" s="1"/>
  <c r="K320" i="1"/>
  <c r="K321" i="1"/>
  <c r="K322" i="1"/>
  <c r="K323" i="1"/>
  <c r="K324" i="1"/>
  <c r="K325" i="1"/>
  <c r="K326" i="1"/>
  <c r="K327" i="1"/>
  <c r="K328" i="1"/>
  <c r="K329" i="1"/>
  <c r="K330" i="1"/>
  <c r="K331" i="1"/>
  <c r="K332" i="1"/>
  <c r="K333" i="1"/>
  <c r="K334" i="1"/>
  <c r="K335" i="1"/>
  <c r="P335" i="1" s="1"/>
  <c r="K336" i="1"/>
  <c r="K337" i="1"/>
  <c r="K338" i="1"/>
  <c r="K339" i="1"/>
  <c r="K340" i="1"/>
  <c r="P340" i="1" s="1"/>
  <c r="K341" i="1"/>
  <c r="K342" i="1"/>
  <c r="K343" i="1"/>
  <c r="K344" i="1"/>
  <c r="K345" i="1"/>
  <c r="K346" i="1"/>
  <c r="K347" i="1"/>
  <c r="K348" i="1"/>
  <c r="K349" i="1"/>
  <c r="K350" i="1"/>
  <c r="K351" i="1"/>
  <c r="K352" i="1"/>
  <c r="K353" i="1"/>
  <c r="K354" i="1"/>
  <c r="K355" i="1"/>
  <c r="K356" i="1"/>
  <c r="K357" i="1"/>
  <c r="K358" i="1"/>
  <c r="K359" i="1"/>
  <c r="K360" i="1"/>
  <c r="K361" i="1"/>
  <c r="P361" i="1" s="1"/>
  <c r="K362" i="1"/>
  <c r="K363" i="1"/>
  <c r="K364" i="1"/>
  <c r="K365" i="1"/>
  <c r="K366" i="1"/>
  <c r="K367" i="1"/>
  <c r="P367" i="1" s="1"/>
  <c r="K368" i="1"/>
  <c r="K369" i="1"/>
  <c r="K370" i="1"/>
  <c r="K371" i="1"/>
  <c r="K372" i="1"/>
  <c r="K373" i="1"/>
  <c r="K374" i="1"/>
  <c r="K375" i="1"/>
  <c r="K376" i="1"/>
  <c r="K377" i="1"/>
  <c r="K378" i="1"/>
  <c r="K379" i="1"/>
  <c r="K380" i="1"/>
  <c r="K381" i="1"/>
  <c r="K382" i="1"/>
  <c r="K383" i="1"/>
  <c r="P383" i="1" s="1"/>
  <c r="K384" i="1"/>
  <c r="K385" i="1"/>
  <c r="K386" i="1"/>
  <c r="K387" i="1"/>
  <c r="K388" i="1"/>
  <c r="K389" i="1"/>
  <c r="K390" i="1"/>
  <c r="K391" i="1"/>
  <c r="K392" i="1"/>
  <c r="K393" i="1"/>
  <c r="K394" i="1"/>
  <c r="K395" i="1"/>
  <c r="K396" i="1"/>
  <c r="K397" i="1"/>
  <c r="K398" i="1"/>
  <c r="K399" i="1"/>
  <c r="K400" i="1"/>
  <c r="K401" i="1"/>
  <c r="K402" i="1"/>
  <c r="K403" i="1"/>
  <c r="K404" i="1"/>
  <c r="P404" i="1" s="1"/>
  <c r="K405" i="1"/>
  <c r="K406" i="1"/>
  <c r="K407" i="1"/>
  <c r="K408" i="1"/>
  <c r="K409" i="1"/>
  <c r="K410" i="1"/>
  <c r="K411" i="1"/>
  <c r="K412" i="1"/>
  <c r="K413" i="1"/>
  <c r="K414" i="1"/>
  <c r="K415" i="1"/>
  <c r="P415" i="1" s="1"/>
  <c r="K416" i="1"/>
  <c r="K417" i="1"/>
  <c r="K418" i="1"/>
  <c r="K419" i="1"/>
  <c r="K420" i="1"/>
  <c r="K421" i="1"/>
  <c r="K422" i="1"/>
  <c r="K423" i="1"/>
  <c r="K424" i="1"/>
  <c r="K425" i="1"/>
  <c r="P425" i="1" s="1"/>
  <c r="K426" i="1"/>
  <c r="K427" i="1"/>
  <c r="K428" i="1"/>
  <c r="K429" i="1"/>
  <c r="K430" i="1"/>
  <c r="K431" i="1"/>
  <c r="P431" i="1" s="1"/>
  <c r="K432" i="1"/>
  <c r="K433" i="1"/>
  <c r="K434" i="1"/>
  <c r="K435" i="1"/>
  <c r="K436" i="1"/>
  <c r="K437" i="1"/>
  <c r="K438" i="1"/>
  <c r="K439" i="1"/>
  <c r="K440" i="1"/>
  <c r="K441" i="1"/>
  <c r="K442" i="1"/>
  <c r="K443" i="1"/>
  <c r="K444" i="1"/>
  <c r="K445" i="1"/>
  <c r="K446" i="1"/>
  <c r="K447" i="1"/>
  <c r="P447" i="1" s="1"/>
  <c r="K448" i="1"/>
  <c r="K449" i="1"/>
  <c r="K450" i="1"/>
  <c r="K451" i="1"/>
  <c r="K452" i="1"/>
  <c r="K453" i="1"/>
  <c r="K454" i="1"/>
  <c r="K455" i="1"/>
  <c r="K456" i="1"/>
  <c r="K457" i="1"/>
  <c r="K458" i="1"/>
  <c r="K459" i="1"/>
  <c r="K460" i="1"/>
  <c r="K461" i="1"/>
  <c r="K462" i="1"/>
  <c r="K463" i="1"/>
  <c r="P463" i="1" s="1"/>
  <c r="K464" i="1"/>
  <c r="K465" i="1"/>
  <c r="K466" i="1"/>
  <c r="K467" i="1"/>
  <c r="K468" i="1"/>
  <c r="P468" i="1" s="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P511" i="1" s="1"/>
  <c r="K512" i="1"/>
  <c r="K513" i="1"/>
  <c r="K514" i="1"/>
  <c r="K515" i="1"/>
  <c r="K516" i="1"/>
  <c r="K517" i="1"/>
  <c r="K518" i="1"/>
  <c r="K519" i="1"/>
  <c r="K520" i="1"/>
  <c r="K521" i="1"/>
  <c r="K522" i="1"/>
  <c r="K523" i="1"/>
  <c r="K524" i="1"/>
  <c r="K525" i="1"/>
  <c r="K526" i="1"/>
  <c r="K527" i="1"/>
  <c r="K528" i="1"/>
  <c r="K529" i="1"/>
  <c r="K530" i="1"/>
  <c r="K531" i="1"/>
  <c r="K532" i="1"/>
  <c r="P532" i="1" s="1"/>
  <c r="K533" i="1"/>
  <c r="K534" i="1"/>
  <c r="K535" i="1"/>
  <c r="K536" i="1"/>
  <c r="K537" i="1"/>
  <c r="K538" i="1"/>
  <c r="K539" i="1"/>
  <c r="K540" i="1"/>
  <c r="K541" i="1"/>
  <c r="K542" i="1"/>
  <c r="K543" i="1"/>
  <c r="K544" i="1"/>
  <c r="K545" i="1"/>
  <c r="K546" i="1"/>
  <c r="K547" i="1"/>
  <c r="K548" i="1"/>
  <c r="K549" i="1"/>
  <c r="S549" i="1" s="1"/>
  <c r="K550" i="1"/>
  <c r="K551" i="1"/>
  <c r="K552" i="1"/>
  <c r="K553" i="1"/>
  <c r="P553" i="1" s="1"/>
  <c r="K554" i="1"/>
  <c r="K555" i="1"/>
  <c r="K556" i="1"/>
  <c r="K557" i="1"/>
  <c r="S557" i="1" s="1"/>
  <c r="K558" i="1"/>
  <c r="K559" i="1"/>
  <c r="K560" i="1"/>
  <c r="K561" i="1"/>
  <c r="K562" i="1"/>
  <c r="K563" i="1"/>
  <c r="K564" i="1"/>
  <c r="K565" i="1"/>
  <c r="K566" i="1"/>
  <c r="K567" i="1"/>
  <c r="K568" i="1"/>
  <c r="K569" i="1"/>
  <c r="K570" i="1"/>
  <c r="K571" i="1"/>
  <c r="K572" i="1"/>
  <c r="K573" i="1"/>
  <c r="K574" i="1"/>
  <c r="K575" i="1"/>
  <c r="P575" i="1" s="1"/>
  <c r="K576" i="1"/>
  <c r="K577" i="1"/>
  <c r="K578" i="1"/>
  <c r="K579" i="1"/>
  <c r="K580" i="1"/>
  <c r="K581" i="1"/>
  <c r="K582" i="1"/>
  <c r="K583" i="1"/>
  <c r="K584" i="1"/>
  <c r="K585" i="1"/>
  <c r="K586" i="1"/>
  <c r="K587" i="1"/>
  <c r="K588" i="1"/>
  <c r="K589" i="1"/>
  <c r="K590" i="1"/>
  <c r="K591" i="1"/>
  <c r="K592" i="1"/>
  <c r="K593" i="1"/>
  <c r="K594" i="1"/>
  <c r="K595" i="1"/>
  <c r="K596" i="1"/>
  <c r="P596" i="1" s="1"/>
  <c r="K597" i="1"/>
  <c r="K598" i="1"/>
  <c r="K599" i="1"/>
  <c r="K600" i="1"/>
  <c r="K601" i="1"/>
  <c r="K602" i="1"/>
  <c r="K603" i="1"/>
  <c r="K604" i="1"/>
  <c r="K605" i="1"/>
  <c r="K606" i="1"/>
  <c r="K607" i="1"/>
  <c r="K608" i="1"/>
  <c r="K609" i="1"/>
  <c r="K610" i="1"/>
  <c r="K611" i="1"/>
  <c r="K612" i="1"/>
  <c r="K613" i="1"/>
  <c r="K614" i="1"/>
  <c r="K615" i="1"/>
  <c r="K616" i="1"/>
  <c r="K617" i="1"/>
  <c r="P617" i="1" s="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P660" i="1" s="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S725" i="1" s="1"/>
  <c r="K726" i="1"/>
  <c r="K727" i="1"/>
  <c r="K728" i="1"/>
  <c r="K729" i="1"/>
  <c r="K730" i="1"/>
  <c r="K731" i="1"/>
  <c r="K732" i="1"/>
  <c r="K733" i="1"/>
  <c r="K734" i="1"/>
  <c r="K735" i="1"/>
  <c r="K736" i="1"/>
  <c r="K737" i="1"/>
  <c r="K738" i="1"/>
  <c r="K739" i="1"/>
  <c r="K740" i="1"/>
  <c r="K741" i="1"/>
  <c r="K742" i="1"/>
  <c r="K743" i="1"/>
  <c r="K744" i="1"/>
  <c r="K745" i="1"/>
  <c r="P745" i="1" s="1"/>
  <c r="K746" i="1"/>
  <c r="K747" i="1"/>
  <c r="K748" i="1"/>
  <c r="K749" i="1"/>
  <c r="K750" i="1"/>
  <c r="K751" i="1"/>
  <c r="K752" i="1"/>
  <c r="K753" i="1"/>
  <c r="K754" i="1"/>
  <c r="K755" i="1"/>
  <c r="K756" i="1"/>
  <c r="K757" i="1"/>
  <c r="K758" i="1"/>
  <c r="K759" i="1"/>
  <c r="K760" i="1"/>
  <c r="K761" i="1"/>
  <c r="K762" i="1"/>
  <c r="K763" i="1"/>
  <c r="P763" i="1" s="1"/>
  <c r="K764" i="1"/>
  <c r="K765" i="1"/>
  <c r="K766" i="1"/>
  <c r="K767" i="1"/>
  <c r="K768" i="1"/>
  <c r="K769" i="1"/>
  <c r="K770" i="1"/>
  <c r="K771" i="1"/>
  <c r="K772" i="1"/>
  <c r="K773" i="1"/>
  <c r="P773" i="1" s="1"/>
  <c r="K774" i="1"/>
  <c r="K775" i="1"/>
  <c r="K776" i="1"/>
  <c r="K777" i="1"/>
  <c r="K778" i="1"/>
  <c r="K779" i="1"/>
  <c r="K780" i="1"/>
  <c r="K781" i="1"/>
  <c r="K782" i="1"/>
  <c r="K783" i="1"/>
  <c r="K784" i="1"/>
  <c r="K785" i="1"/>
  <c r="K786" i="1"/>
  <c r="K787" i="1"/>
  <c r="K788" i="1"/>
  <c r="K789" i="1"/>
  <c r="K790" i="1"/>
  <c r="K791" i="1"/>
  <c r="K792" i="1"/>
  <c r="K793" i="1"/>
  <c r="K794" i="1"/>
  <c r="K795" i="1"/>
  <c r="P795" i="1" s="1"/>
  <c r="K796" i="1"/>
  <c r="K797" i="1"/>
  <c r="K798" i="1"/>
  <c r="K799" i="1"/>
  <c r="K800" i="1"/>
  <c r="K801" i="1"/>
  <c r="K802" i="1"/>
  <c r="K803" i="1"/>
  <c r="K804" i="1"/>
  <c r="K805" i="1"/>
  <c r="K806" i="1"/>
  <c r="K807" i="1"/>
  <c r="K808" i="1"/>
  <c r="K809" i="1"/>
  <c r="K810" i="1"/>
  <c r="K811" i="1"/>
  <c r="K812" i="1"/>
  <c r="K813" i="1"/>
  <c r="K814" i="1"/>
  <c r="K815" i="1"/>
  <c r="K816" i="1"/>
  <c r="P816" i="1" s="1"/>
  <c r="K817" i="1"/>
  <c r="K818" i="1"/>
  <c r="K819" i="1"/>
  <c r="K820" i="1"/>
  <c r="K821" i="1"/>
  <c r="K822" i="1"/>
  <c r="K823" i="1"/>
  <c r="K824" i="1"/>
  <c r="K825" i="1"/>
  <c r="S825" i="1" s="1"/>
  <c r="K826" i="1"/>
  <c r="K827" i="1"/>
  <c r="P827" i="1" s="1"/>
  <c r="K828" i="1"/>
  <c r="K829" i="1"/>
  <c r="K830" i="1"/>
  <c r="K831" i="1"/>
  <c r="K832" i="1"/>
  <c r="K833" i="1"/>
  <c r="K834" i="1"/>
  <c r="K835" i="1"/>
  <c r="K836" i="1"/>
  <c r="K837" i="1"/>
  <c r="P837" i="1" s="1"/>
  <c r="K838" i="1"/>
  <c r="K839" i="1"/>
  <c r="K840" i="1"/>
  <c r="K841" i="1"/>
  <c r="K842" i="1"/>
  <c r="K843" i="1"/>
  <c r="K844" i="1"/>
  <c r="K845" i="1"/>
  <c r="K846" i="1"/>
  <c r="K847" i="1"/>
  <c r="K848" i="1"/>
  <c r="K849" i="1"/>
  <c r="K850" i="1"/>
  <c r="K851" i="1"/>
  <c r="K852" i="1"/>
  <c r="K853" i="1"/>
  <c r="K854" i="1"/>
  <c r="K855" i="1"/>
  <c r="K856" i="1"/>
  <c r="K857" i="1"/>
  <c r="K858" i="1"/>
  <c r="K859" i="1"/>
  <c r="P859" i="1" s="1"/>
  <c r="K860" i="1"/>
  <c r="K861" i="1"/>
  <c r="K862" i="1"/>
  <c r="K863" i="1"/>
  <c r="K864" i="1"/>
  <c r="K865" i="1"/>
  <c r="K866" i="1"/>
  <c r="K867" i="1"/>
  <c r="K868" i="1"/>
  <c r="K869" i="1"/>
  <c r="P869" i="1" s="1"/>
  <c r="K870" i="1"/>
  <c r="K871" i="1"/>
  <c r="K872" i="1"/>
  <c r="K873" i="1"/>
  <c r="K874" i="1"/>
  <c r="K875" i="1"/>
  <c r="K876" i="1"/>
  <c r="K877" i="1"/>
  <c r="K878" i="1"/>
  <c r="K879" i="1"/>
  <c r="K880" i="1"/>
  <c r="P880" i="1" s="1"/>
  <c r="K881" i="1"/>
  <c r="K882" i="1"/>
  <c r="K883" i="1"/>
  <c r="K884" i="1"/>
  <c r="K885" i="1"/>
  <c r="K886" i="1"/>
  <c r="K887" i="1"/>
  <c r="K888" i="1"/>
  <c r="K889" i="1"/>
  <c r="K890" i="1"/>
  <c r="K891" i="1"/>
  <c r="P891" i="1" s="1"/>
  <c r="K892" i="1"/>
  <c r="K893" i="1"/>
  <c r="K894" i="1"/>
  <c r="K895" i="1"/>
  <c r="K896" i="1"/>
  <c r="K897" i="1"/>
  <c r="K898" i="1"/>
  <c r="K899" i="1"/>
  <c r="K900" i="1"/>
  <c r="K901" i="1"/>
  <c r="P901" i="1" s="1"/>
  <c r="K902" i="1"/>
  <c r="K903" i="1"/>
  <c r="K904" i="1"/>
  <c r="K905" i="1"/>
  <c r="K906" i="1"/>
  <c r="K907" i="1"/>
  <c r="K908" i="1"/>
  <c r="K909" i="1"/>
  <c r="K910" i="1"/>
  <c r="K911" i="1"/>
  <c r="K912" i="1"/>
  <c r="P912" i="1" s="1"/>
  <c r="K913" i="1"/>
  <c r="K914" i="1"/>
  <c r="K915" i="1"/>
  <c r="K916" i="1"/>
  <c r="K917" i="1"/>
  <c r="K918" i="1"/>
  <c r="K919" i="1"/>
  <c r="K920" i="1"/>
  <c r="K921" i="1"/>
  <c r="S921" i="1" s="1"/>
  <c r="K922" i="1"/>
  <c r="K923" i="1"/>
  <c r="P923" i="1" s="1"/>
  <c r="K924" i="1"/>
  <c r="K925" i="1"/>
  <c r="K926" i="1"/>
  <c r="K927" i="1"/>
  <c r="K928" i="1"/>
  <c r="K929" i="1"/>
  <c r="K930" i="1"/>
  <c r="K931" i="1"/>
  <c r="K932" i="1"/>
  <c r="K933" i="1"/>
  <c r="P933" i="1" s="1"/>
  <c r="K934" i="1"/>
  <c r="K935" i="1"/>
  <c r="K936" i="1"/>
  <c r="K937" i="1"/>
  <c r="K938" i="1"/>
  <c r="K939" i="1"/>
  <c r="K940" i="1"/>
  <c r="K941" i="1"/>
  <c r="K942" i="1"/>
  <c r="K943" i="1"/>
  <c r="K944" i="1"/>
  <c r="P944" i="1" s="1"/>
  <c r="K945" i="1"/>
  <c r="K946" i="1"/>
  <c r="K947" i="1"/>
  <c r="K948" i="1"/>
  <c r="K949" i="1"/>
  <c r="K950" i="1"/>
  <c r="K951" i="1"/>
  <c r="K952" i="1"/>
  <c r="K953" i="1"/>
  <c r="K954" i="1"/>
  <c r="K955" i="1"/>
  <c r="P955" i="1" s="1"/>
  <c r="K956" i="1"/>
  <c r="K957" i="1"/>
  <c r="K958" i="1"/>
  <c r="K959" i="1"/>
  <c r="K960" i="1"/>
  <c r="K961" i="1"/>
  <c r="S961" i="1" s="1"/>
  <c r="K962" i="1"/>
  <c r="K963" i="1"/>
  <c r="K964" i="1"/>
  <c r="K965" i="1"/>
  <c r="P965" i="1" s="1"/>
  <c r="K966" i="1"/>
  <c r="K967" i="1"/>
  <c r="K968" i="1"/>
  <c r="K969" i="1"/>
  <c r="K970" i="1"/>
  <c r="K971" i="1"/>
  <c r="K972" i="1"/>
  <c r="K973" i="1"/>
  <c r="K974" i="1"/>
  <c r="K975" i="1"/>
  <c r="K976" i="1"/>
  <c r="P976" i="1" s="1"/>
  <c r="K977" i="1"/>
  <c r="K978" i="1"/>
  <c r="K979" i="1"/>
  <c r="K980" i="1"/>
  <c r="K981" i="1"/>
  <c r="K982" i="1"/>
  <c r="K983" i="1"/>
  <c r="K984" i="1"/>
  <c r="K985" i="1"/>
  <c r="K986" i="1"/>
  <c r="K987" i="1"/>
  <c r="P987" i="1" s="1"/>
  <c r="K988" i="1"/>
  <c r="K989" i="1"/>
  <c r="K990" i="1"/>
  <c r="K991" i="1"/>
  <c r="K992" i="1"/>
  <c r="K993" i="1"/>
  <c r="K994" i="1"/>
  <c r="K995" i="1"/>
  <c r="K996" i="1"/>
  <c r="K997" i="1"/>
  <c r="P997" i="1" s="1"/>
  <c r="K998" i="1"/>
  <c r="K999" i="1"/>
  <c r="K1000" i="1"/>
  <c r="K1001" i="1"/>
  <c r="K1002" i="1"/>
  <c r="K1003" i="1"/>
  <c r="K1004" i="1"/>
  <c r="K1005" i="1"/>
  <c r="K1006" i="1"/>
  <c r="K1007" i="1"/>
  <c r="K1008" i="1"/>
  <c r="P1008" i="1" s="1"/>
  <c r="K1009" i="1"/>
  <c r="K1010" i="1"/>
  <c r="K1011" i="1"/>
  <c r="K1012" i="1"/>
  <c r="K1013" i="1"/>
  <c r="S1013" i="1" s="1"/>
  <c r="K1014" i="1"/>
  <c r="K1015" i="1"/>
  <c r="K1016" i="1"/>
  <c r="K1017" i="1"/>
  <c r="K1018" i="1"/>
  <c r="K1019" i="1"/>
  <c r="P1019" i="1" s="1"/>
  <c r="K1020" i="1"/>
  <c r="K1021" i="1"/>
  <c r="S1021" i="1" s="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P1051" i="1" s="1"/>
  <c r="K1052" i="1"/>
  <c r="K1053" i="1"/>
  <c r="K1054" i="1"/>
  <c r="K1055" i="1"/>
  <c r="K1056" i="1"/>
  <c r="K1057" i="1"/>
  <c r="K1058" i="1"/>
  <c r="K1059" i="1"/>
  <c r="K1060" i="1"/>
  <c r="K1061" i="1"/>
  <c r="K1062" i="1"/>
  <c r="K1063" i="1"/>
  <c r="K1064" i="1"/>
  <c r="K1065" i="1"/>
  <c r="K1066" i="1"/>
  <c r="K1067" i="1"/>
  <c r="K1068" i="1"/>
  <c r="K1069" i="1"/>
  <c r="K1070" i="1"/>
  <c r="K1071" i="1"/>
  <c r="P1071" i="1" s="1"/>
  <c r="K1072" i="1"/>
  <c r="K1073" i="1"/>
  <c r="K1074" i="1"/>
  <c r="K1075" i="1"/>
  <c r="K1076" i="1"/>
  <c r="K1077" i="1"/>
  <c r="K1078" i="1"/>
  <c r="K1079" i="1"/>
  <c r="K1080" i="1"/>
  <c r="K1081" i="1"/>
  <c r="P1081" i="1" s="1"/>
  <c r="K1082" i="1"/>
  <c r="K1083" i="1"/>
  <c r="K1084" i="1"/>
  <c r="K1085" i="1"/>
  <c r="K1086" i="1"/>
  <c r="K1087" i="1"/>
  <c r="P1087" i="1" s="1"/>
  <c r="K1088" i="1"/>
  <c r="K1089" i="1"/>
  <c r="K1090" i="1"/>
  <c r="K1091" i="1"/>
  <c r="K1092" i="1"/>
  <c r="K1093" i="1"/>
  <c r="K1094" i="1"/>
  <c r="K1095" i="1"/>
  <c r="K1096" i="1"/>
  <c r="K1097" i="1"/>
  <c r="P1097" i="1" s="1"/>
  <c r="K1098" i="1"/>
  <c r="K1099" i="1"/>
  <c r="K1100" i="1"/>
  <c r="K1101" i="1"/>
  <c r="K1102" i="1"/>
  <c r="K1103" i="1"/>
  <c r="P1103" i="1" s="1"/>
  <c r="K1104" i="1"/>
  <c r="K1105" i="1"/>
  <c r="K1106" i="1"/>
  <c r="K1107" i="1"/>
  <c r="K1108" i="1"/>
  <c r="K1109" i="1"/>
  <c r="K1110" i="1"/>
  <c r="K1111" i="1"/>
  <c r="K1112" i="1"/>
  <c r="K1113" i="1"/>
  <c r="P1113" i="1" s="1"/>
  <c r="K1114" i="1"/>
  <c r="K1115" i="1"/>
  <c r="K1116" i="1"/>
  <c r="K1117" i="1"/>
  <c r="K1118" i="1"/>
  <c r="K1119" i="1"/>
  <c r="K1120" i="1"/>
  <c r="K1121" i="1"/>
  <c r="K1122" i="1"/>
  <c r="K1123" i="1"/>
  <c r="K1124" i="1"/>
  <c r="P1124" i="1" s="1"/>
  <c r="K1125" i="1"/>
  <c r="K1126" i="1"/>
  <c r="K1127" i="1"/>
  <c r="K1128" i="1"/>
  <c r="K1129" i="1"/>
  <c r="P1129" i="1" s="1"/>
  <c r="K1130" i="1"/>
  <c r="K1131" i="1"/>
  <c r="K1132" i="1"/>
  <c r="K1133" i="1"/>
  <c r="K1134" i="1"/>
  <c r="K1135" i="1"/>
  <c r="P1135" i="1" s="1"/>
  <c r="K1136" i="1"/>
  <c r="K1137" i="1"/>
  <c r="K1138" i="1"/>
  <c r="K1139" i="1"/>
  <c r="K1140" i="1"/>
  <c r="K1141" i="1"/>
  <c r="K1142" i="1"/>
  <c r="K1143" i="1"/>
  <c r="K1144" i="1"/>
  <c r="K1145" i="1"/>
  <c r="P1145" i="1" s="1"/>
  <c r="K1146" i="1"/>
  <c r="K1147" i="1"/>
  <c r="K1148" i="1"/>
  <c r="K1149" i="1"/>
  <c r="K1150" i="1"/>
  <c r="K1151" i="1"/>
  <c r="P1151" i="1" s="1"/>
  <c r="K1152" i="1"/>
  <c r="K1153" i="1"/>
  <c r="K1154" i="1"/>
  <c r="K1155" i="1"/>
  <c r="K1156" i="1"/>
  <c r="P1156" i="1" s="1"/>
  <c r="K1157" i="1"/>
  <c r="K1158" i="1"/>
  <c r="K1159" i="1"/>
  <c r="K1160" i="1"/>
  <c r="K1161" i="1"/>
  <c r="P1161" i="1" s="1"/>
  <c r="K1162" i="1"/>
  <c r="K1163" i="1"/>
  <c r="K1164" i="1"/>
  <c r="K1165" i="1"/>
  <c r="K1166" i="1"/>
  <c r="K1167" i="1"/>
  <c r="P1167" i="1" s="1"/>
  <c r="K1168" i="1"/>
  <c r="K1169" i="1"/>
  <c r="K1170" i="1"/>
  <c r="K1171" i="1"/>
  <c r="K1172" i="1"/>
  <c r="P1172" i="1" s="1"/>
  <c r="K1173" i="1"/>
  <c r="K1174" i="1"/>
  <c r="K1175" i="1"/>
  <c r="K1176" i="1"/>
  <c r="K1177" i="1"/>
  <c r="P1177" i="1" s="1"/>
  <c r="K1178" i="1"/>
  <c r="K1179" i="1"/>
  <c r="K1180" i="1"/>
  <c r="K1181" i="1"/>
  <c r="K1182" i="1"/>
  <c r="K1183" i="1"/>
  <c r="P1183" i="1" s="1"/>
  <c r="K1184" i="1"/>
  <c r="K1185" i="1"/>
  <c r="K1186" i="1"/>
  <c r="K1187" i="1"/>
  <c r="K1188" i="1"/>
  <c r="K1189" i="1"/>
  <c r="K1190" i="1"/>
  <c r="K1191" i="1"/>
  <c r="K1192" i="1"/>
  <c r="K1193" i="1"/>
  <c r="P1193" i="1" s="1"/>
  <c r="K1194" i="1"/>
  <c r="K1195" i="1"/>
  <c r="K1196" i="1"/>
  <c r="K1197" i="1"/>
  <c r="K1198" i="1"/>
  <c r="K1199" i="1"/>
  <c r="K1200" i="1"/>
  <c r="K1201" i="1"/>
  <c r="K1202" i="1"/>
  <c r="K1203" i="1"/>
  <c r="K1204" i="1"/>
  <c r="P1204" i="1" s="1"/>
  <c r="K1205" i="1"/>
  <c r="K1206" i="1"/>
  <c r="K1207" i="1"/>
  <c r="K1208" i="1"/>
  <c r="K1209" i="1"/>
  <c r="P1209" i="1" s="1"/>
  <c r="K1210" i="1"/>
  <c r="K1211" i="1"/>
  <c r="K1212" i="1"/>
  <c r="K1213" i="1"/>
  <c r="K1214" i="1"/>
  <c r="K1215" i="1"/>
  <c r="P1215" i="1" s="1"/>
  <c r="K1216" i="1"/>
  <c r="K1217" i="1"/>
  <c r="K1218" i="1"/>
  <c r="K1219" i="1"/>
  <c r="K1220" i="1"/>
  <c r="K1221" i="1"/>
  <c r="K1222" i="1"/>
  <c r="K1223" i="1"/>
  <c r="K1224" i="1"/>
  <c r="K1225" i="1"/>
  <c r="P1225" i="1" s="1"/>
  <c r="K1226" i="1"/>
  <c r="K1227" i="1"/>
  <c r="K1228" i="1"/>
  <c r="K1229" i="1"/>
  <c r="S1229" i="1" s="1"/>
  <c r="K1230" i="1"/>
  <c r="K1231" i="1"/>
  <c r="P1231" i="1" s="1"/>
  <c r="K1232" i="1"/>
  <c r="K1233" i="1"/>
  <c r="K1234" i="1"/>
  <c r="K1235" i="1"/>
  <c r="K1236" i="1"/>
  <c r="K1237" i="1"/>
  <c r="K1238" i="1"/>
  <c r="K1239" i="1"/>
  <c r="K1240" i="1"/>
  <c r="K1241" i="1"/>
  <c r="P1241" i="1" s="1"/>
  <c r="K1242" i="1"/>
  <c r="K1243" i="1"/>
  <c r="K1244" i="1"/>
  <c r="K1245" i="1"/>
  <c r="K1246" i="1"/>
  <c r="K1247" i="1"/>
  <c r="P1247" i="1" s="1"/>
  <c r="K1248" i="1"/>
  <c r="K1249" i="1"/>
  <c r="K1250" i="1"/>
  <c r="K1251" i="1"/>
  <c r="K1252" i="1"/>
  <c r="P1252" i="1" s="1"/>
  <c r="K1253" i="1"/>
  <c r="K1254" i="1"/>
  <c r="K1255" i="1"/>
  <c r="K1256" i="1"/>
  <c r="K1257" i="1"/>
  <c r="P1257" i="1" s="1"/>
  <c r="K1258" i="1"/>
  <c r="K1259" i="1"/>
  <c r="K1260" i="1"/>
  <c r="K1261" i="1"/>
  <c r="K1262" i="1"/>
  <c r="K1263" i="1"/>
  <c r="P1263" i="1" s="1"/>
  <c r="K1264" i="1"/>
  <c r="K1265" i="1"/>
  <c r="K1266" i="1"/>
  <c r="K1267" i="1"/>
  <c r="K1268" i="1"/>
  <c r="P1268" i="1" s="1"/>
  <c r="K1269" i="1"/>
  <c r="K1270" i="1"/>
  <c r="K1271" i="1"/>
  <c r="K1272" i="1"/>
  <c r="K1273" i="1"/>
  <c r="P1273" i="1" s="1"/>
  <c r="K1274" i="1"/>
  <c r="K1275" i="1"/>
  <c r="K1276" i="1"/>
  <c r="K1277" i="1"/>
  <c r="K1278" i="1"/>
  <c r="K1279" i="1"/>
  <c r="K1280" i="1"/>
  <c r="K1281" i="1"/>
  <c r="K1282" i="1"/>
  <c r="K1283" i="1"/>
  <c r="K1284" i="1"/>
  <c r="P1284" i="1" s="1"/>
  <c r="K1285" i="1"/>
  <c r="K1286" i="1"/>
  <c r="K1287" i="1"/>
  <c r="K1288" i="1"/>
  <c r="K1289" i="1"/>
  <c r="P1289" i="1" s="1"/>
  <c r="K1290" i="1"/>
  <c r="K1291" i="1"/>
  <c r="K1292" i="1"/>
  <c r="K1293" i="1"/>
  <c r="K1294" i="1"/>
  <c r="K1295" i="1"/>
  <c r="P1295" i="1" s="1"/>
  <c r="K1296" i="1"/>
  <c r="K1297" i="1"/>
  <c r="K1298" i="1"/>
  <c r="K1299" i="1"/>
  <c r="K1300" i="1"/>
  <c r="P1300" i="1" s="1"/>
  <c r="K1301" i="1"/>
  <c r="K1302" i="1"/>
  <c r="K1303" i="1"/>
  <c r="K1304" i="1"/>
  <c r="K1305" i="1"/>
  <c r="P1305" i="1" s="1"/>
  <c r="K1306" i="1"/>
  <c r="K1307" i="1"/>
  <c r="K1308" i="1"/>
  <c r="K1309" i="1"/>
  <c r="K1310" i="1"/>
  <c r="K1311" i="1"/>
  <c r="P1311" i="1" s="1"/>
  <c r="K1312" i="1"/>
  <c r="K1313" i="1"/>
  <c r="K1314" i="1"/>
  <c r="K1315" i="1"/>
  <c r="K1316" i="1"/>
  <c r="K1317" i="1"/>
  <c r="S1317" i="1" s="1"/>
  <c r="K1318" i="1"/>
  <c r="K1319" i="1"/>
  <c r="K1320" i="1"/>
  <c r="K1321" i="1"/>
  <c r="P1321" i="1" s="1"/>
  <c r="K1322" i="1"/>
  <c r="K1323" i="1"/>
  <c r="K1324" i="1"/>
  <c r="K1325" i="1"/>
  <c r="K1326" i="1"/>
  <c r="K1327" i="1"/>
  <c r="P1327" i="1" s="1"/>
  <c r="K1328" i="1"/>
  <c r="K1329" i="1"/>
  <c r="K1330" i="1"/>
  <c r="K1331" i="1"/>
  <c r="K1332" i="1"/>
  <c r="P1332" i="1" s="1"/>
  <c r="K1333" i="1"/>
  <c r="K1334" i="1"/>
  <c r="K1335" i="1"/>
  <c r="K1336" i="1"/>
  <c r="K1337" i="1"/>
  <c r="P1337" i="1" s="1"/>
  <c r="K1338" i="1"/>
  <c r="K1339" i="1"/>
  <c r="K1340" i="1"/>
  <c r="K1341" i="1"/>
  <c r="K1342" i="1"/>
  <c r="K1343" i="1"/>
  <c r="P1343" i="1" s="1"/>
  <c r="K1344" i="1"/>
  <c r="K1345" i="1"/>
  <c r="K1346" i="1"/>
  <c r="K1347" i="1"/>
  <c r="K1348" i="1"/>
  <c r="P1348" i="1" s="1"/>
  <c r="K1349" i="1"/>
  <c r="K1350" i="1"/>
  <c r="K1351" i="1"/>
  <c r="K1352" i="1"/>
  <c r="K1353" i="1"/>
  <c r="P1353" i="1" s="1"/>
  <c r="K1354" i="1"/>
  <c r="K1355" i="1"/>
  <c r="K1356" i="1"/>
  <c r="K1357" i="1"/>
  <c r="K1358" i="1"/>
  <c r="K1359" i="1"/>
  <c r="P1359" i="1" s="1"/>
  <c r="K1360" i="1"/>
  <c r="K1361" i="1"/>
  <c r="K1362" i="1"/>
  <c r="K1363" i="1"/>
  <c r="K1364" i="1"/>
  <c r="P1364" i="1" s="1"/>
  <c r="K1365" i="1"/>
  <c r="K1366" i="1"/>
  <c r="K1367" i="1"/>
  <c r="K1368" i="1"/>
  <c r="K1369" i="1"/>
  <c r="P1369" i="1" s="1"/>
  <c r="K1370" i="1"/>
  <c r="K1371" i="1"/>
  <c r="K1372" i="1"/>
  <c r="K1373" i="1"/>
  <c r="K1374" i="1"/>
  <c r="K1375" i="1"/>
  <c r="P1375" i="1" s="1"/>
  <c r="K1376" i="1"/>
  <c r="K1377" i="1"/>
  <c r="K1378" i="1"/>
  <c r="K1379" i="1"/>
  <c r="K1380" i="1"/>
  <c r="P1380" i="1" s="1"/>
  <c r="K1381" i="1"/>
  <c r="K1382" i="1"/>
  <c r="K1383" i="1"/>
  <c r="K1384" i="1"/>
  <c r="K1385" i="1"/>
  <c r="P1385" i="1" s="1"/>
  <c r="K1386" i="1"/>
  <c r="K1387" i="1"/>
  <c r="K1388" i="1"/>
  <c r="K1389" i="1"/>
  <c r="K1390" i="1"/>
  <c r="K1391" i="1"/>
  <c r="K1392" i="1"/>
  <c r="K1393" i="1"/>
  <c r="K1394" i="1"/>
  <c r="K1395" i="1"/>
  <c r="K1396" i="1"/>
  <c r="P1396" i="1" s="1"/>
  <c r="K1397" i="1"/>
  <c r="K1398" i="1"/>
  <c r="K1399" i="1"/>
  <c r="K1400" i="1"/>
  <c r="K1401" i="1"/>
  <c r="K1402" i="1"/>
  <c r="K1403" i="1"/>
  <c r="K1404" i="1"/>
  <c r="K1405" i="1"/>
  <c r="K1406" i="1"/>
  <c r="K1407" i="1"/>
  <c r="P1407" i="1" s="1"/>
  <c r="K1408" i="1"/>
  <c r="K1409" i="1"/>
  <c r="K1410" i="1"/>
  <c r="K1411" i="1"/>
  <c r="K1412" i="1"/>
  <c r="P1412" i="1" s="1"/>
  <c r="K1413" i="1"/>
  <c r="S1413" i="1" s="1"/>
  <c r="K1414" i="1"/>
  <c r="K1415" i="1"/>
  <c r="K1416" i="1"/>
  <c r="K1417" i="1"/>
  <c r="P1417" i="1" s="1"/>
  <c r="K1418" i="1"/>
  <c r="K1419" i="1"/>
  <c r="K1420" i="1"/>
  <c r="K1421" i="1"/>
  <c r="K1422" i="1"/>
  <c r="K1423" i="1"/>
  <c r="P1423" i="1" s="1"/>
  <c r="K1424" i="1"/>
  <c r="K1425" i="1"/>
  <c r="K1426" i="1"/>
  <c r="K1427" i="1"/>
  <c r="K1428" i="1"/>
  <c r="K1429" i="1"/>
  <c r="K1430" i="1"/>
  <c r="K1431" i="1"/>
  <c r="K1432" i="1"/>
  <c r="K1433" i="1"/>
  <c r="K1434" i="1"/>
  <c r="K1435" i="1"/>
  <c r="K1436" i="1"/>
  <c r="K1437" i="1"/>
  <c r="K1438" i="1"/>
  <c r="K1439" i="1"/>
  <c r="P1439" i="1" s="1"/>
  <c r="K1440" i="1"/>
  <c r="K1441" i="1"/>
  <c r="K1442" i="1"/>
  <c r="K1443" i="1"/>
  <c r="K1444" i="1"/>
  <c r="P1444" i="1" s="1"/>
  <c r="K1445" i="1"/>
  <c r="K1446" i="1"/>
  <c r="K1447" i="1"/>
  <c r="K1448" i="1"/>
  <c r="K1449" i="1"/>
  <c r="P1449" i="1" s="1"/>
  <c r="K1450" i="1"/>
  <c r="K1451" i="1"/>
  <c r="K1452" i="1"/>
  <c r="K1453" i="1"/>
  <c r="K1454" i="1"/>
  <c r="K1455" i="1"/>
  <c r="P1455" i="1" s="1"/>
  <c r="K1456" i="1"/>
  <c r="K1457" i="1"/>
  <c r="K1458" i="1"/>
  <c r="K1459" i="1"/>
  <c r="K1460" i="1"/>
  <c r="K1461" i="1"/>
  <c r="K1462" i="1"/>
  <c r="K1463" i="1"/>
  <c r="K1464" i="1"/>
  <c r="K1465" i="1"/>
  <c r="P1465" i="1" s="1"/>
  <c r="K1466" i="1"/>
  <c r="K1467" i="1"/>
  <c r="K1468" i="1"/>
  <c r="K1469" i="1"/>
  <c r="K1470" i="1"/>
  <c r="K1471" i="1"/>
  <c r="P1471" i="1" s="1"/>
  <c r="K1472" i="1"/>
  <c r="K1473" i="1"/>
  <c r="K1474" i="1"/>
  <c r="K1475" i="1"/>
  <c r="K1476" i="1"/>
  <c r="K1477" i="1"/>
  <c r="S1477" i="1" s="1"/>
  <c r="K1478" i="1"/>
  <c r="K1479" i="1"/>
  <c r="K1480" i="1"/>
  <c r="K1481" i="1"/>
  <c r="P1481" i="1" s="1"/>
  <c r="K1482" i="1"/>
  <c r="K1483" i="1"/>
  <c r="K1484" i="1"/>
  <c r="K1485" i="1"/>
  <c r="K1486" i="1"/>
  <c r="K1487" i="1"/>
  <c r="P1487" i="1" s="1"/>
  <c r="K1488" i="1"/>
  <c r="K1489" i="1"/>
  <c r="S1489" i="1" s="1"/>
  <c r="K1490" i="1"/>
  <c r="K1491" i="1"/>
  <c r="K1492" i="1"/>
  <c r="P1492" i="1" s="1"/>
  <c r="K1493" i="1"/>
  <c r="K1494" i="1"/>
  <c r="K1495" i="1"/>
  <c r="K1496" i="1"/>
  <c r="K1497" i="1"/>
  <c r="P1497" i="1" s="1"/>
  <c r="K1498" i="1"/>
  <c r="K1499" i="1"/>
  <c r="K1500" i="1"/>
  <c r="K1501" i="1"/>
  <c r="K1502" i="1"/>
  <c r="K1503" i="1"/>
  <c r="P1503" i="1" s="1"/>
  <c r="K1504" i="1"/>
  <c r="K1505" i="1"/>
  <c r="K1506" i="1"/>
  <c r="K1507" i="1"/>
  <c r="K1508" i="1"/>
  <c r="P1508" i="1" s="1"/>
  <c r="K1509" i="1"/>
  <c r="K1510" i="1"/>
  <c r="K1511" i="1"/>
  <c r="K1512" i="1"/>
  <c r="K1513" i="1"/>
  <c r="P1513" i="1" s="1"/>
  <c r="K1514" i="1"/>
  <c r="K1515" i="1"/>
  <c r="K1516" i="1"/>
  <c r="K1517" i="1"/>
  <c r="K1518" i="1"/>
  <c r="K1519" i="1"/>
  <c r="P1519" i="1" s="1"/>
  <c r="K1520" i="1"/>
  <c r="K1521" i="1"/>
  <c r="K1522" i="1"/>
  <c r="K1523" i="1"/>
  <c r="K1524" i="1"/>
  <c r="K1525" i="1"/>
  <c r="K1526" i="1"/>
  <c r="K1527" i="1"/>
  <c r="K1528" i="1"/>
  <c r="K1529" i="1"/>
  <c r="K1530" i="1"/>
  <c r="K1531" i="1"/>
  <c r="K1532" i="1"/>
  <c r="K1533" i="1"/>
  <c r="K1534" i="1"/>
  <c r="K1535" i="1"/>
  <c r="P1535" i="1" s="1"/>
  <c r="K1536" i="1"/>
  <c r="K1537" i="1"/>
  <c r="K1538" i="1"/>
  <c r="K1539" i="1"/>
  <c r="K1540" i="1"/>
  <c r="P1540" i="1" s="1"/>
  <c r="K1541" i="1"/>
  <c r="K1542" i="1"/>
  <c r="K1543" i="1"/>
  <c r="K1544" i="1"/>
  <c r="K1545" i="1"/>
  <c r="P1545" i="1" s="1"/>
  <c r="K1546" i="1"/>
  <c r="K1547" i="1"/>
  <c r="K1548" i="1"/>
  <c r="K1549" i="1"/>
  <c r="K1550" i="1"/>
  <c r="K1551" i="1"/>
  <c r="K1552" i="1"/>
  <c r="K1553" i="1"/>
  <c r="K1554" i="1"/>
  <c r="K1555" i="1"/>
  <c r="K1556" i="1"/>
  <c r="K1557" i="1"/>
  <c r="K1558" i="1"/>
  <c r="K1559" i="1"/>
  <c r="K1560" i="1"/>
  <c r="K1561" i="1"/>
  <c r="P1561" i="1" s="1"/>
  <c r="K1562" i="1"/>
  <c r="K1563" i="1"/>
  <c r="K1564" i="1"/>
  <c r="K1565" i="1"/>
  <c r="K1566" i="1"/>
  <c r="K1567" i="1"/>
  <c r="K1568" i="1"/>
  <c r="K1569" i="1"/>
  <c r="K1570" i="1"/>
  <c r="K1571" i="1"/>
  <c r="K1572" i="1"/>
  <c r="P1572" i="1" s="1"/>
  <c r="K1573" i="1"/>
  <c r="K1574" i="1"/>
  <c r="K1575" i="1"/>
  <c r="K1576" i="1"/>
  <c r="K1577" i="1"/>
  <c r="P1577" i="1" s="1"/>
  <c r="K1578" i="1"/>
  <c r="K1579" i="1"/>
  <c r="K1580" i="1"/>
  <c r="K1581" i="1"/>
  <c r="K1582" i="1"/>
  <c r="K1583" i="1"/>
  <c r="K1584" i="1"/>
  <c r="K1585" i="1"/>
  <c r="K1586" i="1"/>
  <c r="K1587" i="1"/>
  <c r="K1588" i="1"/>
  <c r="P1588" i="1" s="1"/>
  <c r="K1589" i="1"/>
  <c r="K1590" i="1"/>
  <c r="K1591" i="1"/>
  <c r="K1592" i="1"/>
  <c r="K1593" i="1"/>
  <c r="P1593" i="1" s="1"/>
  <c r="K1594" i="1"/>
  <c r="K1595" i="1"/>
  <c r="K1596" i="1"/>
  <c r="K1597" i="1"/>
  <c r="K1598" i="1"/>
  <c r="K1599" i="1"/>
  <c r="P1599" i="1" s="1"/>
  <c r="K1600" i="1"/>
  <c r="K1601" i="1"/>
  <c r="K1602" i="1"/>
  <c r="K1603" i="1"/>
  <c r="K1604" i="1"/>
  <c r="K1605" i="1"/>
  <c r="K1606" i="1"/>
  <c r="K1607" i="1"/>
  <c r="K1608" i="1"/>
  <c r="K1609" i="1"/>
  <c r="K1610" i="1"/>
  <c r="K1611" i="1"/>
  <c r="K1612" i="1"/>
  <c r="K1613" i="1"/>
  <c r="K1614" i="1"/>
  <c r="K1615" i="1"/>
  <c r="P1615" i="1" s="1"/>
  <c r="K1616" i="1"/>
  <c r="K1617" i="1"/>
  <c r="K1618" i="1"/>
  <c r="K1619" i="1"/>
  <c r="K1620" i="1"/>
  <c r="P1620" i="1" s="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P1657" i="1" s="1"/>
  <c r="K1658" i="1"/>
  <c r="K1659" i="1"/>
  <c r="K1660" i="1"/>
  <c r="K1661" i="1"/>
  <c r="K1662" i="1"/>
  <c r="K1663" i="1"/>
  <c r="P1663" i="1" s="1"/>
  <c r="K1664" i="1"/>
  <c r="K1665" i="1"/>
  <c r="K1666" i="1"/>
  <c r="K1667" i="1"/>
  <c r="K1668" i="1"/>
  <c r="P1668" i="1" s="1"/>
  <c r="K1669" i="1"/>
  <c r="K1670" i="1"/>
  <c r="K1671" i="1"/>
  <c r="K1672" i="1"/>
  <c r="K1673" i="1"/>
  <c r="P1673" i="1" s="1"/>
  <c r="K1674" i="1"/>
  <c r="K1675" i="1"/>
  <c r="K1676" i="1"/>
  <c r="K1677" i="1"/>
  <c r="K1678" i="1"/>
  <c r="K1679" i="1"/>
  <c r="P1679" i="1" s="1"/>
  <c r="K1680" i="1"/>
  <c r="K1681" i="1"/>
  <c r="K1682" i="1"/>
  <c r="K1683" i="1"/>
  <c r="K1684" i="1"/>
  <c r="P1684" i="1" s="1"/>
  <c r="K1685" i="1"/>
  <c r="K1686" i="1"/>
  <c r="K1687" i="1"/>
  <c r="K1688" i="1"/>
  <c r="K1689" i="1"/>
  <c r="P1689" i="1" s="1"/>
  <c r="K1690" i="1"/>
  <c r="K1691" i="1"/>
  <c r="K1692" i="1"/>
  <c r="K1693" i="1"/>
  <c r="K1694" i="1"/>
  <c r="K1695" i="1"/>
  <c r="P1695" i="1" s="1"/>
  <c r="K1696" i="1"/>
  <c r="K1697" i="1"/>
  <c r="K1698" i="1"/>
  <c r="K1699" i="1"/>
  <c r="K1700" i="1"/>
  <c r="P1700" i="1" s="1"/>
  <c r="K1701" i="1"/>
  <c r="K1702" i="1"/>
  <c r="K1703" i="1"/>
  <c r="K1704" i="1"/>
  <c r="K1705" i="1"/>
  <c r="P1705" i="1" s="1"/>
  <c r="K1706" i="1"/>
  <c r="K1707" i="1"/>
  <c r="K1708" i="1"/>
  <c r="K1709" i="1"/>
  <c r="K1710" i="1"/>
  <c r="K1711" i="1"/>
  <c r="K1712" i="1"/>
  <c r="K1713" i="1"/>
  <c r="K1714" i="1"/>
  <c r="K1715" i="1"/>
  <c r="K1716" i="1"/>
  <c r="P1716" i="1" s="1"/>
  <c r="K1717" i="1"/>
  <c r="K1718" i="1"/>
  <c r="K1719" i="1"/>
  <c r="K1720" i="1"/>
  <c r="K1721" i="1"/>
  <c r="P1721" i="1" s="1"/>
  <c r="K1722" i="1"/>
  <c r="K1723" i="1"/>
  <c r="K1724" i="1"/>
  <c r="K1725" i="1"/>
  <c r="K1726" i="1"/>
  <c r="K1727" i="1"/>
  <c r="P1727" i="1" s="1"/>
  <c r="K1728" i="1"/>
  <c r="K1729" i="1"/>
  <c r="K1730" i="1"/>
  <c r="K1731" i="1"/>
  <c r="K1732" i="1"/>
  <c r="K1733" i="1"/>
  <c r="K1734" i="1"/>
  <c r="K1735" i="1"/>
  <c r="K1736" i="1"/>
  <c r="K1737" i="1"/>
  <c r="P1737" i="1" s="1"/>
  <c r="K1738" i="1"/>
  <c r="K1739" i="1"/>
  <c r="K1740" i="1"/>
  <c r="K1741" i="1"/>
  <c r="K1742" i="1"/>
  <c r="K1743" i="1"/>
  <c r="K1744" i="1"/>
  <c r="K1745" i="1"/>
  <c r="K1746" i="1"/>
  <c r="K1747" i="1"/>
  <c r="K1748" i="1"/>
  <c r="K1749" i="1"/>
  <c r="K1750" i="1"/>
  <c r="K1751" i="1"/>
  <c r="K1752" i="1"/>
  <c r="K1753" i="1"/>
  <c r="P1753" i="1" s="1"/>
  <c r="K1754" i="1"/>
  <c r="K1755" i="1"/>
  <c r="K1756" i="1"/>
  <c r="K1757" i="1"/>
  <c r="K1758" i="1"/>
  <c r="K1759" i="1"/>
  <c r="P1759" i="1" s="1"/>
  <c r="K1760" i="1"/>
  <c r="K1761" i="1"/>
  <c r="K1762" i="1"/>
  <c r="K1763" i="1"/>
  <c r="K1764" i="1"/>
  <c r="P1764" i="1" s="1"/>
  <c r="K1765" i="1"/>
  <c r="K1766" i="1"/>
  <c r="K1767" i="1"/>
  <c r="K1768" i="1"/>
  <c r="K1769" i="1"/>
  <c r="P1769" i="1" s="1"/>
  <c r="K1770" i="1"/>
  <c r="K1771" i="1"/>
  <c r="K1772" i="1"/>
  <c r="K1773" i="1"/>
  <c r="K1774" i="1"/>
  <c r="K1775" i="1"/>
  <c r="P1775" i="1" s="1"/>
  <c r="K1776" i="1"/>
  <c r="K1777" i="1"/>
  <c r="K1778" i="1"/>
  <c r="K1779" i="1"/>
  <c r="K1780" i="1"/>
  <c r="P1780" i="1" s="1"/>
  <c r="K1781" i="1"/>
  <c r="K1782" i="1"/>
  <c r="K1783" i="1"/>
  <c r="K1784" i="1"/>
  <c r="K1785" i="1"/>
  <c r="P1785" i="1" s="1"/>
  <c r="K1786" i="1"/>
  <c r="K1787" i="1"/>
  <c r="K1788" i="1"/>
  <c r="K1789" i="1"/>
  <c r="K1790" i="1"/>
  <c r="K1791" i="1"/>
  <c r="P1791" i="1" s="1"/>
  <c r="K1792" i="1"/>
  <c r="K1793" i="1"/>
  <c r="K1794" i="1"/>
  <c r="K1795" i="1"/>
  <c r="K1796" i="1"/>
  <c r="P1796" i="1" s="1"/>
  <c r="K1797" i="1"/>
  <c r="S1797" i="1" s="1"/>
  <c r="K1798" i="1"/>
  <c r="K1799" i="1"/>
  <c r="K1800" i="1"/>
  <c r="K1801" i="1"/>
  <c r="P1801" i="1" s="1"/>
  <c r="K1802" i="1"/>
  <c r="K1803" i="1"/>
  <c r="K1804" i="1"/>
  <c r="K1805" i="1"/>
  <c r="K1806" i="1"/>
  <c r="K1807" i="1"/>
  <c r="P1807" i="1" s="1"/>
  <c r="K1808" i="1"/>
  <c r="K1809" i="1"/>
  <c r="K1810" i="1"/>
  <c r="K1811" i="1"/>
  <c r="K1812" i="1"/>
  <c r="K1813" i="1"/>
  <c r="K1814" i="1"/>
  <c r="K1815" i="1"/>
  <c r="K1816" i="1"/>
  <c r="K1817" i="1"/>
  <c r="P1817" i="1" s="1"/>
  <c r="K1818" i="1"/>
  <c r="K1819" i="1"/>
  <c r="K1820" i="1"/>
  <c r="K1821" i="1"/>
  <c r="K1822" i="1"/>
  <c r="K1823" i="1"/>
  <c r="K1824" i="1"/>
  <c r="K1825" i="1"/>
  <c r="K1826" i="1"/>
  <c r="K1827" i="1"/>
  <c r="K1828" i="1"/>
  <c r="P1828" i="1" s="1"/>
  <c r="K1829" i="1"/>
  <c r="K1830" i="1"/>
  <c r="K1831" i="1"/>
  <c r="K1832" i="1"/>
  <c r="K1833" i="1"/>
  <c r="P1833" i="1" s="1"/>
  <c r="K1834" i="1"/>
  <c r="K1835" i="1"/>
  <c r="K1836" i="1"/>
  <c r="K1837" i="1"/>
  <c r="K1838" i="1"/>
  <c r="K1839" i="1"/>
  <c r="P1839" i="1" s="1"/>
  <c r="K1840" i="1"/>
  <c r="K1841" i="1"/>
  <c r="K1842" i="1"/>
  <c r="K1843" i="1"/>
  <c r="K1844" i="1"/>
  <c r="P1844" i="1" s="1"/>
  <c r="K1845" i="1"/>
  <c r="K1846" i="1"/>
  <c r="K1847" i="1"/>
  <c r="K1848" i="1"/>
  <c r="K1849" i="1"/>
  <c r="K1850" i="1"/>
  <c r="K1851" i="1"/>
  <c r="K1852" i="1"/>
  <c r="K1853" i="1"/>
  <c r="K1854" i="1"/>
  <c r="K1855" i="1"/>
  <c r="P1855" i="1" s="1"/>
  <c r="K1856" i="1"/>
  <c r="K1857" i="1"/>
  <c r="K1858" i="1"/>
  <c r="K1859" i="1"/>
  <c r="K1860" i="1"/>
  <c r="K1861" i="1"/>
  <c r="K1862" i="1"/>
  <c r="K1863" i="1"/>
  <c r="K1864" i="1"/>
  <c r="K1865" i="1"/>
  <c r="P1865" i="1" s="1"/>
  <c r="K1866" i="1"/>
  <c r="K1867" i="1"/>
  <c r="K1868" i="1"/>
  <c r="K1869" i="1"/>
  <c r="K1870" i="1"/>
  <c r="K1871" i="1"/>
  <c r="P1871" i="1" s="1"/>
  <c r="K1872" i="1"/>
  <c r="K1873" i="1"/>
  <c r="K1874" i="1"/>
  <c r="K1875" i="1"/>
  <c r="K1876" i="1"/>
  <c r="P1876" i="1" s="1"/>
  <c r="K1877" i="1"/>
  <c r="K1878" i="1"/>
  <c r="K1879" i="1"/>
  <c r="K1880" i="1"/>
  <c r="K1881" i="1"/>
  <c r="K1882" i="1"/>
  <c r="K1883" i="1"/>
  <c r="K1884" i="1"/>
  <c r="K1885" i="1"/>
  <c r="K1886" i="1"/>
  <c r="K1887" i="1"/>
  <c r="P1887" i="1" s="1"/>
  <c r="K1888" i="1"/>
  <c r="K1889" i="1"/>
  <c r="K1890" i="1"/>
  <c r="K1891" i="1"/>
  <c r="K1892" i="1"/>
  <c r="P1892" i="1" s="1"/>
  <c r="K1893" i="1"/>
  <c r="K1894" i="1"/>
  <c r="K1895" i="1"/>
  <c r="K1896" i="1"/>
  <c r="K1897" i="1"/>
  <c r="P1897" i="1" s="1"/>
  <c r="K1898" i="1"/>
  <c r="K1899" i="1"/>
  <c r="K1900" i="1"/>
  <c r="K1901" i="1"/>
  <c r="K1902" i="1"/>
  <c r="K1903" i="1"/>
  <c r="P1903" i="1" s="1"/>
  <c r="K1904" i="1"/>
  <c r="K1905" i="1"/>
  <c r="K1906" i="1"/>
  <c r="K1907" i="1"/>
  <c r="K1908" i="1"/>
  <c r="P1908" i="1" s="1"/>
  <c r="K1909" i="1"/>
  <c r="K1910" i="1"/>
  <c r="K1911" i="1"/>
  <c r="K1912" i="1"/>
  <c r="K1913" i="1"/>
  <c r="P1913" i="1" s="1"/>
  <c r="K1914" i="1"/>
  <c r="K1915" i="1"/>
  <c r="K1916" i="1"/>
  <c r="K1917" i="1"/>
  <c r="K1918" i="1"/>
  <c r="K1919" i="1"/>
  <c r="P1919" i="1" s="1"/>
  <c r="K1920" i="1"/>
  <c r="K1921" i="1"/>
  <c r="K1922" i="1"/>
  <c r="K1923" i="1"/>
  <c r="K1924" i="1"/>
  <c r="K1925" i="1"/>
  <c r="K1926" i="1"/>
  <c r="K1927" i="1"/>
  <c r="K1928" i="1"/>
  <c r="K1929" i="1"/>
  <c r="K1930" i="1"/>
  <c r="K1931" i="1"/>
  <c r="K1932" i="1"/>
  <c r="K1933" i="1"/>
  <c r="K1934" i="1"/>
  <c r="K1935" i="1"/>
  <c r="P1935" i="1" s="1"/>
  <c r="K1936" i="1"/>
  <c r="K1937" i="1"/>
  <c r="K1938" i="1"/>
  <c r="K1939" i="1"/>
  <c r="K1940" i="1"/>
  <c r="K1941" i="1"/>
  <c r="K1942" i="1"/>
  <c r="K1943" i="1"/>
  <c r="K1944" i="1"/>
  <c r="K1945" i="1"/>
  <c r="P1945" i="1" s="1"/>
  <c r="K1946" i="1"/>
  <c r="K1947" i="1"/>
  <c r="K1948" i="1"/>
  <c r="K1949" i="1"/>
  <c r="K1950" i="1"/>
  <c r="K1951" i="1"/>
  <c r="K1952" i="1"/>
  <c r="K1953" i="1"/>
  <c r="K1954" i="1"/>
  <c r="K1955" i="1"/>
  <c r="K1956" i="1"/>
  <c r="P1956" i="1" s="1"/>
  <c r="K1957" i="1"/>
  <c r="K1958" i="1"/>
  <c r="K1959" i="1"/>
  <c r="K1960" i="1"/>
  <c r="K1961" i="1"/>
  <c r="K1962" i="1"/>
  <c r="K1963" i="1"/>
  <c r="K1964" i="1"/>
  <c r="K1965" i="1"/>
  <c r="K1966" i="1"/>
  <c r="K1967" i="1"/>
  <c r="P1967" i="1" s="1"/>
  <c r="K1968" i="1"/>
  <c r="K1969" i="1"/>
  <c r="K1970" i="1"/>
  <c r="K1971" i="1"/>
  <c r="K1972" i="1"/>
  <c r="P1972" i="1" s="1"/>
  <c r="K1973" i="1"/>
  <c r="K1974" i="1"/>
  <c r="K1975" i="1"/>
  <c r="K1976" i="1"/>
  <c r="K1977" i="1"/>
  <c r="P1977" i="1" s="1"/>
  <c r="K1978" i="1"/>
  <c r="K1979" i="1"/>
  <c r="K1980" i="1"/>
  <c r="K1981" i="1"/>
  <c r="K1982" i="1"/>
  <c r="K1983" i="1"/>
  <c r="P1983" i="1" s="1"/>
  <c r="K1984" i="1"/>
  <c r="K1985" i="1"/>
  <c r="K1986" i="1"/>
  <c r="K1987" i="1"/>
  <c r="K1988" i="1"/>
  <c r="P1988" i="1" s="1"/>
  <c r="K1989" i="1"/>
  <c r="K1990" i="1"/>
  <c r="K1991" i="1"/>
  <c r="K1992" i="1"/>
  <c r="K1993" i="1"/>
  <c r="P1993" i="1" s="1"/>
  <c r="K1994" i="1"/>
  <c r="K1995" i="1"/>
  <c r="K1996" i="1"/>
  <c r="K1997" i="1"/>
  <c r="K1998" i="1"/>
  <c r="K1999" i="1"/>
  <c r="P1999" i="1" s="1"/>
  <c r="K2000" i="1"/>
  <c r="K2001" i="1"/>
  <c r="S2001" i="1" s="1"/>
  <c r="K2002" i="1"/>
  <c r="K2003" i="1"/>
  <c r="K2004" i="1"/>
  <c r="P2004" i="1" s="1"/>
  <c r="K2005" i="1"/>
  <c r="S2005" i="1" s="1"/>
  <c r="K2006" i="1"/>
  <c r="K2007" i="1"/>
  <c r="K2008" i="1"/>
  <c r="K2009" i="1"/>
  <c r="P2009" i="1" s="1"/>
  <c r="K2010" i="1"/>
  <c r="K2011" i="1"/>
  <c r="K2012" i="1"/>
  <c r="K2013" i="1"/>
  <c r="K2014" i="1"/>
  <c r="K2015" i="1"/>
  <c r="K2016" i="1"/>
  <c r="K2017" i="1"/>
  <c r="K2018" i="1"/>
  <c r="K2019" i="1"/>
  <c r="K2020" i="1"/>
  <c r="K2021" i="1"/>
  <c r="K2022" i="1"/>
  <c r="K2023" i="1"/>
  <c r="K2024" i="1"/>
  <c r="K2025" i="1"/>
  <c r="P2025" i="1" s="1"/>
  <c r="K2026" i="1"/>
  <c r="K2027" i="1"/>
  <c r="K2028" i="1"/>
  <c r="K2029" i="1"/>
  <c r="S2029" i="1" s="1"/>
  <c r="K2030" i="1"/>
  <c r="K2031" i="1"/>
  <c r="P2031" i="1" s="1"/>
  <c r="K2032" i="1"/>
  <c r="K2033" i="1"/>
  <c r="K2034" i="1"/>
  <c r="K2035" i="1"/>
  <c r="K2036" i="1"/>
  <c r="P2036" i="1" s="1"/>
  <c r="K2037" i="1"/>
  <c r="K2038" i="1"/>
  <c r="K2039" i="1"/>
  <c r="K2040" i="1"/>
  <c r="K2041" i="1"/>
  <c r="P2041" i="1" s="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P2068" i="1" s="1"/>
  <c r="K2069" i="1"/>
  <c r="K2070" i="1"/>
  <c r="K2071" i="1"/>
  <c r="K2072" i="1"/>
  <c r="K2073" i="1"/>
  <c r="P2073" i="1" s="1"/>
  <c r="K2074" i="1"/>
  <c r="K2075" i="1"/>
  <c r="K2076" i="1"/>
  <c r="K2077" i="1"/>
  <c r="S2077" i="1" s="1"/>
  <c r="K2078" i="1"/>
  <c r="K2079" i="1"/>
  <c r="K2080" i="1"/>
  <c r="K2081" i="1"/>
  <c r="K2082" i="1"/>
  <c r="K2083" i="1"/>
  <c r="K2084" i="1"/>
  <c r="K2085" i="1"/>
  <c r="K2086" i="1"/>
  <c r="K2087" i="1"/>
  <c r="K2088" i="1"/>
  <c r="K2089" i="1"/>
  <c r="P2089" i="1" s="1"/>
  <c r="K2090" i="1"/>
  <c r="K2091" i="1"/>
  <c r="K2092" i="1"/>
  <c r="K2093" i="1"/>
  <c r="K2094" i="1"/>
  <c r="K2095" i="1"/>
  <c r="K2096" i="1"/>
  <c r="K2097" i="1"/>
  <c r="K2098" i="1"/>
  <c r="K2099" i="1"/>
  <c r="K2100" i="1"/>
  <c r="P2100" i="1" s="1"/>
  <c r="K2101" i="1"/>
  <c r="K2102" i="1"/>
  <c r="K2103" i="1"/>
  <c r="K2104" i="1"/>
  <c r="K2105" i="1"/>
  <c r="K2106" i="1"/>
  <c r="K2107" i="1"/>
  <c r="K2108" i="1"/>
  <c r="K2109" i="1"/>
  <c r="K2110" i="1"/>
  <c r="K2111" i="1"/>
  <c r="K2112" i="1"/>
  <c r="K2113" i="1"/>
  <c r="K2114" i="1"/>
  <c r="K2115" i="1"/>
  <c r="K2116" i="1"/>
  <c r="P2116" i="1" s="1"/>
  <c r="K2117" i="1"/>
  <c r="K2118" i="1"/>
  <c r="K2119" i="1"/>
  <c r="K2120" i="1"/>
  <c r="K2121" i="1"/>
  <c r="P2121" i="1" s="1"/>
  <c r="K2122" i="1"/>
  <c r="K2123" i="1"/>
  <c r="K2124" i="1"/>
  <c r="K2125" i="1"/>
  <c r="K2126" i="1"/>
  <c r="K2127" i="1"/>
  <c r="P2127" i="1" s="1"/>
  <c r="K2128" i="1"/>
  <c r="K2129" i="1"/>
  <c r="K2130" i="1"/>
  <c r="K2131" i="1"/>
  <c r="K2132" i="1"/>
  <c r="K2133" i="1"/>
  <c r="K2134" i="1"/>
  <c r="K2135" i="1"/>
  <c r="K2136" i="1"/>
  <c r="K2137" i="1"/>
  <c r="P2137" i="1" s="1"/>
  <c r="K2138" i="1"/>
  <c r="K2139" i="1"/>
  <c r="K2140" i="1"/>
  <c r="K2141" i="1"/>
  <c r="K2142" i="1"/>
  <c r="K2143" i="1"/>
  <c r="K2144" i="1"/>
  <c r="K2145" i="1"/>
  <c r="K2146" i="1"/>
  <c r="K2147" i="1"/>
  <c r="K2148" i="1"/>
  <c r="K2149" i="1"/>
  <c r="K2150" i="1"/>
  <c r="K2151" i="1"/>
  <c r="K2152" i="1"/>
  <c r="K2153" i="1"/>
  <c r="K2154" i="1"/>
  <c r="K2155" i="1"/>
  <c r="K2156" i="1"/>
  <c r="K2157" i="1"/>
  <c r="K2158" i="1"/>
  <c r="K2159" i="1"/>
  <c r="P2159" i="1" s="1"/>
  <c r="K2160" i="1"/>
  <c r="K2161" i="1"/>
  <c r="K2162" i="1"/>
  <c r="K2163" i="1"/>
  <c r="K2164" i="1"/>
  <c r="K2165" i="1"/>
  <c r="K2166" i="1"/>
  <c r="K2167" i="1"/>
  <c r="K2168" i="1"/>
  <c r="K2169" i="1"/>
  <c r="P2169" i="1" s="1"/>
  <c r="K2170" i="1"/>
  <c r="K2171" i="1"/>
  <c r="K2172" i="1"/>
  <c r="K2173" i="1"/>
  <c r="K2174" i="1"/>
  <c r="K2175" i="1"/>
  <c r="K2176" i="1"/>
  <c r="K2177" i="1"/>
  <c r="K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499"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1535" i="1"/>
  <c r="A1536" i="1"/>
  <c r="A1537" i="1"/>
  <c r="A1538" i="1"/>
  <c r="A1539" i="1"/>
  <c r="A1540" i="1"/>
  <c r="A1541" i="1"/>
  <c r="A1542" i="1"/>
  <c r="A1543" i="1"/>
  <c r="A1544" i="1"/>
  <c r="A1545" i="1"/>
  <c r="A1546" i="1"/>
  <c r="A1547" i="1"/>
  <c r="A1548" i="1"/>
  <c r="A1549" i="1"/>
  <c r="A1550" i="1"/>
  <c r="A1551" i="1"/>
  <c r="A1552" i="1"/>
  <c r="A1553" i="1"/>
  <c r="A1554" i="1"/>
  <c r="A1555" i="1"/>
  <c r="A1556" i="1"/>
  <c r="A1557" i="1"/>
  <c r="A1558" i="1"/>
  <c r="A1559" i="1"/>
  <c r="A1560" i="1"/>
  <c r="A1561" i="1"/>
  <c r="A1562" i="1"/>
  <c r="A1563" i="1"/>
  <c r="A1564" i="1"/>
  <c r="A1565" i="1"/>
  <c r="A1566" i="1"/>
  <c r="A1567" i="1"/>
  <c r="A1568" i="1"/>
  <c r="A1569" i="1"/>
  <c r="A1570" i="1"/>
  <c r="A1571" i="1"/>
  <c r="A1572" i="1"/>
  <c r="A1573" i="1"/>
  <c r="A1574" i="1"/>
  <c r="A1575" i="1"/>
  <c r="A1576" i="1"/>
  <c r="A1577" i="1"/>
  <c r="A1578" i="1"/>
  <c r="A1579" i="1"/>
  <c r="A1580" i="1"/>
  <c r="A1581" i="1"/>
  <c r="A1582" i="1"/>
  <c r="A1583" i="1"/>
  <c r="A1584" i="1"/>
  <c r="A1585" i="1"/>
  <c r="A1586" i="1"/>
  <c r="A1587" i="1"/>
  <c r="A1588" i="1"/>
  <c r="A1589" i="1"/>
  <c r="A1590" i="1"/>
  <c r="A1591" i="1"/>
  <c r="A1592" i="1"/>
  <c r="A1593" i="1"/>
  <c r="A1594" i="1"/>
  <c r="A1595" i="1"/>
  <c r="A1596" i="1"/>
  <c r="A1597" i="1"/>
  <c r="A1598" i="1"/>
  <c r="A1599" i="1"/>
  <c r="A1600" i="1"/>
  <c r="A1601" i="1"/>
  <c r="A1602" i="1"/>
  <c r="A1603" i="1"/>
  <c r="A1604" i="1"/>
  <c r="A1605" i="1"/>
  <c r="A1606" i="1"/>
  <c r="A1607" i="1"/>
  <c r="A1608" i="1"/>
  <c r="A1609" i="1"/>
  <c r="A1610" i="1"/>
  <c r="A1611" i="1"/>
  <c r="A1612" i="1"/>
  <c r="A1613" i="1"/>
  <c r="A1614" i="1"/>
  <c r="A1615" i="1"/>
  <c r="A1616" i="1"/>
  <c r="A1617" i="1"/>
  <c r="A1618" i="1"/>
  <c r="A1619" i="1"/>
  <c r="A1620" i="1"/>
  <c r="A1621" i="1"/>
  <c r="A1622" i="1"/>
  <c r="A1623" i="1"/>
  <c r="A1624" i="1"/>
  <c r="A1625" i="1"/>
  <c r="A1626" i="1"/>
  <c r="A1627" i="1"/>
  <c r="A1628" i="1"/>
  <c r="A1629" i="1"/>
  <c r="A1630" i="1"/>
  <c r="A1631" i="1"/>
  <c r="A1632" i="1"/>
  <c r="A1633" i="1"/>
  <c r="A1634" i="1"/>
  <c r="A1635" i="1"/>
  <c r="A1636" i="1"/>
  <c r="A1637" i="1"/>
  <c r="A1638" i="1"/>
  <c r="A1639" i="1"/>
  <c r="A1640" i="1"/>
  <c r="A1641" i="1"/>
  <c r="A1642" i="1"/>
  <c r="A1643" i="1"/>
  <c r="A1644" i="1"/>
  <c r="A1645" i="1"/>
  <c r="A1646" i="1"/>
  <c r="A1647" i="1"/>
  <c r="A1648" i="1"/>
  <c r="A1649" i="1"/>
  <c r="A1650" i="1"/>
  <c r="A1651" i="1"/>
  <c r="A1652" i="1"/>
  <c r="A1653" i="1"/>
  <c r="A1654" i="1"/>
  <c r="A1655" i="1"/>
  <c r="A1656" i="1"/>
  <c r="A1657" i="1"/>
  <c r="A1658" i="1"/>
  <c r="A1659" i="1"/>
  <c r="A1660" i="1"/>
  <c r="A1661" i="1"/>
  <c r="A1662" i="1"/>
  <c r="A1663" i="1"/>
  <c r="A1664" i="1"/>
  <c r="A1665" i="1"/>
  <c r="A1666" i="1"/>
  <c r="A1667" i="1"/>
  <c r="A1668" i="1"/>
  <c r="A1669" i="1"/>
  <c r="A1670" i="1"/>
  <c r="A1671" i="1"/>
  <c r="A1672" i="1"/>
  <c r="A1673" i="1"/>
  <c r="A1674" i="1"/>
  <c r="A1675" i="1"/>
  <c r="A1676" i="1"/>
  <c r="A1677" i="1"/>
  <c r="A1678" i="1"/>
  <c r="A1679" i="1"/>
  <c r="A1680" i="1"/>
  <c r="A1681" i="1"/>
  <c r="A1682" i="1"/>
  <c r="A1683" i="1"/>
  <c r="A1684" i="1"/>
  <c r="A1685" i="1"/>
  <c r="A1686" i="1"/>
  <c r="A1687" i="1"/>
  <c r="A1688" i="1"/>
  <c r="A1689" i="1"/>
  <c r="A1690" i="1"/>
  <c r="A1691" i="1"/>
  <c r="A1692" i="1"/>
  <c r="A1693" i="1"/>
  <c r="A1694" i="1"/>
  <c r="A1695" i="1"/>
  <c r="A1696" i="1"/>
  <c r="A1697" i="1"/>
  <c r="A1698" i="1"/>
  <c r="A1699" i="1"/>
  <c r="A1700" i="1"/>
  <c r="A1701" i="1"/>
  <c r="A1702" i="1"/>
  <c r="A1703" i="1"/>
  <c r="A1704" i="1"/>
  <c r="A1705" i="1"/>
  <c r="A1706" i="1"/>
  <c r="A1707" i="1"/>
  <c r="A1708" i="1"/>
  <c r="A1709" i="1"/>
  <c r="A1710" i="1"/>
  <c r="A1711" i="1"/>
  <c r="A1712" i="1"/>
  <c r="A1713" i="1"/>
  <c r="A1714" i="1"/>
  <c r="A1715" i="1"/>
  <c r="A1716" i="1"/>
  <c r="A1717" i="1"/>
  <c r="A1718" i="1"/>
  <c r="A1719" i="1"/>
  <c r="A1720" i="1"/>
  <c r="A1721" i="1"/>
  <c r="A1722" i="1"/>
  <c r="A1723" i="1"/>
  <c r="A1724" i="1"/>
  <c r="A1725" i="1"/>
  <c r="A1726" i="1"/>
  <c r="A1727" i="1"/>
  <c r="A1728" i="1"/>
  <c r="A1729" i="1"/>
  <c r="A1730" i="1"/>
  <c r="A1731" i="1"/>
  <c r="A1732" i="1"/>
  <c r="A1733" i="1"/>
  <c r="A1734" i="1"/>
  <c r="A1735" i="1"/>
  <c r="A1736" i="1"/>
  <c r="A1737" i="1"/>
  <c r="A1738" i="1"/>
  <c r="A1739" i="1"/>
  <c r="A1740" i="1"/>
  <c r="A1741" i="1"/>
  <c r="A1742" i="1"/>
  <c r="A1743" i="1"/>
  <c r="A1744" i="1"/>
  <c r="A1745" i="1"/>
  <c r="A1746" i="1"/>
  <c r="A1747" i="1"/>
  <c r="A1748" i="1"/>
  <c r="A1749" i="1"/>
  <c r="A1750" i="1"/>
  <c r="A1751" i="1"/>
  <c r="A1752" i="1"/>
  <c r="A1753" i="1"/>
  <c r="A1754" i="1"/>
  <c r="A1755" i="1"/>
  <c r="A1756" i="1"/>
  <c r="A1757" i="1"/>
  <c r="A1758" i="1"/>
  <c r="A1759" i="1"/>
  <c r="A1760" i="1"/>
  <c r="A1761" i="1"/>
  <c r="A1762" i="1"/>
  <c r="A1763" i="1"/>
  <c r="A1764" i="1"/>
  <c r="A1765" i="1"/>
  <c r="A1766" i="1"/>
  <c r="A1767" i="1"/>
  <c r="A1768" i="1"/>
  <c r="A1769" i="1"/>
  <c r="A1770" i="1"/>
  <c r="A1771" i="1"/>
  <c r="A1772" i="1"/>
  <c r="A1773" i="1"/>
  <c r="A1774" i="1"/>
  <c r="A1775" i="1"/>
  <c r="A1776" i="1"/>
  <c r="A1777" i="1"/>
  <c r="A1778" i="1"/>
  <c r="A1779" i="1"/>
  <c r="A1780" i="1"/>
  <c r="A1781" i="1"/>
  <c r="A1782" i="1"/>
  <c r="A1783" i="1"/>
  <c r="A1784" i="1"/>
  <c r="A1785" i="1"/>
  <c r="A1786" i="1"/>
  <c r="A1787" i="1"/>
  <c r="A1788" i="1"/>
  <c r="A1789" i="1"/>
  <c r="A1790" i="1"/>
  <c r="A1791" i="1"/>
  <c r="A1792" i="1"/>
  <c r="A1793" i="1"/>
  <c r="A1794" i="1"/>
  <c r="A1795" i="1"/>
  <c r="A1796" i="1"/>
  <c r="A1797" i="1"/>
  <c r="A1798" i="1"/>
  <c r="A1799" i="1"/>
  <c r="A1800" i="1"/>
  <c r="A1801" i="1"/>
  <c r="A1802" i="1"/>
  <c r="A1803" i="1"/>
  <c r="A1804" i="1"/>
  <c r="A1805" i="1"/>
  <c r="A1806" i="1"/>
  <c r="A1807" i="1"/>
  <c r="A1808" i="1"/>
  <c r="A1809" i="1"/>
  <c r="A1810" i="1"/>
  <c r="A1811" i="1"/>
  <c r="A1812" i="1"/>
  <c r="A1813" i="1"/>
  <c r="A1814" i="1"/>
  <c r="A1815" i="1"/>
  <c r="A1816" i="1"/>
  <c r="A1817" i="1"/>
  <c r="A1818" i="1"/>
  <c r="A1819" i="1"/>
  <c r="A1820" i="1"/>
  <c r="A1821" i="1"/>
  <c r="A1822" i="1"/>
  <c r="A1823" i="1"/>
  <c r="A1824" i="1"/>
  <c r="A1825" i="1"/>
  <c r="A1826" i="1"/>
  <c r="A1827" i="1"/>
  <c r="A1828" i="1"/>
  <c r="A1829" i="1"/>
  <c r="A1830" i="1"/>
  <c r="A1831" i="1"/>
  <c r="A1832" i="1"/>
  <c r="A1833" i="1"/>
  <c r="A1834" i="1"/>
  <c r="A1835" i="1"/>
  <c r="A1836" i="1"/>
  <c r="A1837" i="1"/>
  <c r="A1838" i="1"/>
  <c r="A1839" i="1"/>
  <c r="A1840" i="1"/>
  <c r="A1841" i="1"/>
  <c r="A1842" i="1"/>
  <c r="A1843" i="1"/>
  <c r="A1844" i="1"/>
  <c r="A1845" i="1"/>
  <c r="A1846" i="1"/>
  <c r="A1847" i="1"/>
  <c r="A1848" i="1"/>
  <c r="A1849" i="1"/>
  <c r="A1850" i="1"/>
  <c r="A1851" i="1"/>
  <c r="A1852" i="1"/>
  <c r="A1853" i="1"/>
  <c r="A1854" i="1"/>
  <c r="A1855" i="1"/>
  <c r="A1856" i="1"/>
  <c r="A1857" i="1"/>
  <c r="A1858" i="1"/>
  <c r="A1859" i="1"/>
  <c r="A1860" i="1"/>
  <c r="A1861" i="1"/>
  <c r="A1862" i="1"/>
  <c r="A1863" i="1"/>
  <c r="A1864" i="1"/>
  <c r="A1865" i="1"/>
  <c r="A1866" i="1"/>
  <c r="A1867" i="1"/>
  <c r="A1868" i="1"/>
  <c r="A1869" i="1"/>
  <c r="A1870" i="1"/>
  <c r="A1871" i="1"/>
  <c r="A1872" i="1"/>
  <c r="A1873" i="1"/>
  <c r="A1874" i="1"/>
  <c r="A1875" i="1"/>
  <c r="A1876" i="1"/>
  <c r="A1877" i="1"/>
  <c r="A1878" i="1"/>
  <c r="A1879" i="1"/>
  <c r="A1880" i="1"/>
  <c r="A1881" i="1"/>
  <c r="A1882" i="1"/>
  <c r="A1883" i="1"/>
  <c r="A1884" i="1"/>
  <c r="A1885" i="1"/>
  <c r="A1886" i="1"/>
  <c r="A1887" i="1"/>
  <c r="A1888" i="1"/>
  <c r="A1889" i="1"/>
  <c r="A1890" i="1"/>
  <c r="A1891" i="1"/>
  <c r="A1892" i="1"/>
  <c r="A1893" i="1"/>
  <c r="A1894" i="1"/>
  <c r="A1895" i="1"/>
  <c r="A1896" i="1"/>
  <c r="A1897" i="1"/>
  <c r="A1898" i="1"/>
  <c r="A1899" i="1"/>
  <c r="A1900" i="1"/>
  <c r="A1901" i="1"/>
  <c r="A1902" i="1"/>
  <c r="A1903" i="1"/>
  <c r="A1904" i="1"/>
  <c r="A1905" i="1"/>
  <c r="A1906" i="1"/>
  <c r="A1907" i="1"/>
  <c r="A1908" i="1"/>
  <c r="A1909" i="1"/>
  <c r="A1910" i="1"/>
  <c r="A1911" i="1"/>
  <c r="A1912" i="1"/>
  <c r="A1913" i="1"/>
  <c r="A1914" i="1"/>
  <c r="A1915" i="1"/>
  <c r="A1916" i="1"/>
  <c r="A1917" i="1"/>
  <c r="A1918" i="1"/>
  <c r="A1919" i="1"/>
  <c r="A1920" i="1"/>
  <c r="A1921" i="1"/>
  <c r="A1922" i="1"/>
  <c r="A1923" i="1"/>
  <c r="A1924" i="1"/>
  <c r="A1925" i="1"/>
  <c r="A1926" i="1"/>
  <c r="A1927" i="1"/>
  <c r="A1928" i="1"/>
  <c r="A1929" i="1"/>
  <c r="A1930" i="1"/>
  <c r="A1931" i="1"/>
  <c r="A1932" i="1"/>
  <c r="A1933" i="1"/>
  <c r="A1934" i="1"/>
  <c r="A1935" i="1"/>
  <c r="A1936" i="1"/>
  <c r="A1937" i="1"/>
  <c r="A1938" i="1"/>
  <c r="A1939" i="1"/>
  <c r="A1940" i="1"/>
  <c r="A1941" i="1"/>
  <c r="A1942" i="1"/>
  <c r="A1943" i="1"/>
  <c r="A1944" i="1"/>
  <c r="A1945" i="1"/>
  <c r="A1946" i="1"/>
  <c r="A1947" i="1"/>
  <c r="A1948" i="1"/>
  <c r="A1949" i="1"/>
  <c r="A1950" i="1"/>
  <c r="A1951" i="1"/>
  <c r="A1952" i="1"/>
  <c r="A1953" i="1"/>
  <c r="A1954" i="1"/>
  <c r="A1955" i="1"/>
  <c r="A1956" i="1"/>
  <c r="A1957" i="1"/>
  <c r="A1958" i="1"/>
  <c r="A1959" i="1"/>
  <c r="A1960" i="1"/>
  <c r="A1961" i="1"/>
  <c r="A1962" i="1"/>
  <c r="A1963" i="1"/>
  <c r="A1964" i="1"/>
  <c r="A1965" i="1"/>
  <c r="A1966" i="1"/>
  <c r="A1967" i="1"/>
  <c r="A1968" i="1"/>
  <c r="A1969" i="1"/>
  <c r="A1970" i="1"/>
  <c r="A1971" i="1"/>
  <c r="A1972" i="1"/>
  <c r="A1973" i="1"/>
  <c r="A1974" i="1"/>
  <c r="A1975" i="1"/>
  <c r="A1976" i="1"/>
  <c r="A1977" i="1"/>
  <c r="A1978" i="1"/>
  <c r="A1979" i="1"/>
  <c r="A1980" i="1"/>
  <c r="A1981" i="1"/>
  <c r="A1982" i="1"/>
  <c r="A1983" i="1"/>
  <c r="A1984" i="1"/>
  <c r="A1985" i="1"/>
  <c r="A1986" i="1"/>
  <c r="A1987" i="1"/>
  <c r="A1988" i="1"/>
  <c r="A1989" i="1"/>
  <c r="A1990" i="1"/>
  <c r="A1991" i="1"/>
  <c r="A1992" i="1"/>
  <c r="A1993" i="1"/>
  <c r="A1994" i="1"/>
  <c r="A1995" i="1"/>
  <c r="A1996" i="1"/>
  <c r="A1997" i="1"/>
  <c r="A1998" i="1"/>
  <c r="A1999" i="1"/>
  <c r="A2000" i="1"/>
  <c r="A2001" i="1"/>
  <c r="A2002" i="1"/>
  <c r="A2003" i="1"/>
  <c r="A2004" i="1"/>
  <c r="A2005" i="1"/>
  <c r="A2006" i="1"/>
  <c r="A2007" i="1"/>
  <c r="A2008" i="1"/>
  <c r="A2009" i="1"/>
  <c r="A2010" i="1"/>
  <c r="A2011" i="1"/>
  <c r="A2012" i="1"/>
  <c r="A2013" i="1"/>
  <c r="A2014" i="1"/>
  <c r="A2015" i="1"/>
  <c r="A2016" i="1"/>
  <c r="A2017" i="1"/>
  <c r="A2018" i="1"/>
  <c r="A2019" i="1"/>
  <c r="A2020" i="1"/>
  <c r="A2021" i="1"/>
  <c r="A2022" i="1"/>
  <c r="A2023" i="1"/>
  <c r="A2024" i="1"/>
  <c r="A2025" i="1"/>
  <c r="A2026" i="1"/>
  <c r="A2027" i="1"/>
  <c r="A2028" i="1"/>
  <c r="A2029" i="1"/>
  <c r="A2030" i="1"/>
  <c r="A2031" i="1"/>
  <c r="A2032" i="1"/>
  <c r="A2033" i="1"/>
  <c r="A2034" i="1"/>
  <c r="A2035" i="1"/>
  <c r="A2036" i="1"/>
  <c r="A2037" i="1"/>
  <c r="A2038" i="1"/>
  <c r="A2039" i="1"/>
  <c r="A2040" i="1"/>
  <c r="A2041" i="1"/>
  <c r="A2042" i="1"/>
  <c r="A2043" i="1"/>
  <c r="A2044" i="1"/>
  <c r="A2045" i="1"/>
  <c r="A2046" i="1"/>
  <c r="A2047" i="1"/>
  <c r="A2048" i="1"/>
  <c r="A2049" i="1"/>
  <c r="A2050" i="1"/>
  <c r="A2051" i="1"/>
  <c r="A2052" i="1"/>
  <c r="A2053" i="1"/>
  <c r="A2054" i="1"/>
  <c r="A2055" i="1"/>
  <c r="A2056" i="1"/>
  <c r="A2057" i="1"/>
  <c r="A2058" i="1"/>
  <c r="A2059" i="1"/>
  <c r="A2060" i="1"/>
  <c r="A2061" i="1"/>
  <c r="A2062" i="1"/>
  <c r="A2063" i="1"/>
  <c r="A2064" i="1"/>
  <c r="A2065" i="1"/>
  <c r="A2066" i="1"/>
  <c r="A2067" i="1"/>
  <c r="A2068" i="1"/>
  <c r="A2069" i="1"/>
  <c r="A2070" i="1"/>
  <c r="A2071" i="1"/>
  <c r="A2072" i="1"/>
  <c r="A2073" i="1"/>
  <c r="A2074" i="1"/>
  <c r="A2075" i="1"/>
  <c r="A2076" i="1"/>
  <c r="A2077" i="1"/>
  <c r="A2078" i="1"/>
  <c r="A2079" i="1"/>
  <c r="A2080" i="1"/>
  <c r="A2081" i="1"/>
  <c r="A2082" i="1"/>
  <c r="A2083" i="1"/>
  <c r="A2084" i="1"/>
  <c r="A2085" i="1"/>
  <c r="A2086" i="1"/>
  <c r="A2087" i="1"/>
  <c r="A2088" i="1"/>
  <c r="A2089" i="1"/>
  <c r="A2090" i="1"/>
  <c r="A2091" i="1"/>
  <c r="A2092" i="1"/>
  <c r="A2093" i="1"/>
  <c r="A2094" i="1"/>
  <c r="A2095" i="1"/>
  <c r="A2096" i="1"/>
  <c r="A2097" i="1"/>
  <c r="A2098" i="1"/>
  <c r="A2099" i="1"/>
  <c r="A2100" i="1"/>
  <c r="A2101" i="1"/>
  <c r="A2102" i="1"/>
  <c r="A2103" i="1"/>
  <c r="A2104" i="1"/>
  <c r="A2105" i="1"/>
  <c r="A2106" i="1"/>
  <c r="A2107" i="1"/>
  <c r="A2108" i="1"/>
  <c r="A2109" i="1"/>
  <c r="A2110" i="1"/>
  <c r="A2111" i="1"/>
  <c r="A2112" i="1"/>
  <c r="A2113" i="1"/>
  <c r="A2114" i="1"/>
  <c r="A2115" i="1"/>
  <c r="A2116" i="1"/>
  <c r="A2117" i="1"/>
  <c r="A2118" i="1"/>
  <c r="A2119" i="1"/>
  <c r="A2120" i="1"/>
  <c r="A2121" i="1"/>
  <c r="A2122" i="1"/>
  <c r="A2123" i="1"/>
  <c r="A2124" i="1"/>
  <c r="A2125" i="1"/>
  <c r="A2126" i="1"/>
  <c r="A2127" i="1"/>
  <c r="A2128" i="1"/>
  <c r="A2129" i="1"/>
  <c r="A2130" i="1"/>
  <c r="A2131" i="1"/>
  <c r="A2132" i="1"/>
  <c r="A2133" i="1"/>
  <c r="A2134" i="1"/>
  <c r="A2135" i="1"/>
  <c r="A2136" i="1"/>
  <c r="A2137" i="1"/>
  <c r="A2138" i="1"/>
  <c r="A2139" i="1"/>
  <c r="A2140" i="1"/>
  <c r="A2141" i="1"/>
  <c r="A2142" i="1"/>
  <c r="A2143" i="1"/>
  <c r="A2144" i="1"/>
  <c r="A2145" i="1"/>
  <c r="A2146" i="1"/>
  <c r="A2147" i="1"/>
  <c r="A2148" i="1"/>
  <c r="A2149" i="1"/>
  <c r="A2150" i="1"/>
  <c r="A2151" i="1"/>
  <c r="A2152" i="1"/>
  <c r="A2153" i="1"/>
  <c r="A2154" i="1"/>
  <c r="A2155" i="1"/>
  <c r="A2156" i="1"/>
  <c r="A2157" i="1"/>
  <c r="A2158" i="1"/>
  <c r="A2159" i="1"/>
  <c r="A2160" i="1"/>
  <c r="A2161" i="1"/>
  <c r="A2162" i="1"/>
  <c r="A2163" i="1"/>
  <c r="A2164" i="1"/>
  <c r="A2165" i="1"/>
  <c r="A2166" i="1"/>
  <c r="A2167" i="1"/>
  <c r="A2168" i="1"/>
  <c r="A2169" i="1"/>
  <c r="A2170" i="1"/>
  <c r="A2171" i="1"/>
  <c r="A2172" i="1"/>
  <c r="A2173" i="1"/>
  <c r="A2174" i="1"/>
  <c r="A2175" i="1"/>
  <c r="A2176" i="1"/>
  <c r="A2177" i="1"/>
  <c r="A2" i="1"/>
  <c r="Q1695" i="1" l="1"/>
  <c r="U1695" i="1" s="1"/>
  <c r="Q2121" i="1"/>
  <c r="U2121" i="1" s="1"/>
  <c r="Q1801" i="1"/>
  <c r="Q1673" i="1"/>
  <c r="U1673" i="1" s="1"/>
  <c r="Q1439" i="1"/>
  <c r="U1439" i="1" s="1"/>
  <c r="Q1311" i="1"/>
  <c r="U1311" i="1" s="1"/>
  <c r="Q1183" i="1"/>
  <c r="U1183" i="1" s="1"/>
  <c r="Q955" i="1"/>
  <c r="U955" i="1" s="1"/>
  <c r="Q447" i="1"/>
  <c r="U447" i="1" s="1"/>
  <c r="Q191" i="1"/>
  <c r="U191" i="1" s="1"/>
  <c r="Q1993" i="1"/>
  <c r="U1993" i="1" s="1"/>
  <c r="Q1759" i="1"/>
  <c r="U1759" i="1" s="1"/>
  <c r="Q1545" i="1"/>
  <c r="U1545" i="1" s="1"/>
  <c r="Q1417" i="1"/>
  <c r="U1417" i="1" s="1"/>
  <c r="Q1289" i="1"/>
  <c r="U1289" i="1" s="1"/>
  <c r="Q1161" i="1"/>
  <c r="U1161" i="1" s="1"/>
  <c r="Q869" i="1"/>
  <c r="U869" i="1" s="1"/>
  <c r="Q383" i="1"/>
  <c r="U383" i="1" s="1"/>
  <c r="Q63" i="1"/>
  <c r="U63" i="1" s="1"/>
  <c r="S1193" i="1"/>
  <c r="Q1887" i="1"/>
  <c r="U1887" i="1" s="1"/>
  <c r="Q1503" i="1"/>
  <c r="Q1375" i="1"/>
  <c r="U1375" i="1" s="1"/>
  <c r="Q1247" i="1"/>
  <c r="U1247" i="1" s="1"/>
  <c r="U1097" i="1"/>
  <c r="Q827" i="1"/>
  <c r="U827" i="1" s="1"/>
  <c r="Q319" i="1"/>
  <c r="U319" i="1" s="1"/>
  <c r="Q1641" i="1"/>
  <c r="Q2100" i="1"/>
  <c r="U2100" i="1" s="1"/>
  <c r="Q2036" i="1"/>
  <c r="U2036" i="1" s="1"/>
  <c r="Q1972" i="1"/>
  <c r="U1972" i="1" s="1"/>
  <c r="Q1908" i="1"/>
  <c r="U1908" i="1" s="1"/>
  <c r="Q1844" i="1"/>
  <c r="U1844" i="1" s="1"/>
  <c r="Q1780" i="1"/>
  <c r="U1780" i="1" s="1"/>
  <c r="Q1716" i="1"/>
  <c r="U1716" i="1" s="1"/>
  <c r="Q1588" i="1"/>
  <c r="U1588" i="1" s="1"/>
  <c r="U1503" i="1"/>
  <c r="Q1396" i="1"/>
  <c r="U1396" i="1" s="1"/>
  <c r="Q1332" i="1"/>
  <c r="U1332" i="1" s="1"/>
  <c r="Q1268" i="1"/>
  <c r="U1268" i="1" s="1"/>
  <c r="Q1204" i="1"/>
  <c r="U1204" i="1" s="1"/>
  <c r="Q912" i="1"/>
  <c r="U912" i="1" s="1"/>
  <c r="Q468" i="1"/>
  <c r="U468" i="1" s="1"/>
  <c r="Q212" i="1"/>
  <c r="U212" i="1" s="1"/>
  <c r="P2175" i="1"/>
  <c r="S2175" i="1"/>
  <c r="P2171" i="1"/>
  <c r="Q2171" i="1" s="1"/>
  <c r="U2171" i="1" s="1"/>
  <c r="P2167" i="1"/>
  <c r="S2167" i="1"/>
  <c r="Q2167" i="1"/>
  <c r="P2163" i="1"/>
  <c r="Q2163" i="1" s="1"/>
  <c r="U2163" i="1" s="1"/>
  <c r="P2155" i="1"/>
  <c r="Q2155" i="1" s="1"/>
  <c r="U2155" i="1" s="1"/>
  <c r="P2151" i="1"/>
  <c r="Q2151" i="1" s="1"/>
  <c r="U2151" i="1" s="1"/>
  <c r="P2147" i="1"/>
  <c r="Q2147" i="1" s="1"/>
  <c r="S2147" i="1"/>
  <c r="P2143" i="1"/>
  <c r="Q2143" i="1" s="1"/>
  <c r="S2143" i="1"/>
  <c r="P2139" i="1"/>
  <c r="Q2139" i="1" s="1"/>
  <c r="U2139" i="1" s="1"/>
  <c r="P2135" i="1"/>
  <c r="Q2135" i="1" s="1"/>
  <c r="S2135" i="1"/>
  <c r="P2131" i="1"/>
  <c r="Q2131" i="1"/>
  <c r="U2131" i="1" s="1"/>
  <c r="P2123" i="1"/>
  <c r="Q2123" i="1" s="1"/>
  <c r="U2123" i="1" s="1"/>
  <c r="P2119" i="1"/>
  <c r="Q2119" i="1"/>
  <c r="U2119" i="1" s="1"/>
  <c r="P2115" i="1"/>
  <c r="Q2115" i="1" s="1"/>
  <c r="U2115" i="1" s="1"/>
  <c r="P2111" i="1"/>
  <c r="S2111" i="1"/>
  <c r="P2107" i="1"/>
  <c r="Q2107" i="1" s="1"/>
  <c r="S2107" i="1"/>
  <c r="P2103" i="1"/>
  <c r="Q2103" i="1" s="1"/>
  <c r="U2103" i="1" s="1"/>
  <c r="P2099" i="1"/>
  <c r="Q2099" i="1" s="1"/>
  <c r="U2099" i="1" s="1"/>
  <c r="P2095" i="1"/>
  <c r="Q2095" i="1" s="1"/>
  <c r="S2095" i="1"/>
  <c r="P2091" i="1"/>
  <c r="Q2091" i="1" s="1"/>
  <c r="U2091" i="1" s="1"/>
  <c r="P2087" i="1"/>
  <c r="Q2087" i="1"/>
  <c r="U2087" i="1" s="1"/>
  <c r="P2083" i="1"/>
  <c r="Q2083" i="1" s="1"/>
  <c r="U2083" i="1" s="1"/>
  <c r="P2079" i="1"/>
  <c r="Q2079" i="1" s="1"/>
  <c r="S2079" i="1"/>
  <c r="P2075" i="1"/>
  <c r="Q2075" i="1" s="1"/>
  <c r="U2075" i="1" s="1"/>
  <c r="P2071" i="1"/>
  <c r="Q2071" i="1" s="1"/>
  <c r="U2071" i="1" s="1"/>
  <c r="P2067" i="1"/>
  <c r="Q2067" i="1" s="1"/>
  <c r="U2067" i="1" s="1"/>
  <c r="P2063" i="1"/>
  <c r="S2063" i="1"/>
  <c r="P2059" i="1"/>
  <c r="Q2059" i="1" s="1"/>
  <c r="U2059" i="1" s="1"/>
  <c r="P2055" i="1"/>
  <c r="Q2055" i="1"/>
  <c r="U2055" i="1" s="1"/>
  <c r="P2051" i="1"/>
  <c r="Q2051" i="1" s="1"/>
  <c r="U2051" i="1" s="1"/>
  <c r="P2047" i="1"/>
  <c r="S2047" i="1"/>
  <c r="P2043" i="1"/>
  <c r="Q2043" i="1" s="1"/>
  <c r="S2043" i="1"/>
  <c r="P2039" i="1"/>
  <c r="Q2039" i="1" s="1"/>
  <c r="U2039" i="1" s="1"/>
  <c r="P2035" i="1"/>
  <c r="Q2035" i="1" s="1"/>
  <c r="U2035" i="1" s="1"/>
  <c r="P2027" i="1"/>
  <c r="Q2027" i="1" s="1"/>
  <c r="U2027" i="1" s="1"/>
  <c r="P2023" i="1"/>
  <c r="S2023" i="1"/>
  <c r="Q2023" i="1"/>
  <c r="P2019" i="1"/>
  <c r="Q2019" i="1" s="1"/>
  <c r="S2019" i="1"/>
  <c r="P2015" i="1"/>
  <c r="Q2015" i="1" s="1"/>
  <c r="S2015" i="1"/>
  <c r="P2011" i="1"/>
  <c r="Q2011" i="1" s="1"/>
  <c r="U2011" i="1" s="1"/>
  <c r="P2007" i="1"/>
  <c r="Q2007" i="1" s="1"/>
  <c r="U2007" i="1" s="1"/>
  <c r="P2003" i="1"/>
  <c r="Q2003" i="1" s="1"/>
  <c r="U2003" i="1" s="1"/>
  <c r="P1995" i="1"/>
  <c r="Q1995" i="1" s="1"/>
  <c r="S1995" i="1"/>
  <c r="P1991" i="1"/>
  <c r="Q1991" i="1" s="1"/>
  <c r="U1991" i="1" s="1"/>
  <c r="P1987" i="1"/>
  <c r="Q1987" i="1" s="1"/>
  <c r="S1987" i="1"/>
  <c r="P1979" i="1"/>
  <c r="Q1979" i="1" s="1"/>
  <c r="U1979" i="1" s="1"/>
  <c r="P1975" i="1"/>
  <c r="S1975" i="1"/>
  <c r="Q1975" i="1"/>
  <c r="P1971" i="1"/>
  <c r="Q1971" i="1" s="1"/>
  <c r="S1971" i="1"/>
  <c r="P1963" i="1"/>
  <c r="Q1963" i="1" s="1"/>
  <c r="U1963" i="1" s="1"/>
  <c r="P1959" i="1"/>
  <c r="Q1959" i="1" s="1"/>
  <c r="U1959" i="1" s="1"/>
  <c r="P1955" i="1"/>
  <c r="Q1955" i="1" s="1"/>
  <c r="S1955" i="1"/>
  <c r="P1951" i="1"/>
  <c r="Q1951" i="1" s="1"/>
  <c r="S1951" i="1"/>
  <c r="P1947" i="1"/>
  <c r="Q1947" i="1" s="1"/>
  <c r="U1947" i="1" s="1"/>
  <c r="P1943" i="1"/>
  <c r="S1943" i="1"/>
  <c r="Q1943" i="1"/>
  <c r="P1939" i="1"/>
  <c r="Q1939" i="1" s="1"/>
  <c r="U1939" i="1" s="1"/>
  <c r="P1931" i="1"/>
  <c r="Q1931" i="1" s="1"/>
  <c r="U1931" i="1" s="1"/>
  <c r="P1927" i="1"/>
  <c r="Q1927" i="1" s="1"/>
  <c r="U1927" i="1" s="1"/>
  <c r="P1923" i="1"/>
  <c r="Q1923" i="1" s="1"/>
  <c r="U1923" i="1" s="1"/>
  <c r="P1915" i="1"/>
  <c r="Q1915" i="1" s="1"/>
  <c r="S1915" i="1"/>
  <c r="P1911" i="1"/>
  <c r="Q1911" i="1" s="1"/>
  <c r="S1911" i="1"/>
  <c r="P1907" i="1"/>
  <c r="Q1907" i="1" s="1"/>
  <c r="U1907" i="1" s="1"/>
  <c r="P1899" i="1"/>
  <c r="Q1899" i="1" s="1"/>
  <c r="U1899" i="1" s="1"/>
  <c r="P1895" i="1"/>
  <c r="Q1895" i="1" s="1"/>
  <c r="U1895" i="1" s="1"/>
  <c r="P1891" i="1"/>
  <c r="Q1891" i="1" s="1"/>
  <c r="U1891" i="1" s="1"/>
  <c r="P1883" i="1"/>
  <c r="Q1883" i="1" s="1"/>
  <c r="U1883" i="1" s="1"/>
  <c r="P1879" i="1"/>
  <c r="Q1879" i="1"/>
  <c r="U1879" i="1" s="1"/>
  <c r="P1875" i="1"/>
  <c r="Q1875" i="1" s="1"/>
  <c r="S1875" i="1"/>
  <c r="P1867" i="1"/>
  <c r="Q1867" i="1"/>
  <c r="U1867" i="1" s="1"/>
  <c r="P1863" i="1"/>
  <c r="Q1863" i="1" s="1"/>
  <c r="U1863" i="1" s="1"/>
  <c r="P1859" i="1"/>
  <c r="S1859" i="1"/>
  <c r="Q1859" i="1"/>
  <c r="P1851" i="1"/>
  <c r="S1851" i="1"/>
  <c r="Q1851" i="1"/>
  <c r="P1847" i="1"/>
  <c r="Q1847" i="1" s="1"/>
  <c r="U1847" i="1" s="1"/>
  <c r="P1843" i="1"/>
  <c r="Q1843" i="1" s="1"/>
  <c r="U1843" i="1" s="1"/>
  <c r="P1835" i="1"/>
  <c r="Q1835" i="1" s="1"/>
  <c r="U1835" i="1" s="1"/>
  <c r="P1831" i="1"/>
  <c r="Q1831" i="1" s="1"/>
  <c r="U1831" i="1" s="1"/>
  <c r="P1827" i="1"/>
  <c r="Q1827" i="1" s="1"/>
  <c r="U1827" i="1" s="1"/>
  <c r="P1823" i="1"/>
  <c r="Q1823" i="1" s="1"/>
  <c r="S1823" i="1"/>
  <c r="P1819" i="1"/>
  <c r="Q1819" i="1" s="1"/>
  <c r="S1819" i="1"/>
  <c r="P1815" i="1"/>
  <c r="Q1815" i="1" s="1"/>
  <c r="S1815" i="1"/>
  <c r="P1811" i="1"/>
  <c r="Q1811" i="1" s="1"/>
  <c r="U1811" i="1" s="1"/>
  <c r="P1803" i="1"/>
  <c r="Q1803" i="1" s="1"/>
  <c r="U1803" i="1" s="1"/>
  <c r="P1799" i="1"/>
  <c r="Q1799" i="1" s="1"/>
  <c r="U1799" i="1" s="1"/>
  <c r="P1795" i="1"/>
  <c r="Q1795" i="1" s="1"/>
  <c r="U1795" i="1" s="1"/>
  <c r="P1787" i="1"/>
  <c r="Q1787" i="1"/>
  <c r="U1787" i="1" s="1"/>
  <c r="P1783" i="1"/>
  <c r="Q1783" i="1" s="1"/>
  <c r="S1783" i="1"/>
  <c r="P1779" i="1"/>
  <c r="Q1779" i="1" s="1"/>
  <c r="S1779" i="1"/>
  <c r="P1771" i="1"/>
  <c r="Q1771" i="1" s="1"/>
  <c r="U1771" i="1" s="1"/>
  <c r="P1767" i="1"/>
  <c r="Q1767" i="1" s="1"/>
  <c r="S1767" i="1"/>
  <c r="P1763" i="1"/>
  <c r="Q1763" i="1" s="1"/>
  <c r="U1763" i="1" s="1"/>
  <c r="P1755" i="1"/>
  <c r="Q1755" i="1" s="1"/>
  <c r="U1755" i="1" s="1"/>
  <c r="P1751" i="1"/>
  <c r="Q1751" i="1" s="1"/>
  <c r="S1751" i="1"/>
  <c r="P1747" i="1"/>
  <c r="S1747" i="1"/>
  <c r="Q1747" i="1"/>
  <c r="P1743" i="1"/>
  <c r="S1743" i="1"/>
  <c r="P1739" i="1"/>
  <c r="Q1739" i="1" s="1"/>
  <c r="U1739" i="1" s="1"/>
  <c r="P1735" i="1"/>
  <c r="Q1735" i="1" s="1"/>
  <c r="U1735" i="1" s="1"/>
  <c r="P1731" i="1"/>
  <c r="Q1731" i="1" s="1"/>
  <c r="U1731" i="1" s="1"/>
  <c r="P1723" i="1"/>
  <c r="Q1723" i="1" s="1"/>
  <c r="U1723" i="1" s="1"/>
  <c r="P1719" i="1"/>
  <c r="Q1719" i="1" s="1"/>
  <c r="U1719" i="1" s="1"/>
  <c r="P1715" i="1"/>
  <c r="Q1715" i="1" s="1"/>
  <c r="U1715" i="1" s="1"/>
  <c r="P1711" i="1"/>
  <c r="Q1711" i="1" s="1"/>
  <c r="S1711" i="1"/>
  <c r="P1707" i="1"/>
  <c r="Q1707" i="1" s="1"/>
  <c r="U1707" i="1" s="1"/>
  <c r="P1703" i="1"/>
  <c r="Q1703" i="1" s="1"/>
  <c r="U1703" i="1" s="1"/>
  <c r="P1699" i="1"/>
  <c r="Q1699" i="1" s="1"/>
  <c r="U1699" i="1" s="1"/>
  <c r="P1691" i="1"/>
  <c r="Q1691" i="1" s="1"/>
  <c r="U1691" i="1" s="1"/>
  <c r="P1687" i="1"/>
  <c r="Q1687" i="1" s="1"/>
  <c r="U1687" i="1" s="1"/>
  <c r="P1683" i="1"/>
  <c r="Q1683" i="1" s="1"/>
  <c r="U1683" i="1" s="1"/>
  <c r="P1675" i="1"/>
  <c r="Q1675" i="1" s="1"/>
  <c r="S1675" i="1"/>
  <c r="P1671" i="1"/>
  <c r="Q1671" i="1" s="1"/>
  <c r="U1671" i="1" s="1"/>
  <c r="P1667" i="1"/>
  <c r="Q1667" i="1" s="1"/>
  <c r="U1667" i="1" s="1"/>
  <c r="P1659" i="1"/>
  <c r="Q1659" i="1" s="1"/>
  <c r="U1659" i="1" s="1"/>
  <c r="P1655" i="1"/>
  <c r="Q1655" i="1"/>
  <c r="U1655" i="1" s="1"/>
  <c r="P1651" i="1"/>
  <c r="Q1651" i="1" s="1"/>
  <c r="S1651" i="1"/>
  <c r="P1647" i="1"/>
  <c r="Q1647" i="1" s="1"/>
  <c r="S1647" i="1"/>
  <c r="P1643" i="1"/>
  <c r="Q1643" i="1" s="1"/>
  <c r="U1643" i="1" s="1"/>
  <c r="P1639" i="1"/>
  <c r="Q1639" i="1" s="1"/>
  <c r="U1639" i="1" s="1"/>
  <c r="P1635" i="1"/>
  <c r="Q1635" i="1"/>
  <c r="U1635" i="1" s="1"/>
  <c r="P1631" i="1"/>
  <c r="Q1631" i="1" s="1"/>
  <c r="S1631" i="1"/>
  <c r="P1627" i="1"/>
  <c r="Q1627" i="1"/>
  <c r="U1627" i="1" s="1"/>
  <c r="P1623" i="1"/>
  <c r="Q1623" i="1" s="1"/>
  <c r="S1623" i="1"/>
  <c r="P1619" i="1"/>
  <c r="Q1619" i="1"/>
  <c r="U1619" i="1" s="1"/>
  <c r="P1611" i="1"/>
  <c r="Q1611" i="1" s="1"/>
  <c r="U1611" i="1" s="1"/>
  <c r="P1607" i="1"/>
  <c r="Q1607" i="1"/>
  <c r="U1607" i="1" s="1"/>
  <c r="P1603" i="1"/>
  <c r="Q1603" i="1" s="1"/>
  <c r="S1603" i="1"/>
  <c r="P1595" i="1"/>
  <c r="Q1595" i="1" s="1"/>
  <c r="U1595" i="1" s="1"/>
  <c r="P1591" i="1"/>
  <c r="Q1591" i="1" s="1"/>
  <c r="U1591" i="1" s="1"/>
  <c r="P1587" i="1"/>
  <c r="Q1587" i="1" s="1"/>
  <c r="S1587" i="1"/>
  <c r="P1583" i="1"/>
  <c r="S1583" i="1"/>
  <c r="P1579" i="1"/>
  <c r="Q1579" i="1" s="1"/>
  <c r="S1579" i="1"/>
  <c r="P1575" i="1"/>
  <c r="Q1575" i="1" s="1"/>
  <c r="S1575" i="1"/>
  <c r="P1571" i="1"/>
  <c r="Q1571" i="1" s="1"/>
  <c r="U1571" i="1" s="1"/>
  <c r="P1567" i="1"/>
  <c r="Q1567" i="1" s="1"/>
  <c r="S1567" i="1"/>
  <c r="P1563" i="1"/>
  <c r="Q1563" i="1" s="1"/>
  <c r="S1563" i="1"/>
  <c r="P1559" i="1"/>
  <c r="Q1559" i="1" s="1"/>
  <c r="U1559" i="1" s="1"/>
  <c r="P1555" i="1"/>
  <c r="Q1555" i="1" s="1"/>
  <c r="U1555" i="1" s="1"/>
  <c r="P1551" i="1"/>
  <c r="S1551" i="1"/>
  <c r="P1547" i="1"/>
  <c r="Q1547" i="1" s="1"/>
  <c r="U1547" i="1" s="1"/>
  <c r="P1543" i="1"/>
  <c r="Q1543" i="1" s="1"/>
  <c r="U1543" i="1" s="1"/>
  <c r="P1539" i="1"/>
  <c r="Q1539" i="1" s="1"/>
  <c r="U1539" i="1" s="1"/>
  <c r="P1531" i="1"/>
  <c r="Q1531" i="1" s="1"/>
  <c r="S1531" i="1"/>
  <c r="P1527" i="1"/>
  <c r="Q1527" i="1" s="1"/>
  <c r="S1527" i="1"/>
  <c r="P1523" i="1"/>
  <c r="Q1523" i="1" s="1"/>
  <c r="U1523" i="1" s="1"/>
  <c r="P1515" i="1"/>
  <c r="S1515" i="1"/>
  <c r="Q1515" i="1"/>
  <c r="P1511" i="1"/>
  <c r="Q1511" i="1" s="1"/>
  <c r="S1511" i="1"/>
  <c r="P1507" i="1"/>
  <c r="Q1507" i="1" s="1"/>
  <c r="U1507" i="1" s="1"/>
  <c r="P1499" i="1"/>
  <c r="Q1499" i="1" s="1"/>
  <c r="U1499" i="1" s="1"/>
  <c r="P1495" i="1"/>
  <c r="Q1495" i="1" s="1"/>
  <c r="U1495" i="1" s="1"/>
  <c r="P1491" i="1"/>
  <c r="S1491" i="1"/>
  <c r="Q1491" i="1"/>
  <c r="P1483" i="1"/>
  <c r="Q1483" i="1" s="1"/>
  <c r="U1483" i="1" s="1"/>
  <c r="P1479" i="1"/>
  <c r="Q1479" i="1"/>
  <c r="U1479" i="1" s="1"/>
  <c r="P1475" i="1"/>
  <c r="Q1475" i="1" s="1"/>
  <c r="U1475" i="1" s="1"/>
  <c r="P1467" i="1"/>
  <c r="Q1467" i="1" s="1"/>
  <c r="U1467" i="1" s="1"/>
  <c r="P1463" i="1"/>
  <c r="Q1463" i="1" s="1"/>
  <c r="U1463" i="1" s="1"/>
  <c r="P1459" i="1"/>
  <c r="Q1459" i="1"/>
  <c r="U1459" i="1" s="1"/>
  <c r="P1451" i="1"/>
  <c r="Q1451" i="1" s="1"/>
  <c r="U1451" i="1" s="1"/>
  <c r="P1447" i="1"/>
  <c r="S1447" i="1"/>
  <c r="Q1447" i="1"/>
  <c r="P1443" i="1"/>
  <c r="Q1443" i="1" s="1"/>
  <c r="U1443" i="1" s="1"/>
  <c r="P1435" i="1"/>
  <c r="Q1435" i="1" s="1"/>
  <c r="S1435" i="1"/>
  <c r="P1431" i="1"/>
  <c r="Q1431" i="1" s="1"/>
  <c r="U1431" i="1" s="1"/>
  <c r="P1427" i="1"/>
  <c r="Q1427" i="1" s="1"/>
  <c r="U1427" i="1" s="1"/>
  <c r="P1419" i="1"/>
  <c r="Q1419" i="1"/>
  <c r="U1419" i="1" s="1"/>
  <c r="P1415" i="1"/>
  <c r="Q1415" i="1" s="1"/>
  <c r="U1415" i="1" s="1"/>
  <c r="P1411" i="1"/>
  <c r="S1411" i="1"/>
  <c r="Q1411" i="1"/>
  <c r="P1403" i="1"/>
  <c r="Q1403" i="1" s="1"/>
  <c r="U1403" i="1" s="1"/>
  <c r="P1399" i="1"/>
  <c r="Q1399" i="1" s="1"/>
  <c r="U1399" i="1" s="1"/>
  <c r="P1395" i="1"/>
  <c r="Q1395" i="1"/>
  <c r="U1395" i="1" s="1"/>
  <c r="P1391" i="1"/>
  <c r="S1391" i="1"/>
  <c r="P1387" i="1"/>
  <c r="Q1387" i="1"/>
  <c r="U1387" i="1" s="1"/>
  <c r="P1383" i="1"/>
  <c r="Q1383" i="1" s="1"/>
  <c r="U1383" i="1" s="1"/>
  <c r="P1379" i="1"/>
  <c r="Q1379" i="1"/>
  <c r="U1379" i="1" s="1"/>
  <c r="P1371" i="1"/>
  <c r="Q1371" i="1" s="1"/>
  <c r="U1371" i="1" s="1"/>
  <c r="P1367" i="1"/>
  <c r="Q1367" i="1" s="1"/>
  <c r="U1367" i="1" s="1"/>
  <c r="P1363" i="1"/>
  <c r="Q1363" i="1" s="1"/>
  <c r="S1363" i="1"/>
  <c r="P1355" i="1"/>
  <c r="S1355" i="1"/>
  <c r="Q1355" i="1"/>
  <c r="P1351" i="1"/>
  <c r="Q1351" i="1" s="1"/>
  <c r="U1351" i="1" s="1"/>
  <c r="P1347" i="1"/>
  <c r="Q1347" i="1" s="1"/>
  <c r="U1347" i="1" s="1"/>
  <c r="P1339" i="1"/>
  <c r="Q1339" i="1" s="1"/>
  <c r="S1339" i="1"/>
  <c r="P1335" i="1"/>
  <c r="Q1335" i="1" s="1"/>
  <c r="S1335" i="1"/>
  <c r="P1331" i="1"/>
  <c r="Q1331" i="1" s="1"/>
  <c r="U1331" i="1" s="1"/>
  <c r="P1323" i="1"/>
  <c r="Q1323" i="1"/>
  <c r="U1323" i="1" s="1"/>
  <c r="P1319" i="1"/>
  <c r="Q1319" i="1" s="1"/>
  <c r="S1319" i="1"/>
  <c r="P1315" i="1"/>
  <c r="Q1315" i="1"/>
  <c r="U1315" i="1" s="1"/>
  <c r="P1307" i="1"/>
  <c r="Q1307" i="1" s="1"/>
  <c r="U1307" i="1" s="1"/>
  <c r="P1303" i="1"/>
  <c r="Q1303" i="1" s="1"/>
  <c r="U1303" i="1" s="1"/>
  <c r="P1299" i="1"/>
  <c r="Q1299" i="1" s="1"/>
  <c r="S1299" i="1"/>
  <c r="P1291" i="1"/>
  <c r="Q1291" i="1" s="1"/>
  <c r="U1291" i="1" s="1"/>
  <c r="P1287" i="1"/>
  <c r="Q1287" i="1" s="1"/>
  <c r="U1287" i="1" s="1"/>
  <c r="P1283" i="1"/>
  <c r="Q1283" i="1" s="1"/>
  <c r="U1283" i="1" s="1"/>
  <c r="P1279" i="1"/>
  <c r="S1279" i="1"/>
  <c r="P1275" i="1"/>
  <c r="Q1275" i="1" s="1"/>
  <c r="S1275" i="1"/>
  <c r="P1271" i="1"/>
  <c r="Q1271" i="1"/>
  <c r="U1271" i="1" s="1"/>
  <c r="P1267" i="1"/>
  <c r="Q1267" i="1" s="1"/>
  <c r="S1267" i="1"/>
  <c r="P1259" i="1"/>
  <c r="Q1259" i="1" s="1"/>
  <c r="U1259" i="1" s="1"/>
  <c r="P1255" i="1"/>
  <c r="Q1255" i="1" s="1"/>
  <c r="S1255" i="1"/>
  <c r="P1251" i="1"/>
  <c r="Q1251" i="1" s="1"/>
  <c r="U1251" i="1" s="1"/>
  <c r="P1243" i="1"/>
  <c r="Q1243" i="1" s="1"/>
  <c r="U1243" i="1" s="1"/>
  <c r="P1239" i="1"/>
  <c r="Q1239" i="1" s="1"/>
  <c r="U1239" i="1" s="1"/>
  <c r="P1235" i="1"/>
  <c r="Q1235" i="1"/>
  <c r="U1235" i="1" s="1"/>
  <c r="P1227" i="1"/>
  <c r="Q1227" i="1" s="1"/>
  <c r="U1227" i="1" s="1"/>
  <c r="P1223" i="1"/>
  <c r="Q1223" i="1"/>
  <c r="U1223" i="1" s="1"/>
  <c r="P1219" i="1"/>
  <c r="Q1219" i="1" s="1"/>
  <c r="S1219" i="1"/>
  <c r="P1211" i="1"/>
  <c r="Q1211" i="1" s="1"/>
  <c r="U1211" i="1" s="1"/>
  <c r="P1207" i="1"/>
  <c r="Q1207" i="1" s="1"/>
  <c r="U1207" i="1" s="1"/>
  <c r="P1203" i="1"/>
  <c r="Q1203" i="1" s="1"/>
  <c r="S1203" i="1"/>
  <c r="P1199" i="1"/>
  <c r="S1199" i="1"/>
  <c r="P1195" i="1"/>
  <c r="Q1195" i="1" s="1"/>
  <c r="U1195" i="1" s="1"/>
  <c r="P1191" i="1"/>
  <c r="Q1191" i="1"/>
  <c r="U1191" i="1" s="1"/>
  <c r="P1187" i="1"/>
  <c r="Q1187" i="1" s="1"/>
  <c r="U1187" i="1" s="1"/>
  <c r="P1179" i="1"/>
  <c r="Q1179" i="1" s="1"/>
  <c r="U1179" i="1" s="1"/>
  <c r="P1175" i="1"/>
  <c r="Q1175" i="1" s="1"/>
  <c r="U1175" i="1" s="1"/>
  <c r="P1171" i="1"/>
  <c r="Q1171" i="1"/>
  <c r="U1171" i="1" s="1"/>
  <c r="P1163" i="1"/>
  <c r="Q1163" i="1" s="1"/>
  <c r="U1163" i="1" s="1"/>
  <c r="P1159" i="1"/>
  <c r="Q1159" i="1"/>
  <c r="U1159" i="1" s="1"/>
  <c r="P1155" i="1"/>
  <c r="Q1155" i="1" s="1"/>
  <c r="U1155" i="1" s="1"/>
  <c r="P1147" i="1"/>
  <c r="Q1147" i="1" s="1"/>
  <c r="U1147" i="1" s="1"/>
  <c r="P1143" i="1"/>
  <c r="Q1143" i="1" s="1"/>
  <c r="U1143" i="1" s="1"/>
  <c r="P1139" i="1"/>
  <c r="Q1139" i="1" s="1"/>
  <c r="S1139" i="1"/>
  <c r="P1131" i="1"/>
  <c r="Q1131" i="1" s="1"/>
  <c r="U1131" i="1" s="1"/>
  <c r="P1127" i="1"/>
  <c r="Q1127" i="1" s="1"/>
  <c r="U1127" i="1" s="1"/>
  <c r="P1123" i="1"/>
  <c r="Q1123" i="1" s="1"/>
  <c r="U1123" i="1" s="1"/>
  <c r="P1119" i="1"/>
  <c r="Q1119" i="1" s="1"/>
  <c r="S1119" i="1"/>
  <c r="P1115" i="1"/>
  <c r="Q1115" i="1" s="1"/>
  <c r="U1115" i="1" s="1"/>
  <c r="P1111" i="1"/>
  <c r="Q1111" i="1" s="1"/>
  <c r="U1111" i="1" s="1"/>
  <c r="P1107" i="1"/>
  <c r="Q1107" i="1"/>
  <c r="U1107" i="1" s="1"/>
  <c r="P1099" i="1"/>
  <c r="Q1099" i="1" s="1"/>
  <c r="U1099" i="1" s="1"/>
  <c r="P1095" i="1"/>
  <c r="Q1095" i="1"/>
  <c r="U1095" i="1" s="1"/>
  <c r="P1091" i="1"/>
  <c r="Q1091" i="1" s="1"/>
  <c r="S1091" i="1"/>
  <c r="P1083" i="1"/>
  <c r="S1083" i="1"/>
  <c r="Q1083" i="1"/>
  <c r="P1079" i="1"/>
  <c r="Q1079" i="1" s="1"/>
  <c r="U1079" i="1" s="1"/>
  <c r="P1075" i="1"/>
  <c r="Q1075" i="1" s="1"/>
  <c r="U1075" i="1" s="1"/>
  <c r="P1067" i="1"/>
  <c r="Q1067" i="1" s="1"/>
  <c r="U1067" i="1" s="1"/>
  <c r="P1063" i="1"/>
  <c r="Q1063" i="1" s="1"/>
  <c r="U1063" i="1" s="1"/>
  <c r="P1059" i="1"/>
  <c r="Q1059" i="1"/>
  <c r="U1059" i="1" s="1"/>
  <c r="P1055" i="1"/>
  <c r="Q1055" i="1" s="1"/>
  <c r="S1055" i="1"/>
  <c r="P1047" i="1"/>
  <c r="Q1047" i="1" s="1"/>
  <c r="S1047" i="1"/>
  <c r="P1043" i="1"/>
  <c r="Q1043" i="1"/>
  <c r="U1043" i="1" s="1"/>
  <c r="P1039" i="1"/>
  <c r="Q1039" i="1" s="1"/>
  <c r="U1039" i="1" s="1"/>
  <c r="P1035" i="1"/>
  <c r="Q1035" i="1" s="1"/>
  <c r="U1035" i="1" s="1"/>
  <c r="P1031" i="1"/>
  <c r="Q1031" i="1" s="1"/>
  <c r="U1031" i="1" s="1"/>
  <c r="P1027" i="1"/>
  <c r="Q1027" i="1" s="1"/>
  <c r="S1027" i="1"/>
  <c r="P1023" i="1"/>
  <c r="Q1023" i="1" s="1"/>
  <c r="S1023" i="1"/>
  <c r="P1015" i="1"/>
  <c r="Q1015" i="1" s="1"/>
  <c r="U1015" i="1" s="1"/>
  <c r="P1011" i="1"/>
  <c r="Q1011" i="1"/>
  <c r="U1011" i="1" s="1"/>
  <c r="P1007" i="1"/>
  <c r="Q1007" i="1" s="1"/>
  <c r="S1007" i="1"/>
  <c r="P1003" i="1"/>
  <c r="S1003" i="1"/>
  <c r="Q1003" i="1"/>
  <c r="P999" i="1"/>
  <c r="Q999" i="1" s="1"/>
  <c r="U999" i="1" s="1"/>
  <c r="P995" i="1"/>
  <c r="Q995" i="1" s="1"/>
  <c r="U995" i="1" s="1"/>
  <c r="P991" i="1"/>
  <c r="Q991" i="1" s="1"/>
  <c r="U991" i="1" s="1"/>
  <c r="P983" i="1"/>
  <c r="Q983" i="1" s="1"/>
  <c r="S983" i="1"/>
  <c r="P979" i="1"/>
  <c r="Q979" i="1" s="1"/>
  <c r="U979" i="1" s="1"/>
  <c r="P975" i="1"/>
  <c r="Q975" i="1" s="1"/>
  <c r="U975" i="1" s="1"/>
  <c r="P971" i="1"/>
  <c r="Q971" i="1"/>
  <c r="U971" i="1" s="1"/>
  <c r="P967" i="1"/>
  <c r="Q967" i="1" s="1"/>
  <c r="U967" i="1" s="1"/>
  <c r="P963" i="1"/>
  <c r="Q963" i="1"/>
  <c r="U963" i="1" s="1"/>
  <c r="P959" i="1"/>
  <c r="Q959" i="1" s="1"/>
  <c r="U959" i="1" s="1"/>
  <c r="P951" i="1"/>
  <c r="Q951" i="1" s="1"/>
  <c r="U951" i="1" s="1"/>
  <c r="P947" i="1"/>
  <c r="Q947" i="1" s="1"/>
  <c r="U947" i="1" s="1"/>
  <c r="P943" i="1"/>
  <c r="Q943" i="1" s="1"/>
  <c r="U943" i="1" s="1"/>
  <c r="P939" i="1"/>
  <c r="Q939" i="1" s="1"/>
  <c r="U939" i="1" s="1"/>
  <c r="P935" i="1"/>
  <c r="Q935" i="1" s="1"/>
  <c r="S935" i="1"/>
  <c r="P931" i="1"/>
  <c r="S931" i="1"/>
  <c r="Q931" i="1"/>
  <c r="P927" i="1"/>
  <c r="Q927" i="1" s="1"/>
  <c r="S927" i="1"/>
  <c r="P919" i="1"/>
  <c r="Q919" i="1" s="1"/>
  <c r="U919" i="1" s="1"/>
  <c r="P915" i="1"/>
  <c r="Q915" i="1" s="1"/>
  <c r="U915" i="1" s="1"/>
  <c r="P911" i="1"/>
  <c r="Q911" i="1" s="1"/>
  <c r="U911" i="1" s="1"/>
  <c r="P907" i="1"/>
  <c r="Q907" i="1" s="1"/>
  <c r="U907" i="1" s="1"/>
  <c r="P903" i="1"/>
  <c r="Q903" i="1" s="1"/>
  <c r="U903" i="1" s="1"/>
  <c r="P899" i="1"/>
  <c r="Q899" i="1" s="1"/>
  <c r="U899" i="1" s="1"/>
  <c r="P895" i="1"/>
  <c r="Q895" i="1" s="1"/>
  <c r="U895" i="1" s="1"/>
  <c r="P887" i="1"/>
  <c r="Q887" i="1" s="1"/>
  <c r="U887" i="1" s="1"/>
  <c r="P883" i="1"/>
  <c r="Q883" i="1" s="1"/>
  <c r="U883" i="1" s="1"/>
  <c r="P879" i="1"/>
  <c r="Q879" i="1" s="1"/>
  <c r="U879" i="1" s="1"/>
  <c r="P875" i="1"/>
  <c r="Q875" i="1" s="1"/>
  <c r="U875" i="1" s="1"/>
  <c r="P871" i="1"/>
  <c r="Q871" i="1" s="1"/>
  <c r="S871" i="1"/>
  <c r="P867" i="1"/>
  <c r="Q867" i="1" s="1"/>
  <c r="S867" i="1"/>
  <c r="P863" i="1"/>
  <c r="Q863" i="1" s="1"/>
  <c r="U863" i="1" s="1"/>
  <c r="P855" i="1"/>
  <c r="Q855" i="1"/>
  <c r="U855" i="1" s="1"/>
  <c r="P851" i="1"/>
  <c r="Q851" i="1" s="1"/>
  <c r="U851" i="1" s="1"/>
  <c r="P847" i="1"/>
  <c r="Q847" i="1" s="1"/>
  <c r="S847" i="1"/>
  <c r="P843" i="1"/>
  <c r="Q843" i="1" s="1"/>
  <c r="S843" i="1"/>
  <c r="P839" i="1"/>
  <c r="Q839" i="1" s="1"/>
  <c r="U839" i="1" s="1"/>
  <c r="P835" i="1"/>
  <c r="Q835" i="1"/>
  <c r="U835" i="1" s="1"/>
  <c r="P831" i="1"/>
  <c r="Q831" i="1" s="1"/>
  <c r="U831" i="1" s="1"/>
  <c r="P823" i="1"/>
  <c r="Q823" i="1" s="1"/>
  <c r="U823" i="1" s="1"/>
  <c r="P819" i="1"/>
  <c r="Q819" i="1" s="1"/>
  <c r="U819" i="1" s="1"/>
  <c r="P815" i="1"/>
  <c r="Q815" i="1" s="1"/>
  <c r="U815" i="1" s="1"/>
  <c r="P811" i="1"/>
  <c r="Q811" i="1" s="1"/>
  <c r="U811" i="1" s="1"/>
  <c r="P807" i="1"/>
  <c r="Q807" i="1" s="1"/>
  <c r="S807" i="1"/>
  <c r="P803" i="1"/>
  <c r="Q803" i="1" s="1"/>
  <c r="U803" i="1" s="1"/>
  <c r="P799" i="1"/>
  <c r="Q799" i="1"/>
  <c r="U799" i="1" s="1"/>
  <c r="P791" i="1"/>
  <c r="Q791" i="1" s="1"/>
  <c r="S791" i="1"/>
  <c r="P787" i="1"/>
  <c r="Q787" i="1" s="1"/>
  <c r="U787" i="1" s="1"/>
  <c r="P783" i="1"/>
  <c r="Q783" i="1" s="1"/>
  <c r="S783" i="1"/>
  <c r="P779" i="1"/>
  <c r="Q779" i="1" s="1"/>
  <c r="S779" i="1"/>
  <c r="P775" i="1"/>
  <c r="Q775" i="1" s="1"/>
  <c r="U775" i="1" s="1"/>
  <c r="P771" i="1"/>
  <c r="Q771" i="1"/>
  <c r="U771" i="1" s="1"/>
  <c r="P767" i="1"/>
  <c r="Q767" i="1" s="1"/>
  <c r="U767" i="1" s="1"/>
  <c r="P759" i="1"/>
  <c r="S759" i="1"/>
  <c r="Q759" i="1"/>
  <c r="P755" i="1"/>
  <c r="Q755" i="1" s="1"/>
  <c r="U755" i="1" s="1"/>
  <c r="P751" i="1"/>
  <c r="Q751" i="1" s="1"/>
  <c r="U751" i="1" s="1"/>
  <c r="P747" i="1"/>
  <c r="Q747" i="1" s="1"/>
  <c r="U747" i="1" s="1"/>
  <c r="P743" i="1"/>
  <c r="Q743" i="1" s="1"/>
  <c r="U743" i="1" s="1"/>
  <c r="P739" i="1"/>
  <c r="Q739" i="1" s="1"/>
  <c r="U739" i="1" s="1"/>
  <c r="P735" i="1"/>
  <c r="Q735" i="1"/>
  <c r="U735" i="1" s="1"/>
  <c r="P731" i="1"/>
  <c r="Q731" i="1" s="1"/>
  <c r="U731" i="1" s="1"/>
  <c r="P727" i="1"/>
  <c r="Q727" i="1"/>
  <c r="U727" i="1" s="1"/>
  <c r="P723" i="1"/>
  <c r="Q723" i="1" s="1"/>
  <c r="U723" i="1" s="1"/>
  <c r="P719" i="1"/>
  <c r="Q719" i="1" s="1"/>
  <c r="U719" i="1" s="1"/>
  <c r="P715" i="1"/>
  <c r="Q715" i="1" s="1"/>
  <c r="U715" i="1" s="1"/>
  <c r="P711" i="1"/>
  <c r="Q711" i="1" s="1"/>
  <c r="U711" i="1" s="1"/>
  <c r="P707" i="1"/>
  <c r="Q707" i="1" s="1"/>
  <c r="U707" i="1" s="1"/>
  <c r="P703" i="1"/>
  <c r="Q703" i="1" s="1"/>
  <c r="S703" i="1"/>
  <c r="P699" i="1"/>
  <c r="Q699" i="1" s="1"/>
  <c r="U699" i="1" s="1"/>
  <c r="P695" i="1"/>
  <c r="Q695" i="1"/>
  <c r="U695" i="1" s="1"/>
  <c r="P691" i="1"/>
  <c r="Q691" i="1" s="1"/>
  <c r="U691" i="1" s="1"/>
  <c r="P687" i="1"/>
  <c r="Q687" i="1" s="1"/>
  <c r="U687" i="1" s="1"/>
  <c r="P683" i="1"/>
  <c r="Q683" i="1" s="1"/>
  <c r="U683" i="1" s="1"/>
  <c r="P679" i="1"/>
  <c r="Q679" i="1" s="1"/>
  <c r="U679" i="1" s="1"/>
  <c r="P675" i="1"/>
  <c r="Q675" i="1" s="1"/>
  <c r="U675" i="1" s="1"/>
  <c r="P671" i="1"/>
  <c r="Q671" i="1"/>
  <c r="U671" i="1" s="1"/>
  <c r="P667" i="1"/>
  <c r="Q667" i="1" s="1"/>
  <c r="U667" i="1" s="1"/>
  <c r="P663" i="1"/>
  <c r="Q663" i="1"/>
  <c r="U663" i="1" s="1"/>
  <c r="P659" i="1"/>
  <c r="Q659" i="1" s="1"/>
  <c r="U659" i="1" s="1"/>
  <c r="P655" i="1"/>
  <c r="S655" i="1"/>
  <c r="Q655" i="1"/>
  <c r="P651" i="1"/>
  <c r="Q651" i="1" s="1"/>
  <c r="U651" i="1" s="1"/>
  <c r="P647" i="1"/>
  <c r="Q647" i="1" s="1"/>
  <c r="S647" i="1"/>
  <c r="P643" i="1"/>
  <c r="Q643" i="1"/>
  <c r="U643" i="1" s="1"/>
  <c r="P639" i="1"/>
  <c r="Q639" i="1" s="1"/>
  <c r="S639" i="1"/>
  <c r="P635" i="1"/>
  <c r="Q635" i="1"/>
  <c r="U635" i="1" s="1"/>
  <c r="P631" i="1"/>
  <c r="Q631" i="1" s="1"/>
  <c r="U631" i="1" s="1"/>
  <c r="P627" i="1"/>
  <c r="Q627" i="1"/>
  <c r="U627" i="1" s="1"/>
  <c r="P623" i="1"/>
  <c r="Q623" i="1" s="1"/>
  <c r="U623" i="1" s="1"/>
  <c r="P619" i="1"/>
  <c r="Q619" i="1" s="1"/>
  <c r="U619" i="1" s="1"/>
  <c r="P615" i="1"/>
  <c r="Q615" i="1" s="1"/>
  <c r="U615" i="1" s="1"/>
  <c r="P611" i="1"/>
  <c r="Q611" i="1" s="1"/>
  <c r="U611" i="1" s="1"/>
  <c r="P607" i="1"/>
  <c r="Q607" i="1" s="1"/>
  <c r="S607" i="1"/>
  <c r="P603" i="1"/>
  <c r="Q603" i="1" s="1"/>
  <c r="U603" i="1" s="1"/>
  <c r="P599" i="1"/>
  <c r="S599" i="1"/>
  <c r="Q599" i="1"/>
  <c r="P595" i="1"/>
  <c r="Q595" i="1" s="1"/>
  <c r="U595" i="1" s="1"/>
  <c r="P591" i="1"/>
  <c r="Q591" i="1"/>
  <c r="U591" i="1" s="1"/>
  <c r="P587" i="1"/>
  <c r="Q587" i="1" s="1"/>
  <c r="S587" i="1"/>
  <c r="P583" i="1"/>
  <c r="Q583" i="1" s="1"/>
  <c r="U583" i="1" s="1"/>
  <c r="P579" i="1"/>
  <c r="Q579" i="1" s="1"/>
  <c r="U579" i="1" s="1"/>
  <c r="P571" i="1"/>
  <c r="Q571" i="1" s="1"/>
  <c r="U571" i="1" s="1"/>
  <c r="P567" i="1"/>
  <c r="Q567" i="1" s="1"/>
  <c r="S567" i="1"/>
  <c r="P563" i="1"/>
  <c r="Q563" i="1" s="1"/>
  <c r="U563" i="1" s="1"/>
  <c r="P559" i="1"/>
  <c r="Q559" i="1" s="1"/>
  <c r="U559" i="1" s="1"/>
  <c r="P555" i="1"/>
  <c r="Q555" i="1" s="1"/>
  <c r="U555" i="1" s="1"/>
  <c r="P551" i="1"/>
  <c r="Q551" i="1"/>
  <c r="U551" i="1" s="1"/>
  <c r="P547" i="1"/>
  <c r="Q547" i="1" s="1"/>
  <c r="U547" i="1" s="1"/>
  <c r="P543" i="1"/>
  <c r="Q543" i="1"/>
  <c r="U543" i="1" s="1"/>
  <c r="P539" i="1"/>
  <c r="Q539" i="1" s="1"/>
  <c r="U539" i="1" s="1"/>
  <c r="P535" i="1"/>
  <c r="Q535" i="1" s="1"/>
  <c r="U535" i="1" s="1"/>
  <c r="P531" i="1"/>
  <c r="Q531" i="1" s="1"/>
  <c r="U531" i="1" s="1"/>
  <c r="P527" i="1"/>
  <c r="Q527" i="1" s="1"/>
  <c r="S527" i="1"/>
  <c r="P523" i="1"/>
  <c r="Q523" i="1" s="1"/>
  <c r="U523" i="1" s="1"/>
  <c r="P519" i="1"/>
  <c r="Q519" i="1" s="1"/>
  <c r="U519" i="1" s="1"/>
  <c r="P515" i="1"/>
  <c r="S515" i="1"/>
  <c r="Q515" i="1"/>
  <c r="P507" i="1"/>
  <c r="Q507" i="1" s="1"/>
  <c r="U507" i="1" s="1"/>
  <c r="P503" i="1"/>
  <c r="Q503" i="1"/>
  <c r="U503" i="1" s="1"/>
  <c r="P499" i="1"/>
  <c r="Q499" i="1" s="1"/>
  <c r="U499" i="1" s="1"/>
  <c r="P495" i="1"/>
  <c r="Q495" i="1" s="1"/>
  <c r="U495" i="1" s="1"/>
  <c r="P491" i="1"/>
  <c r="Q491" i="1" s="1"/>
  <c r="U491" i="1" s="1"/>
  <c r="P487" i="1"/>
  <c r="Q487" i="1"/>
  <c r="U487" i="1" s="1"/>
  <c r="P483" i="1"/>
  <c r="Q483" i="1" s="1"/>
  <c r="U483" i="1" s="1"/>
  <c r="P479" i="1"/>
  <c r="Q479" i="1"/>
  <c r="U479" i="1" s="1"/>
  <c r="Q2159" i="1"/>
  <c r="U2159" i="1" s="1"/>
  <c r="Q2137" i="1"/>
  <c r="U2137" i="1" s="1"/>
  <c r="Q2116" i="1"/>
  <c r="U2116" i="1" s="1"/>
  <c r="Q2073" i="1"/>
  <c r="U2073" i="1" s="1"/>
  <c r="Q2031" i="1"/>
  <c r="U2031" i="1" s="1"/>
  <c r="Q2009" i="1"/>
  <c r="U2009" i="1" s="1"/>
  <c r="Q1988" i="1"/>
  <c r="U1988" i="1" s="1"/>
  <c r="Q1967" i="1"/>
  <c r="U1967" i="1" s="1"/>
  <c r="Q1945" i="1"/>
  <c r="U1945" i="1" s="1"/>
  <c r="Q1903" i="1"/>
  <c r="U1903" i="1" s="1"/>
  <c r="Q1839" i="1"/>
  <c r="U1839" i="1" s="1"/>
  <c r="Q1817" i="1"/>
  <c r="U1817" i="1" s="1"/>
  <c r="Q1796" i="1"/>
  <c r="U1796" i="1" s="1"/>
  <c r="Q1775" i="1"/>
  <c r="U1775" i="1" s="1"/>
  <c r="Q1753" i="1"/>
  <c r="U1753" i="1" s="1"/>
  <c r="Q1689" i="1"/>
  <c r="U1689" i="1" s="1"/>
  <c r="Q1668" i="1"/>
  <c r="U1668" i="1" s="1"/>
  <c r="Q1583" i="1"/>
  <c r="Q1561" i="1"/>
  <c r="U1561" i="1" s="1"/>
  <c r="Q1540" i="1"/>
  <c r="U1540" i="1" s="1"/>
  <c r="Q1519" i="1"/>
  <c r="U1519" i="1" s="1"/>
  <c r="Q1497" i="1"/>
  <c r="U1497" i="1" s="1"/>
  <c r="Q1455" i="1"/>
  <c r="U1455" i="1" s="1"/>
  <c r="Q1412" i="1"/>
  <c r="U1412" i="1" s="1"/>
  <c r="Q1391" i="1"/>
  <c r="Q1369" i="1"/>
  <c r="Q1348" i="1"/>
  <c r="U1348" i="1" s="1"/>
  <c r="Q1327" i="1"/>
  <c r="U1327" i="1" s="1"/>
  <c r="Q1305" i="1"/>
  <c r="U1305" i="1" s="1"/>
  <c r="Q1284" i="1"/>
  <c r="U1284" i="1" s="1"/>
  <c r="Q1263" i="1"/>
  <c r="U1263" i="1" s="1"/>
  <c r="Q1241" i="1"/>
  <c r="U1241" i="1" s="1"/>
  <c r="Q1199" i="1"/>
  <c r="Q1177" i="1"/>
  <c r="U1177" i="1" s="1"/>
  <c r="Q1156" i="1"/>
  <c r="U1156" i="1" s="1"/>
  <c r="Q1135" i="1"/>
  <c r="U1135" i="1" s="1"/>
  <c r="Q1113" i="1"/>
  <c r="U1113" i="1" s="1"/>
  <c r="Q1071" i="1"/>
  <c r="U1071" i="1" s="1"/>
  <c r="Q987" i="1"/>
  <c r="U987" i="1" s="1"/>
  <c r="Q944" i="1"/>
  <c r="U944" i="1" s="1"/>
  <c r="Q901" i="1"/>
  <c r="U901" i="1" s="1"/>
  <c r="Q859" i="1"/>
  <c r="U859" i="1" s="1"/>
  <c r="Q816" i="1"/>
  <c r="U816" i="1" s="1"/>
  <c r="Q773" i="1"/>
  <c r="U773" i="1" s="1"/>
  <c r="Q617" i="1"/>
  <c r="U617" i="1" s="1"/>
  <c r="Q532" i="1"/>
  <c r="U532" i="1" s="1"/>
  <c r="Q361" i="1"/>
  <c r="U361" i="1" s="1"/>
  <c r="Q276" i="1"/>
  <c r="U276" i="1" s="1"/>
  <c r="S1801" i="1"/>
  <c r="P2176" i="1"/>
  <c r="Q2176" i="1" s="1"/>
  <c r="U2176" i="1" s="1"/>
  <c r="P2172" i="1"/>
  <c r="Q2172" i="1" s="1"/>
  <c r="U2172" i="1" s="1"/>
  <c r="P2168" i="1"/>
  <c r="Q2168" i="1" s="1"/>
  <c r="U2168" i="1" s="1"/>
  <c r="P2160" i="1"/>
  <c r="Q2160" i="1" s="1"/>
  <c r="U2160" i="1" s="1"/>
  <c r="P2152" i="1"/>
  <c r="Q2152" i="1"/>
  <c r="U2152" i="1" s="1"/>
  <c r="P2144" i="1"/>
  <c r="Q2144" i="1" s="1"/>
  <c r="S2144" i="1"/>
  <c r="P2136" i="1"/>
  <c r="Q2136" i="1"/>
  <c r="U2136" i="1" s="1"/>
  <c r="P2128" i="1"/>
  <c r="Q2128" i="1" s="1"/>
  <c r="U2128" i="1" s="1"/>
  <c r="P2092" i="1"/>
  <c r="Q2092" i="1" s="1"/>
  <c r="U2092" i="1" s="1"/>
  <c r="P2084" i="1"/>
  <c r="S2084" i="1"/>
  <c r="P2076" i="1"/>
  <c r="S2076" i="1"/>
  <c r="Q2076" i="1"/>
  <c r="P2072" i="1"/>
  <c r="Q2072" i="1" s="1"/>
  <c r="U2072" i="1" s="1"/>
  <c r="P2064" i="1"/>
  <c r="Q2064" i="1" s="1"/>
  <c r="S2064" i="1"/>
  <c r="P2056" i="1"/>
  <c r="Q2056" i="1" s="1"/>
  <c r="U2056" i="1" s="1"/>
  <c r="P2048" i="1"/>
  <c r="Q2048" i="1" s="1"/>
  <c r="U2048" i="1" s="1"/>
  <c r="P2028" i="1"/>
  <c r="Q2028" i="1"/>
  <c r="U2028" i="1" s="1"/>
  <c r="P2020" i="1"/>
  <c r="S2020" i="1"/>
  <c r="P2012" i="1"/>
  <c r="Q2012" i="1" s="1"/>
  <c r="S2012" i="1"/>
  <c r="P2008" i="1"/>
  <c r="S2008" i="1"/>
  <c r="Q2008" i="1"/>
  <c r="P2000" i="1"/>
  <c r="Q2000" i="1" s="1"/>
  <c r="U2000" i="1" s="1"/>
  <c r="P1992" i="1"/>
  <c r="Q1992" i="1"/>
  <c r="U1992" i="1" s="1"/>
  <c r="P1984" i="1"/>
  <c r="Q1984" i="1" s="1"/>
  <c r="U1984" i="1" s="1"/>
  <c r="P1968" i="1"/>
  <c r="Q1968" i="1" s="1"/>
  <c r="U1968" i="1" s="1"/>
  <c r="P1960" i="1"/>
  <c r="Q1960" i="1" s="1"/>
  <c r="S1960" i="1"/>
  <c r="P1952" i="1"/>
  <c r="Q1952" i="1" s="1"/>
  <c r="S1952" i="1"/>
  <c r="P1944" i="1"/>
  <c r="Q1944" i="1"/>
  <c r="U1944" i="1" s="1"/>
  <c r="P1936" i="1"/>
  <c r="Q1936" i="1" s="1"/>
  <c r="U1936" i="1" s="1"/>
  <c r="P1928" i="1"/>
  <c r="S1928" i="1"/>
  <c r="Q1928" i="1"/>
  <c r="P1920" i="1"/>
  <c r="Q1920" i="1" s="1"/>
  <c r="U1920" i="1" s="1"/>
  <c r="P1912" i="1"/>
  <c r="Q1912" i="1" s="1"/>
  <c r="U1912" i="1" s="1"/>
  <c r="P1904" i="1"/>
  <c r="Q1904" i="1"/>
  <c r="U1904" i="1" s="1"/>
  <c r="P1884" i="1"/>
  <c r="Q1884" i="1" s="1"/>
  <c r="U1884" i="1" s="1"/>
  <c r="P1880" i="1"/>
  <c r="Q1880" i="1" s="1"/>
  <c r="U1880" i="1" s="1"/>
  <c r="P1872" i="1"/>
  <c r="Q1872" i="1" s="1"/>
  <c r="S1872" i="1"/>
  <c r="P1864" i="1"/>
  <c r="Q1864" i="1" s="1"/>
  <c r="U1864" i="1" s="1"/>
  <c r="P1856" i="1"/>
  <c r="Q1856" i="1" s="1"/>
  <c r="S1856" i="1"/>
  <c r="P1848" i="1"/>
  <c r="Q1848" i="1" s="1"/>
  <c r="U1848" i="1" s="1"/>
  <c r="P1840" i="1"/>
  <c r="S1840" i="1"/>
  <c r="Q1840" i="1"/>
  <c r="P1820" i="1"/>
  <c r="Q1820" i="1" s="1"/>
  <c r="U1820" i="1" s="1"/>
  <c r="P1812" i="1"/>
  <c r="S1812" i="1"/>
  <c r="P1804" i="1"/>
  <c r="Q1804" i="1" s="1"/>
  <c r="U1804" i="1" s="1"/>
  <c r="P1800" i="1"/>
  <c r="Q1800" i="1" s="1"/>
  <c r="U1800" i="1" s="1"/>
  <c r="P1792" i="1"/>
  <c r="Q1792" i="1" s="1"/>
  <c r="S1792" i="1"/>
  <c r="P1784" i="1"/>
  <c r="Q1784" i="1" s="1"/>
  <c r="U1784" i="1" s="1"/>
  <c r="P1776" i="1"/>
  <c r="Q1776" i="1"/>
  <c r="U1776" i="1" s="1"/>
  <c r="P1752" i="1"/>
  <c r="Q1752" i="1" s="1"/>
  <c r="U1752" i="1" s="1"/>
  <c r="P1744" i="1"/>
  <c r="Q1744" i="1" s="1"/>
  <c r="U1744" i="1" s="1"/>
  <c r="P1736" i="1"/>
  <c r="Q1736" i="1" s="1"/>
  <c r="U1736" i="1" s="1"/>
  <c r="P1728" i="1"/>
  <c r="Q1728" i="1" s="1"/>
  <c r="U1728" i="1" s="1"/>
  <c r="P1720" i="1"/>
  <c r="Q1720" i="1" s="1"/>
  <c r="U1720" i="1" s="1"/>
  <c r="P1712" i="1"/>
  <c r="Q1712" i="1"/>
  <c r="U1712" i="1" s="1"/>
  <c r="P1704" i="1"/>
  <c r="Q1704" i="1" s="1"/>
  <c r="U1704" i="1" s="1"/>
  <c r="P1696" i="1"/>
  <c r="Q1696" i="1"/>
  <c r="U1696" i="1" s="1"/>
  <c r="P1676" i="1"/>
  <c r="Q1676" i="1" s="1"/>
  <c r="U1676" i="1" s="1"/>
  <c r="P1672" i="1"/>
  <c r="Q1672" i="1" s="1"/>
  <c r="U1672" i="1" s="1"/>
  <c r="P1660" i="1"/>
  <c r="Q1660" i="1" s="1"/>
  <c r="S1660" i="1"/>
  <c r="P1652" i="1"/>
  <c r="Q1652" i="1" s="1"/>
  <c r="S1652" i="1"/>
  <c r="P1644" i="1"/>
  <c r="Q1644" i="1" s="1"/>
  <c r="U1644" i="1" s="1"/>
  <c r="P1636" i="1"/>
  <c r="S1636" i="1"/>
  <c r="P1628" i="1"/>
  <c r="Q1628" i="1" s="1"/>
  <c r="U1628" i="1" s="1"/>
  <c r="P1624" i="1"/>
  <c r="Q1624" i="1" s="1"/>
  <c r="S1624" i="1"/>
  <c r="P1616" i="1"/>
  <c r="Q1616" i="1" s="1"/>
  <c r="U1616" i="1" s="1"/>
  <c r="P1608" i="1"/>
  <c r="Q1608" i="1" s="1"/>
  <c r="U1608" i="1" s="1"/>
  <c r="P1600" i="1"/>
  <c r="Q1600" i="1" s="1"/>
  <c r="U1600" i="1" s="1"/>
  <c r="P1592" i="1"/>
  <c r="Q1592" i="1" s="1"/>
  <c r="S1592" i="1"/>
  <c r="P1584" i="1"/>
  <c r="Q1584" i="1" s="1"/>
  <c r="S1584" i="1"/>
  <c r="P1564" i="1"/>
  <c r="Q1564" i="1" s="1"/>
  <c r="S1564" i="1"/>
  <c r="P1552" i="1"/>
  <c r="Q1552" i="1" s="1"/>
  <c r="U1552" i="1" s="1"/>
  <c r="P1532" i="1"/>
  <c r="Q1532" i="1" s="1"/>
  <c r="U1532" i="1" s="1"/>
  <c r="P1524" i="1"/>
  <c r="Q1524" i="1" s="1"/>
  <c r="S1524" i="1"/>
  <c r="P1516" i="1"/>
  <c r="Q1516" i="1" s="1"/>
  <c r="U1516" i="1" s="1"/>
  <c r="P1500" i="1"/>
  <c r="Q1500" i="1" s="1"/>
  <c r="U1500" i="1" s="1"/>
  <c r="P1496" i="1"/>
  <c r="Q1496" i="1"/>
  <c r="U1496" i="1" s="1"/>
  <c r="P1488" i="1"/>
  <c r="Q1488" i="1" s="1"/>
  <c r="U1488" i="1" s="1"/>
  <c r="P1480" i="1"/>
  <c r="Q1480" i="1" s="1"/>
  <c r="U1480" i="1" s="1"/>
  <c r="P1472" i="1"/>
  <c r="Q1472" i="1" s="1"/>
  <c r="S1472" i="1"/>
  <c r="P1464" i="1"/>
  <c r="Q1464" i="1" s="1"/>
  <c r="U1464" i="1" s="1"/>
  <c r="P1456" i="1"/>
  <c r="S1456" i="1"/>
  <c r="Q1456" i="1"/>
  <c r="P1436" i="1"/>
  <c r="Q1436" i="1" s="1"/>
  <c r="U1436" i="1" s="1"/>
  <c r="P1428" i="1"/>
  <c r="S1428" i="1"/>
  <c r="P1420" i="1"/>
  <c r="Q1420" i="1" s="1"/>
  <c r="S1420" i="1"/>
  <c r="P1416" i="1"/>
  <c r="Q1416" i="1" s="1"/>
  <c r="U1416" i="1" s="1"/>
  <c r="P1408" i="1"/>
  <c r="Q1408" i="1"/>
  <c r="U1408" i="1" s="1"/>
  <c r="P1400" i="1"/>
  <c r="Q1400" i="1" s="1"/>
  <c r="U1400" i="1" s="1"/>
  <c r="P1392" i="1"/>
  <c r="Q1392" i="1"/>
  <c r="U1392" i="1" s="1"/>
  <c r="P1372" i="1"/>
  <c r="Q1372" i="1" s="1"/>
  <c r="U1372" i="1" s="1"/>
  <c r="P1368" i="1"/>
  <c r="S1368" i="1"/>
  <c r="Q1368" i="1"/>
  <c r="P1360" i="1"/>
  <c r="Q1360" i="1" s="1"/>
  <c r="U1360" i="1" s="1"/>
  <c r="P1352" i="1"/>
  <c r="Q1352" i="1" s="1"/>
  <c r="U1352" i="1" s="1"/>
  <c r="P1344" i="1"/>
  <c r="Q1344" i="1" s="1"/>
  <c r="U1344" i="1" s="1"/>
  <c r="P1336" i="1"/>
  <c r="Q1336" i="1" s="1"/>
  <c r="U1336" i="1" s="1"/>
  <c r="P1328" i="1"/>
  <c r="Q1328" i="1" s="1"/>
  <c r="S1328" i="1"/>
  <c r="P1320" i="1"/>
  <c r="Q1320" i="1" s="1"/>
  <c r="U1320" i="1" s="1"/>
  <c r="P1312" i="1"/>
  <c r="Q1312" i="1" s="1"/>
  <c r="U1312" i="1" s="1"/>
  <c r="P1304" i="1"/>
  <c r="Q1304" i="1" s="1"/>
  <c r="U1304" i="1" s="1"/>
  <c r="P1296" i="1"/>
  <c r="Q1296" i="1" s="1"/>
  <c r="S1296" i="1"/>
  <c r="P1288" i="1"/>
  <c r="Q1288" i="1" s="1"/>
  <c r="S1288" i="1"/>
  <c r="P1280" i="1"/>
  <c r="Q1280" i="1" s="1"/>
  <c r="U1280" i="1" s="1"/>
  <c r="P1272" i="1"/>
  <c r="Q1272" i="1" s="1"/>
  <c r="U1272" i="1" s="1"/>
  <c r="P1264" i="1"/>
  <c r="Q1264" i="1" s="1"/>
  <c r="U1264" i="1" s="1"/>
  <c r="P1248" i="1"/>
  <c r="Q1248" i="1" s="1"/>
  <c r="S1248" i="1"/>
  <c r="P1240" i="1"/>
  <c r="Q1240" i="1" s="1"/>
  <c r="S1240" i="1"/>
  <c r="P1232" i="1"/>
  <c r="Q1232" i="1" s="1"/>
  <c r="S1232" i="1"/>
  <c r="P1224" i="1"/>
  <c r="Q1224" i="1" s="1"/>
  <c r="U1224" i="1" s="1"/>
  <c r="P1216" i="1"/>
  <c r="Q1216" i="1" s="1"/>
  <c r="U1216" i="1" s="1"/>
  <c r="P1208" i="1"/>
  <c r="S1208" i="1"/>
  <c r="Q1208" i="1"/>
  <c r="P1200" i="1"/>
  <c r="Q1200" i="1" s="1"/>
  <c r="U1200" i="1" s="1"/>
  <c r="P1192" i="1"/>
  <c r="Q1192" i="1" s="1"/>
  <c r="S1192" i="1"/>
  <c r="P1184" i="1"/>
  <c r="Q1184" i="1" s="1"/>
  <c r="U1184" i="1" s="1"/>
  <c r="P1176" i="1"/>
  <c r="Q1176" i="1" s="1"/>
  <c r="U1176" i="1" s="1"/>
  <c r="P1168" i="1"/>
  <c r="Q1168" i="1" s="1"/>
  <c r="U1168" i="1" s="1"/>
  <c r="P1148" i="1"/>
  <c r="Q1148" i="1" s="1"/>
  <c r="U1148" i="1" s="1"/>
  <c r="P1140" i="1"/>
  <c r="Q1140" i="1" s="1"/>
  <c r="S1140" i="1"/>
  <c r="P1132" i="1"/>
  <c r="Q1132" i="1" s="1"/>
  <c r="U1132" i="1" s="1"/>
  <c r="P1128" i="1"/>
  <c r="Q1128" i="1"/>
  <c r="U1128" i="1" s="1"/>
  <c r="P1120" i="1"/>
  <c r="Q1120" i="1" s="1"/>
  <c r="S1120" i="1"/>
  <c r="P1112" i="1"/>
  <c r="Q1112" i="1" s="1"/>
  <c r="U1112" i="1" s="1"/>
  <c r="P1100" i="1"/>
  <c r="Q1100" i="1"/>
  <c r="U1100" i="1" s="1"/>
  <c r="P1092" i="1"/>
  <c r="Q1092" i="1" s="1"/>
  <c r="S1092" i="1"/>
  <c r="P1084" i="1"/>
  <c r="Q1084" i="1"/>
  <c r="U1084" i="1" s="1"/>
  <c r="P1072" i="1"/>
  <c r="Q1072" i="1" s="1"/>
  <c r="U1072" i="1" s="1"/>
  <c r="P1064" i="1"/>
  <c r="S1064" i="1"/>
  <c r="Q1064" i="1"/>
  <c r="P1056" i="1"/>
  <c r="Q1056" i="1" s="1"/>
  <c r="U1056" i="1" s="1"/>
  <c r="P1044" i="1"/>
  <c r="S1044" i="1"/>
  <c r="Q1044" i="1"/>
  <c r="P1036" i="1"/>
  <c r="Q1036" i="1" s="1"/>
  <c r="U1036" i="1" s="1"/>
  <c r="P1028" i="1"/>
  <c r="Q1028" i="1" s="1"/>
  <c r="S1028" i="1"/>
  <c r="P1016" i="1"/>
  <c r="Q1016" i="1" s="1"/>
  <c r="U1016" i="1" s="1"/>
  <c r="P996" i="1"/>
  <c r="Q996" i="1" s="1"/>
  <c r="U996" i="1" s="1"/>
  <c r="P988" i="1"/>
  <c r="Q988" i="1" s="1"/>
  <c r="U988" i="1" s="1"/>
  <c r="P980" i="1"/>
  <c r="Q980" i="1" s="1"/>
  <c r="S980" i="1"/>
  <c r="P972" i="1"/>
  <c r="Q972" i="1" s="1"/>
  <c r="U972" i="1" s="1"/>
  <c r="P964" i="1"/>
  <c r="Q964" i="1" s="1"/>
  <c r="U964" i="1" s="1"/>
  <c r="P956" i="1"/>
  <c r="Q956" i="1" s="1"/>
  <c r="S956" i="1"/>
  <c r="P936" i="1"/>
  <c r="S936" i="1"/>
  <c r="Q936" i="1"/>
  <c r="P928" i="1"/>
  <c r="Q928" i="1" s="1"/>
  <c r="S928" i="1"/>
  <c r="P920" i="1"/>
  <c r="Q920" i="1" s="1"/>
  <c r="U920" i="1" s="1"/>
  <c r="P916" i="1"/>
  <c r="Q916" i="1" s="1"/>
  <c r="S916" i="1"/>
  <c r="P908" i="1"/>
  <c r="Q908" i="1" s="1"/>
  <c r="S908" i="1"/>
  <c r="P900" i="1"/>
  <c r="Q900" i="1" s="1"/>
  <c r="U900" i="1" s="1"/>
  <c r="P892" i="1"/>
  <c r="Q892" i="1"/>
  <c r="S892" i="1"/>
  <c r="P872" i="1"/>
  <c r="Q872" i="1" s="1"/>
  <c r="U872" i="1" s="1"/>
  <c r="P864" i="1"/>
  <c r="Q864" i="1" s="1"/>
  <c r="U864" i="1" s="1"/>
  <c r="P856" i="1"/>
  <c r="Q856" i="1" s="1"/>
  <c r="U856" i="1" s="1"/>
  <c r="P844" i="1"/>
  <c r="Q844" i="1" s="1"/>
  <c r="U844" i="1" s="1"/>
  <c r="P836" i="1"/>
  <c r="Q836" i="1" s="1"/>
  <c r="U836" i="1" s="1"/>
  <c r="P828" i="1"/>
  <c r="Q828" i="1" s="1"/>
  <c r="S828" i="1"/>
  <c r="P804" i="1"/>
  <c r="Q804" i="1" s="1"/>
  <c r="U804" i="1" s="1"/>
  <c r="P796" i="1"/>
  <c r="Q796" i="1" s="1"/>
  <c r="U796" i="1" s="1"/>
  <c r="P788" i="1"/>
  <c r="Q788" i="1" s="1"/>
  <c r="U788" i="1" s="1"/>
  <c r="P780" i="1"/>
  <c r="Q780" i="1" s="1"/>
  <c r="U780" i="1" s="1"/>
  <c r="P772" i="1"/>
  <c r="Q772" i="1" s="1"/>
  <c r="U772" i="1" s="1"/>
  <c r="P764" i="1"/>
  <c r="Q764" i="1" s="1"/>
  <c r="S764" i="1"/>
  <c r="P756" i="1"/>
  <c r="Q756" i="1" s="1"/>
  <c r="S756" i="1"/>
  <c r="P744" i="1"/>
  <c r="S744" i="1"/>
  <c r="Q744" i="1"/>
  <c r="P736" i="1"/>
  <c r="Q736" i="1" s="1"/>
  <c r="U736" i="1" s="1"/>
  <c r="P728" i="1"/>
  <c r="Q728" i="1" s="1"/>
  <c r="S728" i="1"/>
  <c r="P720" i="1"/>
  <c r="Q720" i="1" s="1"/>
  <c r="U720" i="1" s="1"/>
  <c r="P708" i="1"/>
  <c r="Q708" i="1" s="1"/>
  <c r="S708" i="1"/>
  <c r="P700" i="1"/>
  <c r="Q700" i="1" s="1"/>
  <c r="U700" i="1" s="1"/>
  <c r="P692" i="1"/>
  <c r="Q692" i="1" s="1"/>
  <c r="U692" i="1" s="1"/>
  <c r="P684" i="1"/>
  <c r="Q684" i="1" s="1"/>
  <c r="S684" i="1"/>
  <c r="P676" i="1"/>
  <c r="Q676" i="1" s="1"/>
  <c r="U676" i="1" s="1"/>
  <c r="P668" i="1"/>
  <c r="Q668" i="1" s="1"/>
  <c r="U668" i="1" s="1"/>
  <c r="P656" i="1"/>
  <c r="Q656" i="1" s="1"/>
  <c r="S656" i="1"/>
  <c r="P648" i="1"/>
  <c r="Q648" i="1" s="1"/>
  <c r="S648" i="1"/>
  <c r="P644" i="1"/>
  <c r="Q644" i="1" s="1"/>
  <c r="U644" i="1" s="1"/>
  <c r="P640" i="1"/>
  <c r="Q640" i="1" s="1"/>
  <c r="U640" i="1" s="1"/>
  <c r="S640" i="1"/>
  <c r="P636" i="1"/>
  <c r="Q636" i="1" s="1"/>
  <c r="U636" i="1" s="1"/>
  <c r="P632" i="1"/>
  <c r="Q632" i="1" s="1"/>
  <c r="U632" i="1" s="1"/>
  <c r="P628" i="1"/>
  <c r="Q628" i="1" s="1"/>
  <c r="S628" i="1"/>
  <c r="P624" i="1"/>
  <c r="Q624" i="1" s="1"/>
  <c r="S624" i="1"/>
  <c r="P620" i="1"/>
  <c r="Q620" i="1" s="1"/>
  <c r="U620" i="1" s="1"/>
  <c r="P616" i="1"/>
  <c r="S616" i="1"/>
  <c r="Q616" i="1"/>
  <c r="P612" i="1"/>
  <c r="Q612" i="1" s="1"/>
  <c r="U612" i="1" s="1"/>
  <c r="P608" i="1"/>
  <c r="Q608" i="1"/>
  <c r="U608" i="1" s="1"/>
  <c r="P604" i="1"/>
  <c r="Q604" i="1" s="1"/>
  <c r="S604" i="1"/>
  <c r="P600" i="1"/>
  <c r="Q600" i="1" s="1"/>
  <c r="S600" i="1"/>
  <c r="P592" i="1"/>
  <c r="Q592" i="1" s="1"/>
  <c r="S592" i="1"/>
  <c r="P588" i="1"/>
  <c r="Q588" i="1" s="1"/>
  <c r="U588" i="1" s="1"/>
  <c r="P580" i="1"/>
  <c r="Q580" i="1" s="1"/>
  <c r="U580" i="1" s="1"/>
  <c r="P576" i="1"/>
  <c r="Q576" i="1" s="1"/>
  <c r="S576" i="1"/>
  <c r="P572" i="1"/>
  <c r="Q572" i="1" s="1"/>
  <c r="S572" i="1"/>
  <c r="P568" i="1"/>
  <c r="Q568" i="1" s="1"/>
  <c r="U568" i="1" s="1"/>
  <c r="P564" i="1"/>
  <c r="Q564" i="1"/>
  <c r="U564" i="1" s="1"/>
  <c r="P560" i="1"/>
  <c r="Q560" i="1" s="1"/>
  <c r="S560" i="1"/>
  <c r="P556" i="1"/>
  <c r="Q556" i="1"/>
  <c r="U556" i="1" s="1"/>
  <c r="P552" i="1"/>
  <c r="Q552" i="1" s="1"/>
  <c r="U552" i="1" s="1"/>
  <c r="P548" i="1"/>
  <c r="Q548" i="1"/>
  <c r="U548" i="1" s="1"/>
  <c r="P544" i="1"/>
  <c r="Q544" i="1" s="1"/>
  <c r="S544" i="1"/>
  <c r="P540" i="1"/>
  <c r="Q540" i="1" s="1"/>
  <c r="S540" i="1"/>
  <c r="P536" i="1"/>
  <c r="Q536" i="1" s="1"/>
  <c r="U536" i="1" s="1"/>
  <c r="P528" i="1"/>
  <c r="Q528" i="1" s="1"/>
  <c r="U528" i="1" s="1"/>
  <c r="P524" i="1"/>
  <c r="Q524" i="1" s="1"/>
  <c r="U524" i="1" s="1"/>
  <c r="P520" i="1"/>
  <c r="Q520" i="1" s="1"/>
  <c r="U520" i="1" s="1"/>
  <c r="P516" i="1"/>
  <c r="Q516" i="1"/>
  <c r="U516" i="1" s="1"/>
  <c r="P512" i="1"/>
  <c r="Q512" i="1" s="1"/>
  <c r="U512" i="1" s="1"/>
  <c r="P508" i="1"/>
  <c r="S508" i="1"/>
  <c r="Q508" i="1"/>
  <c r="P504" i="1"/>
  <c r="Q504" i="1" s="1"/>
  <c r="U504" i="1" s="1"/>
  <c r="P500" i="1"/>
  <c r="Q500" i="1" s="1"/>
  <c r="S500" i="1"/>
  <c r="P496" i="1"/>
  <c r="Q496" i="1" s="1"/>
  <c r="S496" i="1"/>
  <c r="P492" i="1"/>
  <c r="Q492" i="1" s="1"/>
  <c r="U492" i="1" s="1"/>
  <c r="P488" i="1"/>
  <c r="Q488" i="1" s="1"/>
  <c r="U488" i="1" s="1"/>
  <c r="P484" i="1"/>
  <c r="Q484" i="1" s="1"/>
  <c r="U484" i="1" s="1"/>
  <c r="P480" i="1"/>
  <c r="Q480" i="1" s="1"/>
  <c r="U480" i="1" s="1"/>
  <c r="P476" i="1"/>
  <c r="Q476" i="1" s="1"/>
  <c r="U476" i="1" s="1"/>
  <c r="P472" i="1"/>
  <c r="Q472" i="1" s="1"/>
  <c r="U472" i="1" s="1"/>
  <c r="P464" i="1"/>
  <c r="Q464" i="1"/>
  <c r="U464" i="1" s="1"/>
  <c r="P460" i="1"/>
  <c r="Q460" i="1" s="1"/>
  <c r="U460" i="1" s="1"/>
  <c r="P456" i="1"/>
  <c r="Q456" i="1" s="1"/>
  <c r="U456" i="1" s="1"/>
  <c r="P452" i="1"/>
  <c r="Q452" i="1" s="1"/>
  <c r="U452" i="1" s="1"/>
  <c r="P448" i="1"/>
  <c r="Q448" i="1" s="1"/>
  <c r="U448" i="1" s="1"/>
  <c r="P444" i="1"/>
  <c r="Q444" i="1" s="1"/>
  <c r="U444" i="1" s="1"/>
  <c r="P440" i="1"/>
  <c r="Q440" i="1" s="1"/>
  <c r="U440" i="1" s="1"/>
  <c r="P436" i="1"/>
  <c r="Q436" i="1" s="1"/>
  <c r="S436" i="1"/>
  <c r="P432" i="1"/>
  <c r="Q432" i="1" s="1"/>
  <c r="U432" i="1" s="1"/>
  <c r="S432" i="1"/>
  <c r="P428" i="1"/>
  <c r="Q428" i="1"/>
  <c r="S428" i="1"/>
  <c r="P424" i="1"/>
  <c r="Q424" i="1" s="1"/>
  <c r="U424" i="1" s="1"/>
  <c r="P420" i="1"/>
  <c r="Q420" i="1"/>
  <c r="U420" i="1" s="1"/>
  <c r="P416" i="1"/>
  <c r="Q416" i="1" s="1"/>
  <c r="U416" i="1" s="1"/>
  <c r="P412" i="1"/>
  <c r="Q412" i="1"/>
  <c r="S412" i="1"/>
  <c r="P408" i="1"/>
  <c r="Q408" i="1" s="1"/>
  <c r="U408" i="1" s="1"/>
  <c r="P400" i="1"/>
  <c r="Q400" i="1" s="1"/>
  <c r="U400" i="1" s="1"/>
  <c r="P396" i="1"/>
  <c r="Q396" i="1"/>
  <c r="U396" i="1" s="1"/>
  <c r="P392" i="1"/>
  <c r="Q392" i="1" s="1"/>
  <c r="U392" i="1" s="1"/>
  <c r="P388" i="1"/>
  <c r="Q388" i="1"/>
  <c r="U388" i="1" s="1"/>
  <c r="P384" i="1"/>
  <c r="Q384" i="1" s="1"/>
  <c r="U384" i="1" s="1"/>
  <c r="P380" i="1"/>
  <c r="Q380" i="1" s="1"/>
  <c r="U380" i="1" s="1"/>
  <c r="P376" i="1"/>
  <c r="Q376" i="1" s="1"/>
  <c r="U376" i="1" s="1"/>
  <c r="P372" i="1"/>
  <c r="Q372" i="1" s="1"/>
  <c r="U372" i="1" s="1"/>
  <c r="P368" i="1"/>
  <c r="Q368" i="1" s="1"/>
  <c r="S368" i="1"/>
  <c r="P364" i="1"/>
  <c r="Q364" i="1" s="1"/>
  <c r="U364" i="1" s="1"/>
  <c r="P360" i="1"/>
  <c r="Q360" i="1" s="1"/>
  <c r="U360" i="1" s="1"/>
  <c r="P356" i="1"/>
  <c r="Q356" i="1" s="1"/>
  <c r="U356" i="1" s="1"/>
  <c r="P352" i="1"/>
  <c r="Q352" i="1" s="1"/>
  <c r="U352" i="1" s="1"/>
  <c r="P348" i="1"/>
  <c r="Q348" i="1"/>
  <c r="U348" i="1" s="1"/>
  <c r="P344" i="1"/>
  <c r="Q344" i="1" s="1"/>
  <c r="U344" i="1" s="1"/>
  <c r="P336" i="1"/>
  <c r="Q336" i="1" s="1"/>
  <c r="U336" i="1" s="1"/>
  <c r="P332" i="1"/>
  <c r="Q332" i="1" s="1"/>
  <c r="U332" i="1" s="1"/>
  <c r="P328" i="1"/>
  <c r="Q328" i="1" s="1"/>
  <c r="U328" i="1" s="1"/>
  <c r="P324" i="1"/>
  <c r="Q324" i="1" s="1"/>
  <c r="U324" i="1" s="1"/>
  <c r="P320" i="1"/>
  <c r="Q320" i="1" s="1"/>
  <c r="S320" i="1"/>
  <c r="P316" i="1"/>
  <c r="Q316" i="1"/>
  <c r="U316" i="1" s="1"/>
  <c r="P312" i="1"/>
  <c r="Q312" i="1" s="1"/>
  <c r="S312" i="1"/>
  <c r="P308" i="1"/>
  <c r="Q308" i="1"/>
  <c r="U308" i="1" s="1"/>
  <c r="P304" i="1"/>
  <c r="Q304" i="1" s="1"/>
  <c r="U304" i="1" s="1"/>
  <c r="P300" i="1"/>
  <c r="S300" i="1"/>
  <c r="Q300" i="1"/>
  <c r="P296" i="1"/>
  <c r="Q296" i="1" s="1"/>
  <c r="S296" i="1"/>
  <c r="P292" i="1"/>
  <c r="Q292" i="1" s="1"/>
  <c r="U292" i="1" s="1"/>
  <c r="P288" i="1"/>
  <c r="Q288" i="1" s="1"/>
  <c r="S288" i="1"/>
  <c r="P284" i="1"/>
  <c r="Q284" i="1" s="1"/>
  <c r="P280" i="1"/>
  <c r="Q280" i="1" s="1"/>
  <c r="U280" i="1" s="1"/>
  <c r="P272" i="1"/>
  <c r="Q272" i="1"/>
  <c r="P268" i="1"/>
  <c r="Q268" i="1" s="1"/>
  <c r="U268" i="1" s="1"/>
  <c r="P264" i="1"/>
  <c r="Q264" i="1" s="1"/>
  <c r="U264" i="1" s="1"/>
  <c r="P260" i="1"/>
  <c r="Q260" i="1" s="1"/>
  <c r="U260" i="1" s="1"/>
  <c r="P256" i="1"/>
  <c r="Q256" i="1" s="1"/>
  <c r="S256" i="1"/>
  <c r="P252" i="1"/>
  <c r="Q252" i="1" s="1"/>
  <c r="U252" i="1" s="1"/>
  <c r="P248" i="1"/>
  <c r="Q248" i="1" s="1"/>
  <c r="U248" i="1" s="1"/>
  <c r="P244" i="1"/>
  <c r="Q244" i="1" s="1"/>
  <c r="U244" i="1" s="1"/>
  <c r="P240" i="1"/>
  <c r="Q240" i="1"/>
  <c r="U240" i="1" s="1"/>
  <c r="P236" i="1"/>
  <c r="Q236" i="1" s="1"/>
  <c r="S236" i="1"/>
  <c r="P232" i="1"/>
  <c r="Q232" i="1" s="1"/>
  <c r="U232" i="1" s="1"/>
  <c r="P228" i="1"/>
  <c r="Q228" i="1" s="1"/>
  <c r="U228" i="1" s="1"/>
  <c r="P224" i="1"/>
  <c r="Q224" i="1" s="1"/>
  <c r="U224" i="1" s="1"/>
  <c r="P220" i="1"/>
  <c r="Q220" i="1" s="1"/>
  <c r="S220" i="1"/>
  <c r="P216" i="1"/>
  <c r="Q216" i="1" s="1"/>
  <c r="U216" i="1" s="1"/>
  <c r="P208" i="1"/>
  <c r="Q208" i="1" s="1"/>
  <c r="U208" i="1" s="1"/>
  <c r="P204" i="1"/>
  <c r="Q204" i="1" s="1"/>
  <c r="U204" i="1" s="1"/>
  <c r="P200" i="1"/>
  <c r="Q200" i="1"/>
  <c r="U200" i="1" s="1"/>
  <c r="P196" i="1"/>
  <c r="Q196" i="1" s="1"/>
  <c r="U196" i="1" s="1"/>
  <c r="P192" i="1"/>
  <c r="Q192" i="1" s="1"/>
  <c r="U192" i="1" s="1"/>
  <c r="P188" i="1"/>
  <c r="Q188" i="1" s="1"/>
  <c r="S188" i="1"/>
  <c r="P184" i="1"/>
  <c r="Q184" i="1" s="1"/>
  <c r="U184" i="1" s="1"/>
  <c r="P180" i="1"/>
  <c r="Q180" i="1"/>
  <c r="U180" i="1" s="1"/>
  <c r="P176" i="1"/>
  <c r="Q176" i="1" s="1"/>
  <c r="S176" i="1"/>
  <c r="P172" i="1"/>
  <c r="Q172" i="1"/>
  <c r="U172" i="1" s="1"/>
  <c r="P168" i="1"/>
  <c r="Q168" i="1" s="1"/>
  <c r="U168" i="1" s="1"/>
  <c r="P164" i="1"/>
  <c r="Q164" i="1" s="1"/>
  <c r="U164" i="1" s="1"/>
  <c r="P160" i="1"/>
  <c r="Q160" i="1" s="1"/>
  <c r="S160" i="1"/>
  <c r="P156" i="1"/>
  <c r="Q156" i="1" s="1"/>
  <c r="U156" i="1" s="1"/>
  <c r="P152" i="1"/>
  <c r="Q152" i="1" s="1"/>
  <c r="U152" i="1" s="1"/>
  <c r="P144" i="1"/>
  <c r="Q144" i="1" s="1"/>
  <c r="S144" i="1"/>
  <c r="P140" i="1"/>
  <c r="Q140" i="1" s="1"/>
  <c r="U140" i="1" s="1"/>
  <c r="P136" i="1"/>
  <c r="Q136" i="1" s="1"/>
  <c r="U136" i="1" s="1"/>
  <c r="P132" i="1"/>
  <c r="Q132" i="1" s="1"/>
  <c r="U132" i="1" s="1"/>
  <c r="P128" i="1"/>
  <c r="Q128" i="1" s="1"/>
  <c r="U128" i="1" s="1"/>
  <c r="P124" i="1"/>
  <c r="Q124" i="1" s="1"/>
  <c r="U124" i="1" s="1"/>
  <c r="P120" i="1"/>
  <c r="Q120" i="1" s="1"/>
  <c r="U120" i="1" s="1"/>
  <c r="P116" i="1"/>
  <c r="Q116" i="1"/>
  <c r="U116" i="1" s="1"/>
  <c r="P112" i="1"/>
  <c r="Q112" i="1" s="1"/>
  <c r="U112" i="1" s="1"/>
  <c r="P108" i="1"/>
  <c r="Q108" i="1" s="1"/>
  <c r="U108" i="1" s="1"/>
  <c r="P104" i="1"/>
  <c r="Q104" i="1" s="1"/>
  <c r="S104" i="1"/>
  <c r="P100" i="1"/>
  <c r="Q100" i="1" s="1"/>
  <c r="U100" i="1" s="1"/>
  <c r="P96" i="1"/>
  <c r="Q96" i="1" s="1"/>
  <c r="U96" i="1" s="1"/>
  <c r="P92" i="1"/>
  <c r="Q92" i="1" s="1"/>
  <c r="U92" i="1" s="1"/>
  <c r="P88" i="1"/>
  <c r="Q88" i="1" s="1"/>
  <c r="U88" i="1" s="1"/>
  <c r="P80" i="1"/>
  <c r="Q80" i="1" s="1"/>
  <c r="U80" i="1" s="1"/>
  <c r="P76" i="1"/>
  <c r="Q76" i="1" s="1"/>
  <c r="S76" i="1"/>
  <c r="P72" i="1"/>
  <c r="Q72" i="1" s="1"/>
  <c r="U72" i="1" s="1"/>
  <c r="P64" i="1"/>
  <c r="Q64" i="1" s="1"/>
  <c r="U64" i="1" s="1"/>
  <c r="P52" i="1"/>
  <c r="Q52" i="1" s="1"/>
  <c r="S52" i="1"/>
  <c r="P44" i="1"/>
  <c r="Q44" i="1" s="1"/>
  <c r="U44" i="1" s="1"/>
  <c r="P36" i="1"/>
  <c r="Q36" i="1" s="1"/>
  <c r="U36" i="1" s="1"/>
  <c r="P28" i="1"/>
  <c r="Q28" i="1" s="1"/>
  <c r="U28" i="1" s="1"/>
  <c r="P20" i="1"/>
  <c r="Q20" i="1" s="1"/>
  <c r="S20" i="1"/>
  <c r="P12" i="1"/>
  <c r="Q12" i="1" s="1"/>
  <c r="U12" i="1" s="1"/>
  <c r="P4" i="1"/>
  <c r="Q4" i="1" s="1"/>
  <c r="U4" i="1" s="1"/>
  <c r="P2" i="1"/>
  <c r="Q2" i="1" s="1"/>
  <c r="U2" i="1" s="1"/>
  <c r="P2174" i="1"/>
  <c r="Q2174" i="1" s="1"/>
  <c r="S2174" i="1"/>
  <c r="P2170" i="1"/>
  <c r="Q2170" i="1" s="1"/>
  <c r="U2170" i="1" s="1"/>
  <c r="P2166" i="1"/>
  <c r="Q2166" i="1" s="1"/>
  <c r="U2166" i="1" s="1"/>
  <c r="P2162" i="1"/>
  <c r="Q2162" i="1" s="1"/>
  <c r="U2162" i="1" s="1"/>
  <c r="P2158" i="1"/>
  <c r="Q2158" i="1"/>
  <c r="U2158" i="1" s="1"/>
  <c r="P2154" i="1"/>
  <c r="Q2154" i="1" s="1"/>
  <c r="S2154" i="1"/>
  <c r="P2150" i="1"/>
  <c r="Q2150" i="1" s="1"/>
  <c r="S2150" i="1"/>
  <c r="P2146" i="1"/>
  <c r="Q2146" i="1"/>
  <c r="U2146" i="1" s="1"/>
  <c r="P2142" i="1"/>
  <c r="Q2142" i="1" s="1"/>
  <c r="S2142" i="1"/>
  <c r="P2138" i="1"/>
  <c r="Q2138" i="1" s="1"/>
  <c r="U2138" i="1" s="1"/>
  <c r="P2134" i="1"/>
  <c r="Q2134" i="1" s="1"/>
  <c r="S2134" i="1"/>
  <c r="P2130" i="1"/>
  <c r="Q2130" i="1" s="1"/>
  <c r="U2130" i="1" s="1"/>
  <c r="P2126" i="1"/>
  <c r="Q2126" i="1"/>
  <c r="U2126" i="1" s="1"/>
  <c r="P2122" i="1"/>
  <c r="Q2122" i="1" s="1"/>
  <c r="U2122" i="1" s="1"/>
  <c r="P2118" i="1"/>
  <c r="Q2118" i="1" s="1"/>
  <c r="S2118" i="1"/>
  <c r="P2114" i="1"/>
  <c r="Q2114" i="1" s="1"/>
  <c r="S2114" i="1"/>
  <c r="P2110" i="1"/>
  <c r="Q2110" i="1" s="1"/>
  <c r="U2110" i="1" s="1"/>
  <c r="P2106" i="1"/>
  <c r="Q2106" i="1"/>
  <c r="S2106" i="1"/>
  <c r="P2102" i="1"/>
  <c r="Q2102" i="1" s="1"/>
  <c r="U2102" i="1" s="1"/>
  <c r="P2098" i="1"/>
  <c r="Q2098" i="1" s="1"/>
  <c r="U2098" i="1" s="1"/>
  <c r="P2094" i="1"/>
  <c r="Q2094" i="1" s="1"/>
  <c r="U2094" i="1" s="1"/>
  <c r="P2090" i="1"/>
  <c r="Q2090" i="1" s="1"/>
  <c r="S2090" i="1"/>
  <c r="P2086" i="1"/>
  <c r="Q2086" i="1"/>
  <c r="U2086" i="1" s="1"/>
  <c r="P2082" i="1"/>
  <c r="Q2082" i="1" s="1"/>
  <c r="S2082" i="1"/>
  <c r="P2078" i="1"/>
  <c r="Q2078" i="1" s="1"/>
  <c r="U2078" i="1" s="1"/>
  <c r="P2074" i="1"/>
  <c r="Q2074" i="1" s="1"/>
  <c r="U2074" i="1" s="1"/>
  <c r="P2070" i="1"/>
  <c r="Q2070" i="1" s="1"/>
  <c r="S2070" i="1"/>
  <c r="P2066" i="1"/>
  <c r="Q2066" i="1"/>
  <c r="S2066" i="1"/>
  <c r="P2062" i="1"/>
  <c r="Q2062" i="1" s="1"/>
  <c r="U2062" i="1" s="1"/>
  <c r="P2058" i="1"/>
  <c r="Q2058" i="1" s="1"/>
  <c r="U2058" i="1" s="1"/>
  <c r="P2054" i="1"/>
  <c r="Q2054" i="1" s="1"/>
  <c r="U2054" i="1" s="1"/>
  <c r="P2050" i="1"/>
  <c r="Q2050" i="1" s="1"/>
  <c r="U2050" i="1" s="1"/>
  <c r="P2046" i="1"/>
  <c r="Q2046" i="1" s="1"/>
  <c r="S2046" i="1"/>
  <c r="P2042" i="1"/>
  <c r="Q2042" i="1" s="1"/>
  <c r="S2042" i="1"/>
  <c r="P2038" i="1"/>
  <c r="Q2038" i="1" s="1"/>
  <c r="S2038" i="1"/>
  <c r="P2034" i="1"/>
  <c r="Q2034" i="1"/>
  <c r="S2034" i="1"/>
  <c r="P2030" i="1"/>
  <c r="Q2030" i="1" s="1"/>
  <c r="U2030" i="1" s="1"/>
  <c r="P2026" i="1"/>
  <c r="Q2026" i="1" s="1"/>
  <c r="U2026" i="1" s="1"/>
  <c r="P2022" i="1"/>
  <c r="Q2022" i="1" s="1"/>
  <c r="U2022" i="1" s="1"/>
  <c r="P2018" i="1"/>
  <c r="Q2018" i="1" s="1"/>
  <c r="S2018" i="1"/>
  <c r="P2014" i="1"/>
  <c r="Q2014" i="1" s="1"/>
  <c r="U2014" i="1" s="1"/>
  <c r="P2010" i="1"/>
  <c r="Q2010" i="1" s="1"/>
  <c r="U2010" i="1" s="1"/>
  <c r="P2006" i="1"/>
  <c r="Q2006" i="1"/>
  <c r="U2006" i="1" s="1"/>
  <c r="P2002" i="1"/>
  <c r="Q2002" i="1" s="1"/>
  <c r="U2002" i="1" s="1"/>
  <c r="P1998" i="1"/>
  <c r="Q1998" i="1"/>
  <c r="U1998" i="1" s="1"/>
  <c r="P1994" i="1"/>
  <c r="Q1994" i="1" s="1"/>
  <c r="U1994" i="1" s="1"/>
  <c r="P1990" i="1"/>
  <c r="Q1990" i="1" s="1"/>
  <c r="U1990" i="1" s="1"/>
  <c r="P1986" i="1"/>
  <c r="Q1986" i="1" s="1"/>
  <c r="U1986" i="1" s="1"/>
  <c r="P1982" i="1"/>
  <c r="Q1982" i="1" s="1"/>
  <c r="U1982" i="1" s="1"/>
  <c r="P1978" i="1"/>
  <c r="Q1978" i="1" s="1"/>
  <c r="U1978" i="1" s="1"/>
  <c r="P1974" i="1"/>
  <c r="Q1974" i="1"/>
  <c r="U1974" i="1" s="1"/>
  <c r="P1970" i="1"/>
  <c r="Q1970" i="1" s="1"/>
  <c r="U1970" i="1" s="1"/>
  <c r="P1966" i="1"/>
  <c r="Q1966" i="1"/>
  <c r="S1966" i="1"/>
  <c r="P1962" i="1"/>
  <c r="Q1962" i="1" s="1"/>
  <c r="U1962" i="1" s="1"/>
  <c r="P1958" i="1"/>
  <c r="Q1958" i="1" s="1"/>
  <c r="S1958" i="1"/>
  <c r="P1954" i="1"/>
  <c r="Q1954" i="1" s="1"/>
  <c r="U1954" i="1" s="1"/>
  <c r="P1950" i="1"/>
  <c r="Q1950" i="1" s="1"/>
  <c r="U1950" i="1" s="1"/>
  <c r="P1946" i="1"/>
  <c r="Q1946" i="1" s="1"/>
  <c r="U1946" i="1" s="1"/>
  <c r="P1942" i="1"/>
  <c r="Q1942" i="1" s="1"/>
  <c r="S1942" i="1"/>
  <c r="P1938" i="1"/>
  <c r="Q1938" i="1" s="1"/>
  <c r="S1938" i="1"/>
  <c r="P1934" i="1"/>
  <c r="Q1934" i="1"/>
  <c r="U1934" i="1" s="1"/>
  <c r="P1930" i="1"/>
  <c r="Q1930" i="1" s="1"/>
  <c r="U1930" i="1" s="1"/>
  <c r="P1926" i="1"/>
  <c r="Q1926" i="1" s="1"/>
  <c r="S1926" i="1"/>
  <c r="P1922" i="1"/>
  <c r="Q1922" i="1" s="1"/>
  <c r="U1922" i="1" s="1"/>
  <c r="P1918" i="1"/>
  <c r="Q1918" i="1" s="1"/>
  <c r="U1918" i="1" s="1"/>
  <c r="P1914" i="1"/>
  <c r="Q1914" i="1" s="1"/>
  <c r="U1914" i="1" s="1"/>
  <c r="P1910" i="1"/>
  <c r="Q1910" i="1" s="1"/>
  <c r="S1910" i="1"/>
  <c r="P1906" i="1"/>
  <c r="Q1906" i="1" s="1"/>
  <c r="S1906" i="1"/>
  <c r="P1902" i="1"/>
  <c r="Q1902" i="1" s="1"/>
  <c r="U1902" i="1" s="1"/>
  <c r="P1898" i="1"/>
  <c r="Q1898" i="1" s="1"/>
  <c r="U1898" i="1" s="1"/>
  <c r="P1894" i="1"/>
  <c r="Q1894" i="1" s="1"/>
  <c r="U1894" i="1" s="1"/>
  <c r="P1890" i="1"/>
  <c r="Q1890" i="1" s="1"/>
  <c r="U1890" i="1" s="1"/>
  <c r="P1886" i="1"/>
  <c r="Q1886" i="1" s="1"/>
  <c r="S1886" i="1"/>
  <c r="P1882" i="1"/>
  <c r="Q1882" i="1" s="1"/>
  <c r="U1882" i="1" s="1"/>
  <c r="P1878" i="1"/>
  <c r="Q1878" i="1" s="1"/>
  <c r="U1878" i="1" s="1"/>
  <c r="P1874" i="1"/>
  <c r="Q1874" i="1" s="1"/>
  <c r="S1874" i="1"/>
  <c r="P1870" i="1"/>
  <c r="Q1870" i="1" s="1"/>
  <c r="S1870" i="1"/>
  <c r="P1866" i="1"/>
  <c r="Q1866" i="1"/>
  <c r="S1866" i="1"/>
  <c r="P1862" i="1"/>
  <c r="Q1862" i="1" s="1"/>
  <c r="U1862" i="1" s="1"/>
  <c r="P1858" i="1"/>
  <c r="Q1858" i="1" s="1"/>
  <c r="U1858" i="1" s="1"/>
  <c r="P1854" i="1"/>
  <c r="Q1854" i="1" s="1"/>
  <c r="S1854" i="1"/>
  <c r="P1850" i="1"/>
  <c r="Q1850" i="1" s="1"/>
  <c r="S1850" i="1"/>
  <c r="P1846" i="1"/>
  <c r="Q1846" i="1" s="1"/>
  <c r="S1846" i="1"/>
  <c r="P1842" i="1"/>
  <c r="Q1842" i="1"/>
  <c r="S1842" i="1"/>
  <c r="P1838" i="1"/>
  <c r="Q1838" i="1"/>
  <c r="S1838" i="1"/>
  <c r="P1834" i="1"/>
  <c r="Q1834" i="1" s="1"/>
  <c r="S1834" i="1"/>
  <c r="P1830" i="1"/>
  <c r="Q1830" i="1" s="1"/>
  <c r="S1830" i="1"/>
  <c r="P1826" i="1"/>
  <c r="Q1826" i="1"/>
  <c r="S1826" i="1"/>
  <c r="P1822" i="1"/>
  <c r="Q1822" i="1" s="1"/>
  <c r="U1822" i="1" s="1"/>
  <c r="P1818" i="1"/>
  <c r="Q1818" i="1" s="1"/>
  <c r="S1818" i="1"/>
  <c r="P1814" i="1"/>
  <c r="Q1814" i="1" s="1"/>
  <c r="U1814" i="1" s="1"/>
  <c r="P1810" i="1"/>
  <c r="Q1810" i="1" s="1"/>
  <c r="S1810" i="1"/>
  <c r="P1806" i="1"/>
  <c r="Q1806" i="1" s="1"/>
  <c r="U1806" i="1" s="1"/>
  <c r="P1802" i="1"/>
  <c r="Q1802" i="1"/>
  <c r="S1802" i="1"/>
  <c r="P1798" i="1"/>
  <c r="Q1798" i="1" s="1"/>
  <c r="U1798" i="1" s="1"/>
  <c r="P1794" i="1"/>
  <c r="Q1794" i="1"/>
  <c r="U1794" i="1" s="1"/>
  <c r="P1790" i="1"/>
  <c r="Q1790" i="1" s="1"/>
  <c r="U1790" i="1" s="1"/>
  <c r="P1786" i="1"/>
  <c r="Q1786" i="1" s="1"/>
  <c r="U1786" i="1" s="1"/>
  <c r="P1782" i="1"/>
  <c r="Q1782" i="1" s="1"/>
  <c r="U1782" i="1" s="1"/>
  <c r="P1778" i="1"/>
  <c r="Q1778" i="1" s="1"/>
  <c r="S1778" i="1"/>
  <c r="P1774" i="1"/>
  <c r="Q1774" i="1" s="1"/>
  <c r="S1774" i="1"/>
  <c r="P1770" i="1"/>
  <c r="Q1770" i="1" s="1"/>
  <c r="U1770" i="1" s="1"/>
  <c r="P1766" i="1"/>
  <c r="Q1766" i="1"/>
  <c r="S1766" i="1"/>
  <c r="P1762" i="1"/>
  <c r="Q1762" i="1" s="1"/>
  <c r="U1762" i="1" s="1"/>
  <c r="P1758" i="1"/>
  <c r="Q1758" i="1" s="1"/>
  <c r="U1758" i="1" s="1"/>
  <c r="P1754" i="1"/>
  <c r="Q1754" i="1" s="1"/>
  <c r="U1754" i="1" s="1"/>
  <c r="P1750" i="1"/>
  <c r="Q1750" i="1" s="1"/>
  <c r="S1750" i="1"/>
  <c r="P1746" i="1"/>
  <c r="Q1746" i="1"/>
  <c r="U1746" i="1" s="1"/>
  <c r="P1742" i="1"/>
  <c r="Q1742" i="1" s="1"/>
  <c r="U1742" i="1" s="1"/>
  <c r="P1738" i="1"/>
  <c r="Q1738" i="1" s="1"/>
  <c r="U1738" i="1" s="1"/>
  <c r="P1734" i="1"/>
  <c r="Q1734" i="1" s="1"/>
  <c r="U1734" i="1" s="1"/>
  <c r="P1730" i="1"/>
  <c r="Q1730" i="1"/>
  <c r="U1730" i="1" s="1"/>
  <c r="P1726" i="1"/>
  <c r="Q1726" i="1" s="1"/>
  <c r="S1726" i="1"/>
  <c r="P1722" i="1"/>
  <c r="Q1722" i="1" s="1"/>
  <c r="U1722" i="1" s="1"/>
  <c r="P1718" i="1"/>
  <c r="Q1718" i="1" s="1"/>
  <c r="S1718" i="1"/>
  <c r="P1714" i="1"/>
  <c r="Q1714" i="1" s="1"/>
  <c r="S1714" i="1"/>
  <c r="P1710" i="1"/>
  <c r="Q1710" i="1" s="1"/>
  <c r="U1710" i="1" s="1"/>
  <c r="S1710" i="1"/>
  <c r="P1706" i="1"/>
  <c r="Q1706" i="1"/>
  <c r="U1706" i="1" s="1"/>
  <c r="P1702" i="1"/>
  <c r="Q1702" i="1" s="1"/>
  <c r="U1702" i="1" s="1"/>
  <c r="P1698" i="1"/>
  <c r="Q1698" i="1"/>
  <c r="U1698" i="1" s="1"/>
  <c r="P1694" i="1"/>
  <c r="Q1694" i="1" s="1"/>
  <c r="U1694" i="1" s="1"/>
  <c r="P1690" i="1"/>
  <c r="Q1690" i="1" s="1"/>
  <c r="U1690" i="1" s="1"/>
  <c r="P1686" i="1"/>
  <c r="Q1686" i="1" s="1"/>
  <c r="S1686" i="1"/>
  <c r="P1682" i="1"/>
  <c r="Q1682" i="1" s="1"/>
  <c r="U1682" i="1" s="1"/>
  <c r="P1678" i="1"/>
  <c r="Q1678" i="1" s="1"/>
  <c r="U1678" i="1" s="1"/>
  <c r="P1674" i="1"/>
  <c r="Q1674" i="1" s="1"/>
  <c r="U1674" i="1" s="1"/>
  <c r="P1670" i="1"/>
  <c r="Q1670" i="1" s="1"/>
  <c r="S1670" i="1"/>
  <c r="P1666" i="1"/>
  <c r="Q1666" i="1" s="1"/>
  <c r="S1666" i="1"/>
  <c r="P1662" i="1"/>
  <c r="Q1662" i="1" s="1"/>
  <c r="U1662" i="1" s="1"/>
  <c r="P1658" i="1"/>
  <c r="Q1658" i="1" s="1"/>
  <c r="U1658" i="1" s="1"/>
  <c r="P1654" i="1"/>
  <c r="Q1654" i="1" s="1"/>
  <c r="U1654" i="1" s="1"/>
  <c r="P1650" i="1"/>
  <c r="Q1650" i="1" s="1"/>
  <c r="U1650" i="1" s="1"/>
  <c r="P1646" i="1"/>
  <c r="Q1646" i="1" s="1"/>
  <c r="U1646" i="1" s="1"/>
  <c r="P1642" i="1"/>
  <c r="Q1642" i="1" s="1"/>
  <c r="S1642" i="1"/>
  <c r="P1638" i="1"/>
  <c r="Q1638" i="1" s="1"/>
  <c r="U1638" i="1" s="1"/>
  <c r="P1634" i="1"/>
  <c r="Q1634" i="1" s="1"/>
  <c r="U1634" i="1" s="1"/>
  <c r="P1630" i="1"/>
  <c r="Q1630" i="1" s="1"/>
  <c r="U1630" i="1" s="1"/>
  <c r="P1626" i="1"/>
  <c r="Q1626" i="1"/>
  <c r="S1626" i="1"/>
  <c r="P1622" i="1"/>
  <c r="Q1622" i="1" s="1"/>
  <c r="S1622" i="1"/>
  <c r="P1618" i="1"/>
  <c r="Q1618" i="1" s="1"/>
  <c r="U1618" i="1" s="1"/>
  <c r="P1614" i="1"/>
  <c r="Q1614" i="1" s="1"/>
  <c r="U1614" i="1" s="1"/>
  <c r="P1610" i="1"/>
  <c r="Q1610" i="1" s="1"/>
  <c r="U1610" i="1" s="1"/>
  <c r="P1606" i="1"/>
  <c r="Q1606" i="1"/>
  <c r="U1606" i="1" s="1"/>
  <c r="P1602" i="1"/>
  <c r="Q1602" i="1" s="1"/>
  <c r="U1602" i="1" s="1"/>
  <c r="P1598" i="1"/>
  <c r="Q1598" i="1"/>
  <c r="U1598" i="1" s="1"/>
  <c r="P1594" i="1"/>
  <c r="Q1594" i="1" s="1"/>
  <c r="U1594" i="1" s="1"/>
  <c r="P1590" i="1"/>
  <c r="Q1590" i="1"/>
  <c r="U1590" i="1" s="1"/>
  <c r="P1586" i="1"/>
  <c r="Q1586" i="1" s="1"/>
  <c r="S1586" i="1"/>
  <c r="P1582" i="1"/>
  <c r="Q1582" i="1" s="1"/>
  <c r="U1582" i="1" s="1"/>
  <c r="P1578" i="1"/>
  <c r="Q1578" i="1" s="1"/>
  <c r="S1578" i="1"/>
  <c r="P1574" i="1"/>
  <c r="Q1574" i="1" s="1"/>
  <c r="S1574" i="1"/>
  <c r="P1570" i="1"/>
  <c r="Q1570" i="1" s="1"/>
  <c r="S1570" i="1"/>
  <c r="P1566" i="1"/>
  <c r="Q1566" i="1"/>
  <c r="U1566" i="1" s="1"/>
  <c r="P1562" i="1"/>
  <c r="Q1562" i="1" s="1"/>
  <c r="S1562" i="1"/>
  <c r="P1558" i="1"/>
  <c r="Q1558" i="1" s="1"/>
  <c r="U1558" i="1" s="1"/>
  <c r="P1554" i="1"/>
  <c r="Q1554" i="1" s="1"/>
  <c r="U1554" i="1" s="1"/>
  <c r="P1550" i="1"/>
  <c r="Q1550" i="1" s="1"/>
  <c r="U1550" i="1" s="1"/>
  <c r="P1546" i="1"/>
  <c r="Q1546" i="1"/>
  <c r="U1546" i="1" s="1"/>
  <c r="P1542" i="1"/>
  <c r="Q1542" i="1" s="1"/>
  <c r="U1542" i="1" s="1"/>
  <c r="P1538" i="1"/>
  <c r="Q1538" i="1" s="1"/>
  <c r="U1538" i="1" s="1"/>
  <c r="P1534" i="1"/>
  <c r="Q1534" i="1" s="1"/>
  <c r="S1534" i="1"/>
  <c r="P1530" i="1"/>
  <c r="Q1530" i="1" s="1"/>
  <c r="U1530" i="1" s="1"/>
  <c r="P1526" i="1"/>
  <c r="Q1526" i="1" s="1"/>
  <c r="S1526" i="1"/>
  <c r="P1522" i="1"/>
  <c r="Q1522" i="1" s="1"/>
  <c r="U1522" i="1" s="1"/>
  <c r="P1518" i="1"/>
  <c r="Q1518" i="1"/>
  <c r="S1518" i="1"/>
  <c r="P1514" i="1"/>
  <c r="Q1514" i="1" s="1"/>
  <c r="U1514" i="1" s="1"/>
  <c r="P1510" i="1"/>
  <c r="Q1510" i="1"/>
  <c r="U1510" i="1" s="1"/>
  <c r="P1506" i="1"/>
  <c r="Q1506" i="1" s="1"/>
  <c r="U1506" i="1" s="1"/>
  <c r="P1502" i="1"/>
  <c r="Q1502" i="1" s="1"/>
  <c r="U1502" i="1" s="1"/>
  <c r="P1498" i="1"/>
  <c r="Q1498" i="1" s="1"/>
  <c r="S1498" i="1"/>
  <c r="P1494" i="1"/>
  <c r="Q1494" i="1" s="1"/>
  <c r="U1494" i="1" s="1"/>
  <c r="P1490" i="1"/>
  <c r="Q1490" i="1"/>
  <c r="U1490" i="1" s="1"/>
  <c r="P1486" i="1"/>
  <c r="Q1486" i="1" s="1"/>
  <c r="U1486" i="1" s="1"/>
  <c r="P1482" i="1"/>
  <c r="Q1482" i="1" s="1"/>
  <c r="U1482" i="1" s="1"/>
  <c r="P1478" i="1"/>
  <c r="Q1478" i="1" s="1"/>
  <c r="U1478" i="1" s="1"/>
  <c r="P1474" i="1"/>
  <c r="Q1474" i="1"/>
  <c r="S1474" i="1"/>
  <c r="P1470" i="1"/>
  <c r="Q1470" i="1" s="1"/>
  <c r="S1470" i="1"/>
  <c r="P1466" i="1"/>
  <c r="Q1466" i="1" s="1"/>
  <c r="S1466" i="1"/>
  <c r="P1462" i="1"/>
  <c r="Q1462" i="1" s="1"/>
  <c r="U1462" i="1" s="1"/>
  <c r="P1458" i="1"/>
  <c r="Q1458" i="1" s="1"/>
  <c r="S1458" i="1"/>
  <c r="P1454" i="1"/>
  <c r="Q1454" i="1" s="1"/>
  <c r="U1454" i="1" s="1"/>
  <c r="P1450" i="1"/>
  <c r="Q1450" i="1"/>
  <c r="S1450" i="1"/>
  <c r="P1446" i="1"/>
  <c r="Q1446" i="1" s="1"/>
  <c r="U1446" i="1" s="1"/>
  <c r="P1442" i="1"/>
  <c r="Q1442" i="1"/>
  <c r="U1442" i="1" s="1"/>
  <c r="P1438" i="1"/>
  <c r="Q1438" i="1" s="1"/>
  <c r="U1438" i="1" s="1"/>
  <c r="P1434" i="1"/>
  <c r="Q1434" i="1" s="1"/>
  <c r="U1434" i="1" s="1"/>
  <c r="P1430" i="1"/>
  <c r="Q1430" i="1" s="1"/>
  <c r="S1430" i="1"/>
  <c r="P1426" i="1"/>
  <c r="Q1426" i="1" s="1"/>
  <c r="U1426" i="1" s="1"/>
  <c r="P1422" i="1"/>
  <c r="Q1422" i="1"/>
  <c r="U1422" i="1" s="1"/>
  <c r="P1418" i="1"/>
  <c r="Q1418" i="1" s="1"/>
  <c r="U1418" i="1" s="1"/>
  <c r="P1414" i="1"/>
  <c r="Q1414" i="1" s="1"/>
  <c r="S1414" i="1"/>
  <c r="P1410" i="1"/>
  <c r="Q1410" i="1" s="1"/>
  <c r="U1410" i="1" s="1"/>
  <c r="P1406" i="1"/>
  <c r="Q1406" i="1" s="1"/>
  <c r="U1406" i="1" s="1"/>
  <c r="P1402" i="1"/>
  <c r="Q1402" i="1" s="1"/>
  <c r="S1402" i="1"/>
  <c r="P1398" i="1"/>
  <c r="Q1398" i="1" s="1"/>
  <c r="U1398" i="1" s="1"/>
  <c r="P1394" i="1"/>
  <c r="Q1394" i="1"/>
  <c r="U1394" i="1" s="1"/>
  <c r="P1390" i="1"/>
  <c r="Q1390" i="1" s="1"/>
  <c r="S1390" i="1"/>
  <c r="P1386" i="1"/>
  <c r="Q1386" i="1"/>
  <c r="U1386" i="1" s="1"/>
  <c r="P1382" i="1"/>
  <c r="Q1382" i="1" s="1"/>
  <c r="U1382" i="1" s="1"/>
  <c r="P1378" i="1"/>
  <c r="Q1378" i="1" s="1"/>
  <c r="U1378" i="1" s="1"/>
  <c r="P1374" i="1"/>
  <c r="Q1374" i="1" s="1"/>
  <c r="U1374" i="1" s="1"/>
  <c r="P1370" i="1"/>
  <c r="Q1370" i="1"/>
  <c r="U1370" i="1" s="1"/>
  <c r="P1366" i="1"/>
  <c r="Q1366" i="1" s="1"/>
  <c r="U1366" i="1" s="1"/>
  <c r="P1362" i="1"/>
  <c r="Q1362" i="1" s="1"/>
  <c r="U1362" i="1" s="1"/>
  <c r="P1358" i="1"/>
  <c r="Q1358" i="1" s="1"/>
  <c r="U1358" i="1" s="1"/>
  <c r="P1354" i="1"/>
  <c r="Q1354" i="1"/>
  <c r="S1354" i="1"/>
  <c r="P1350" i="1"/>
  <c r="Q1350" i="1" s="1"/>
  <c r="S1350" i="1"/>
  <c r="P1346" i="1"/>
  <c r="Q1346" i="1" s="1"/>
  <c r="S1346" i="1"/>
  <c r="P1342" i="1"/>
  <c r="Q1342" i="1" s="1"/>
  <c r="U1342" i="1" s="1"/>
  <c r="P1338" i="1"/>
  <c r="Q1338" i="1" s="1"/>
  <c r="U1338" i="1" s="1"/>
  <c r="P1334" i="1"/>
  <c r="Q1334" i="1" s="1"/>
  <c r="U1334" i="1" s="1"/>
  <c r="P1330" i="1"/>
  <c r="Q1330" i="1" s="1"/>
  <c r="U1330" i="1" s="1"/>
  <c r="P1326" i="1"/>
  <c r="Q1326" i="1" s="1"/>
  <c r="U1326" i="1" s="1"/>
  <c r="P1322" i="1"/>
  <c r="Q1322" i="1" s="1"/>
  <c r="U1322" i="1" s="1"/>
  <c r="P1318" i="1"/>
  <c r="Q1318" i="1" s="1"/>
  <c r="S1318" i="1"/>
  <c r="P1314" i="1"/>
  <c r="Q1314" i="1" s="1"/>
  <c r="U1314" i="1" s="1"/>
  <c r="P1310" i="1"/>
  <c r="Q1310" i="1" s="1"/>
  <c r="U1310" i="1" s="1"/>
  <c r="P1306" i="1"/>
  <c r="Q1306" i="1"/>
  <c r="S1306" i="1"/>
  <c r="P1302" i="1"/>
  <c r="Q1302" i="1" s="1"/>
  <c r="U1302" i="1" s="1"/>
  <c r="P1298" i="1"/>
  <c r="Q1298" i="1" s="1"/>
  <c r="U1298" i="1" s="1"/>
  <c r="P1294" i="1"/>
  <c r="Q1294" i="1" s="1"/>
  <c r="U1294" i="1" s="1"/>
  <c r="P1290" i="1"/>
  <c r="Q1290" i="1" s="1"/>
  <c r="U1290" i="1" s="1"/>
  <c r="P1286" i="1"/>
  <c r="Q1286" i="1" s="1"/>
  <c r="S1286" i="1"/>
  <c r="P1282" i="1"/>
  <c r="Q1282" i="1" s="1"/>
  <c r="U1282" i="1" s="1"/>
  <c r="P1278" i="1"/>
  <c r="Q1278" i="1"/>
  <c r="U1278" i="1" s="1"/>
  <c r="S1278" i="1"/>
  <c r="P1274" i="1"/>
  <c r="Q1274" i="1" s="1"/>
  <c r="S1274" i="1"/>
  <c r="P1270" i="1"/>
  <c r="Q1270" i="1" s="1"/>
  <c r="U1270" i="1" s="1"/>
  <c r="P1266" i="1"/>
  <c r="Q1266" i="1"/>
  <c r="U1266" i="1" s="1"/>
  <c r="P1262" i="1"/>
  <c r="Q1262" i="1" s="1"/>
  <c r="U1262" i="1" s="1"/>
  <c r="P1258" i="1"/>
  <c r="Q1258" i="1" s="1"/>
  <c r="U1258" i="1" s="1"/>
  <c r="P1254" i="1"/>
  <c r="Q1254" i="1" s="1"/>
  <c r="U1254" i="1" s="1"/>
  <c r="P1250" i="1"/>
  <c r="Q1250" i="1"/>
  <c r="S1250" i="1"/>
  <c r="P1246" i="1"/>
  <c r="Q1246" i="1" s="1"/>
  <c r="S1246" i="1"/>
  <c r="P1242" i="1"/>
  <c r="Q1242" i="1" s="1"/>
  <c r="U1242" i="1" s="1"/>
  <c r="P1238" i="1"/>
  <c r="Q1238" i="1"/>
  <c r="U1238" i="1" s="1"/>
  <c r="P1234" i="1"/>
  <c r="Q1234" i="1" s="1"/>
  <c r="S1234" i="1"/>
  <c r="P1230" i="1"/>
  <c r="Q1230" i="1" s="1"/>
  <c r="U1230" i="1" s="1"/>
  <c r="P1226" i="1"/>
  <c r="Q1226" i="1" s="1"/>
  <c r="U1226" i="1" s="1"/>
  <c r="P1222" i="1"/>
  <c r="Q1222" i="1" s="1"/>
  <c r="U1222" i="1" s="1"/>
  <c r="P1218" i="1"/>
  <c r="Q1218" i="1" s="1"/>
  <c r="U1218" i="1" s="1"/>
  <c r="P1214" i="1"/>
  <c r="Q1214" i="1" s="1"/>
  <c r="U1214" i="1" s="1"/>
  <c r="P1210" i="1"/>
  <c r="Q1210" i="1" s="1"/>
  <c r="U1210" i="1" s="1"/>
  <c r="P1206" i="1"/>
  <c r="Q1206" i="1" s="1"/>
  <c r="S1206" i="1"/>
  <c r="P1202" i="1"/>
  <c r="Q1202" i="1"/>
  <c r="U1202" i="1" s="1"/>
  <c r="P1198" i="1"/>
  <c r="Q1198" i="1" s="1"/>
  <c r="U1198" i="1" s="1"/>
  <c r="P1194" i="1"/>
  <c r="Q1194" i="1" s="1"/>
  <c r="U1194" i="1" s="1"/>
  <c r="P1190" i="1"/>
  <c r="Q1190" i="1" s="1"/>
  <c r="U1190" i="1" s="1"/>
  <c r="P1186" i="1"/>
  <c r="Q1186" i="1"/>
  <c r="U1186" i="1" s="1"/>
  <c r="P1182" i="1"/>
  <c r="Q1182" i="1" s="1"/>
  <c r="S1182" i="1"/>
  <c r="P1178" i="1"/>
  <c r="Q1178" i="1" s="1"/>
  <c r="U1178" i="1" s="1"/>
  <c r="P1174" i="1"/>
  <c r="Q1174" i="1" s="1"/>
  <c r="U1174" i="1" s="1"/>
  <c r="P1170" i="1"/>
  <c r="Q1170" i="1" s="1"/>
  <c r="S1170" i="1"/>
  <c r="P1166" i="1"/>
  <c r="Q1166" i="1"/>
  <c r="U1166" i="1" s="1"/>
  <c r="P1162" i="1"/>
  <c r="Q1162" i="1" s="1"/>
  <c r="S1162" i="1"/>
  <c r="P1158" i="1"/>
  <c r="Q1158" i="1" s="1"/>
  <c r="S1158" i="1"/>
  <c r="P1154" i="1"/>
  <c r="Q1154" i="1"/>
  <c r="U1154" i="1" s="1"/>
  <c r="P1150" i="1"/>
  <c r="Q1150" i="1" s="1"/>
  <c r="U1150" i="1" s="1"/>
  <c r="P1146" i="1"/>
  <c r="Q1146" i="1" s="1"/>
  <c r="U1146" i="1" s="1"/>
  <c r="P1142" i="1"/>
  <c r="Q1142" i="1" s="1"/>
  <c r="U1142" i="1" s="1"/>
  <c r="P1138" i="1"/>
  <c r="Q1138" i="1"/>
  <c r="U1138" i="1" s="1"/>
  <c r="P1134" i="1"/>
  <c r="Q1134" i="1" s="1"/>
  <c r="S1134" i="1"/>
  <c r="P1130" i="1"/>
  <c r="Q1130" i="1" s="1"/>
  <c r="S1130" i="1"/>
  <c r="P1126" i="1"/>
  <c r="Q1126" i="1"/>
  <c r="S1126" i="1"/>
  <c r="P1122" i="1"/>
  <c r="Q1122" i="1" s="1"/>
  <c r="U1122" i="1" s="1"/>
  <c r="P1118" i="1"/>
  <c r="Q1118" i="1" s="1"/>
  <c r="U1118" i="1" s="1"/>
  <c r="P1114" i="1"/>
  <c r="Q1114" i="1" s="1"/>
  <c r="U1114" i="1" s="1"/>
  <c r="P1110" i="1"/>
  <c r="Q1110" i="1" s="1"/>
  <c r="U1110" i="1" s="1"/>
  <c r="P1106" i="1"/>
  <c r="Q1106" i="1" s="1"/>
  <c r="S1106" i="1"/>
  <c r="P1102" i="1"/>
  <c r="Q1102" i="1" s="1"/>
  <c r="U1102" i="1" s="1"/>
  <c r="P1098" i="1"/>
  <c r="Q1098" i="1"/>
  <c r="U1098" i="1" s="1"/>
  <c r="P1094" i="1"/>
  <c r="Q1094" i="1" s="1"/>
  <c r="U1094" i="1" s="1"/>
  <c r="P1090" i="1"/>
  <c r="Q1090" i="1" s="1"/>
  <c r="U1090" i="1" s="1"/>
  <c r="P1086" i="1"/>
  <c r="Q1086" i="1" s="1"/>
  <c r="U1086" i="1" s="1"/>
  <c r="P1082" i="1"/>
  <c r="Q1082" i="1"/>
  <c r="S1082" i="1"/>
  <c r="P1078" i="1"/>
  <c r="Q1078" i="1" s="1"/>
  <c r="U1078" i="1" s="1"/>
  <c r="P1074" i="1"/>
  <c r="Q1074" i="1" s="1"/>
  <c r="S1074" i="1"/>
  <c r="P1070" i="1"/>
  <c r="Q1070" i="1"/>
  <c r="U1070" i="1" s="1"/>
  <c r="S1070" i="1"/>
  <c r="P1066" i="1"/>
  <c r="Q1066" i="1" s="1"/>
  <c r="U1066" i="1" s="1"/>
  <c r="P1062" i="1"/>
  <c r="Q1062" i="1" s="1"/>
  <c r="U1062" i="1" s="1"/>
  <c r="P1058" i="1"/>
  <c r="Q1058" i="1" s="1"/>
  <c r="U1058" i="1" s="1"/>
  <c r="S1058" i="1"/>
  <c r="P1054" i="1"/>
  <c r="Q1054" i="1" s="1"/>
  <c r="S1054" i="1"/>
  <c r="P1050" i="1"/>
  <c r="Q1050" i="1" s="1"/>
  <c r="S1050" i="1"/>
  <c r="P1046" i="1"/>
  <c r="Q1046" i="1" s="1"/>
  <c r="S1046" i="1"/>
  <c r="P1042" i="1"/>
  <c r="Q1042" i="1" s="1"/>
  <c r="S1042" i="1"/>
  <c r="P1038" i="1"/>
  <c r="Q1038" i="1" s="1"/>
  <c r="U1038" i="1" s="1"/>
  <c r="P1034" i="1"/>
  <c r="Q1034" i="1" s="1"/>
  <c r="U1034" i="1" s="1"/>
  <c r="P1030" i="1"/>
  <c r="Q1030" i="1" s="1"/>
  <c r="S1030" i="1"/>
  <c r="P1026" i="1"/>
  <c r="Q1026" i="1" s="1"/>
  <c r="U1026" i="1" s="1"/>
  <c r="P1022" i="1"/>
  <c r="Q1022" i="1" s="1"/>
  <c r="U1022" i="1" s="1"/>
  <c r="P1018" i="1"/>
  <c r="Q1018" i="1" s="1"/>
  <c r="U1018" i="1" s="1"/>
  <c r="P1014" i="1"/>
  <c r="Q1014" i="1" s="1"/>
  <c r="U1014" i="1" s="1"/>
  <c r="P1010" i="1"/>
  <c r="Q1010" i="1" s="1"/>
  <c r="U1010" i="1" s="1"/>
  <c r="P1006" i="1"/>
  <c r="Q1006" i="1"/>
  <c r="U1006" i="1" s="1"/>
  <c r="P1002" i="1"/>
  <c r="Q1002" i="1" s="1"/>
  <c r="U1002" i="1" s="1"/>
  <c r="P998" i="1"/>
  <c r="Q998" i="1" s="1"/>
  <c r="U998" i="1" s="1"/>
  <c r="P994" i="1"/>
  <c r="Q994" i="1" s="1"/>
  <c r="U994" i="1" s="1"/>
  <c r="P990" i="1"/>
  <c r="Q990" i="1"/>
  <c r="S990" i="1"/>
  <c r="P986" i="1"/>
  <c r="Q986" i="1" s="1"/>
  <c r="S986" i="1"/>
  <c r="P982" i="1"/>
  <c r="Q982" i="1" s="1"/>
  <c r="U982" i="1" s="1"/>
  <c r="P978" i="1"/>
  <c r="Q978" i="1"/>
  <c r="S978" i="1"/>
  <c r="P974" i="1"/>
  <c r="Q974" i="1" s="1"/>
  <c r="U974" i="1" s="1"/>
  <c r="P970" i="1"/>
  <c r="Q970" i="1"/>
  <c r="U970" i="1" s="1"/>
  <c r="P966" i="1"/>
  <c r="Q966" i="1" s="1"/>
  <c r="S966" i="1"/>
  <c r="P962" i="1"/>
  <c r="Q962" i="1" s="1"/>
  <c r="U962" i="1" s="1"/>
  <c r="P958" i="1"/>
  <c r="Q958" i="1" s="1"/>
  <c r="U958" i="1" s="1"/>
  <c r="P954" i="1"/>
  <c r="Q954" i="1" s="1"/>
  <c r="S954" i="1"/>
  <c r="P950" i="1"/>
  <c r="Q950" i="1" s="1"/>
  <c r="U950" i="1" s="1"/>
  <c r="P946" i="1"/>
  <c r="Q946" i="1" s="1"/>
  <c r="U946" i="1" s="1"/>
  <c r="P942" i="1"/>
  <c r="Q942" i="1"/>
  <c r="U942" i="1" s="1"/>
  <c r="P938" i="1"/>
  <c r="Q938" i="1" s="1"/>
  <c r="U938" i="1" s="1"/>
  <c r="P934" i="1"/>
  <c r="Q934" i="1" s="1"/>
  <c r="U934" i="1" s="1"/>
  <c r="P930" i="1"/>
  <c r="Q930" i="1" s="1"/>
  <c r="U930" i="1" s="1"/>
  <c r="P926" i="1"/>
  <c r="Q926" i="1"/>
  <c r="U926" i="1" s="1"/>
  <c r="P922" i="1"/>
  <c r="Q922" i="1" s="1"/>
  <c r="U922" i="1" s="1"/>
  <c r="P918" i="1"/>
  <c r="Q918" i="1" s="1"/>
  <c r="U918" i="1" s="1"/>
  <c r="P914" i="1"/>
  <c r="Q914" i="1" s="1"/>
  <c r="U914" i="1" s="1"/>
  <c r="P910" i="1"/>
  <c r="Q910" i="1"/>
  <c r="U910" i="1" s="1"/>
  <c r="P906" i="1"/>
  <c r="Q906" i="1" s="1"/>
  <c r="U906" i="1" s="1"/>
  <c r="P902" i="1"/>
  <c r="Q902" i="1" s="1"/>
  <c r="U902" i="1" s="1"/>
  <c r="P898" i="1"/>
  <c r="Q898" i="1" s="1"/>
  <c r="U898" i="1" s="1"/>
  <c r="P894" i="1"/>
  <c r="Q894" i="1"/>
  <c r="U894" i="1" s="1"/>
  <c r="S894" i="1"/>
  <c r="P890" i="1"/>
  <c r="Q890" i="1" s="1"/>
  <c r="S890" i="1"/>
  <c r="P886" i="1"/>
  <c r="Q886" i="1" s="1"/>
  <c r="U886" i="1" s="1"/>
  <c r="P882" i="1"/>
  <c r="Q882" i="1"/>
  <c r="U882" i="1" s="1"/>
  <c r="P878" i="1"/>
  <c r="Q878" i="1" s="1"/>
  <c r="S878" i="1"/>
  <c r="P874" i="1"/>
  <c r="Q874" i="1" s="1"/>
  <c r="U874" i="1" s="1"/>
  <c r="P870" i="1"/>
  <c r="Q870" i="1" s="1"/>
  <c r="U870" i="1" s="1"/>
  <c r="P866" i="1"/>
  <c r="Q866" i="1" s="1"/>
  <c r="U866" i="1" s="1"/>
  <c r="P862" i="1"/>
  <c r="Q862" i="1" s="1"/>
  <c r="U862" i="1" s="1"/>
  <c r="P858" i="1"/>
  <c r="Q858" i="1" s="1"/>
  <c r="U858" i="1" s="1"/>
  <c r="P854" i="1"/>
  <c r="Q854" i="1" s="1"/>
  <c r="U854" i="1" s="1"/>
  <c r="P850" i="1"/>
  <c r="Q850" i="1" s="1"/>
  <c r="U850" i="1" s="1"/>
  <c r="P846" i="1"/>
  <c r="Q846" i="1"/>
  <c r="S846" i="1"/>
  <c r="P842" i="1"/>
  <c r="Q842" i="1" s="1"/>
  <c r="U842" i="1" s="1"/>
  <c r="P838" i="1"/>
  <c r="Q838" i="1"/>
  <c r="U838" i="1" s="1"/>
  <c r="P834" i="1"/>
  <c r="Q834" i="1" s="1"/>
  <c r="U834" i="1" s="1"/>
  <c r="P830" i="1"/>
  <c r="Q830" i="1" s="1"/>
  <c r="S830" i="1"/>
  <c r="P826" i="1"/>
  <c r="Q826" i="1"/>
  <c r="U826" i="1" s="1"/>
  <c r="P822" i="1"/>
  <c r="Q822" i="1" s="1"/>
  <c r="U822" i="1" s="1"/>
  <c r="P818" i="1"/>
  <c r="Q818" i="1" s="1"/>
  <c r="U818" i="1" s="1"/>
  <c r="P814" i="1"/>
  <c r="Q814" i="1" s="1"/>
  <c r="S814" i="1"/>
  <c r="P810" i="1"/>
  <c r="Q810" i="1" s="1"/>
  <c r="U810" i="1" s="1"/>
  <c r="P806" i="1"/>
  <c r="Q806" i="1" s="1"/>
  <c r="S806" i="1"/>
  <c r="P802" i="1"/>
  <c r="Q802" i="1" s="1"/>
  <c r="U802" i="1" s="1"/>
  <c r="P798" i="1"/>
  <c r="Q798" i="1"/>
  <c r="U798" i="1" s="1"/>
  <c r="P794" i="1"/>
  <c r="Q794" i="1" s="1"/>
  <c r="U794" i="1" s="1"/>
  <c r="P790" i="1"/>
  <c r="Q790" i="1" s="1"/>
  <c r="S790" i="1"/>
  <c r="P786" i="1"/>
  <c r="Q786" i="1" s="1"/>
  <c r="U786" i="1" s="1"/>
  <c r="P782" i="1"/>
  <c r="Q782" i="1" s="1"/>
  <c r="U782" i="1" s="1"/>
  <c r="P778" i="1"/>
  <c r="Q778" i="1" s="1"/>
  <c r="U778" i="1" s="1"/>
  <c r="P774" i="1"/>
  <c r="Q774" i="1"/>
  <c r="S774" i="1"/>
  <c r="P770" i="1"/>
  <c r="Q770" i="1" s="1"/>
  <c r="U770" i="1" s="1"/>
  <c r="P766" i="1"/>
  <c r="Q766" i="1" s="1"/>
  <c r="U766" i="1" s="1"/>
  <c r="P762" i="1"/>
  <c r="Q762" i="1"/>
  <c r="U762" i="1" s="1"/>
  <c r="P758" i="1"/>
  <c r="Q758" i="1" s="1"/>
  <c r="U758" i="1" s="1"/>
  <c r="P754" i="1"/>
  <c r="Q754" i="1" s="1"/>
  <c r="U754" i="1" s="1"/>
  <c r="P750" i="1"/>
  <c r="Q750" i="1" s="1"/>
  <c r="U750" i="1" s="1"/>
  <c r="S750" i="1"/>
  <c r="P746" i="1"/>
  <c r="Q746" i="1" s="1"/>
  <c r="S746" i="1"/>
  <c r="P742" i="1"/>
  <c r="Q742" i="1"/>
  <c r="U742" i="1" s="1"/>
  <c r="P738" i="1"/>
  <c r="Q738" i="1" s="1"/>
  <c r="S738" i="1"/>
  <c r="P734" i="1"/>
  <c r="Q734" i="1"/>
  <c r="U734" i="1" s="1"/>
  <c r="P730" i="1"/>
  <c r="Q730" i="1" s="1"/>
  <c r="S730" i="1"/>
  <c r="P726" i="1"/>
  <c r="Q726" i="1" s="1"/>
  <c r="U726" i="1" s="1"/>
  <c r="P722" i="1"/>
  <c r="Q722" i="1" s="1"/>
  <c r="U722" i="1" s="1"/>
  <c r="P718" i="1"/>
  <c r="Q718" i="1" s="1"/>
  <c r="S718" i="1"/>
  <c r="P714" i="1"/>
  <c r="Q714" i="1" s="1"/>
  <c r="U714" i="1" s="1"/>
  <c r="P710" i="1"/>
  <c r="Q710" i="1" s="1"/>
  <c r="U710" i="1" s="1"/>
  <c r="P706" i="1"/>
  <c r="Q706" i="1"/>
  <c r="S706" i="1"/>
  <c r="P702" i="1"/>
  <c r="Q702" i="1" s="1"/>
  <c r="S702" i="1"/>
  <c r="P698" i="1"/>
  <c r="Q698" i="1" s="1"/>
  <c r="U698" i="1" s="1"/>
  <c r="P694" i="1"/>
  <c r="Q694" i="1" s="1"/>
  <c r="U694" i="1" s="1"/>
  <c r="P690" i="1"/>
  <c r="Q690" i="1" s="1"/>
  <c r="U690" i="1" s="1"/>
  <c r="P686" i="1"/>
  <c r="Q686" i="1"/>
  <c r="U686" i="1" s="1"/>
  <c r="P682" i="1"/>
  <c r="Q682" i="1" s="1"/>
  <c r="U682" i="1" s="1"/>
  <c r="P678" i="1"/>
  <c r="Q678" i="1" s="1"/>
  <c r="U678" i="1" s="1"/>
  <c r="P674" i="1"/>
  <c r="Q674" i="1" s="1"/>
  <c r="S674" i="1"/>
  <c r="P670" i="1"/>
  <c r="Q670" i="1" s="1"/>
  <c r="U670" i="1" s="1"/>
  <c r="P666" i="1"/>
  <c r="Q666" i="1"/>
  <c r="U666" i="1" s="1"/>
  <c r="P662" i="1"/>
  <c r="Q662" i="1" s="1"/>
  <c r="U662" i="1" s="1"/>
  <c r="P658" i="1"/>
  <c r="Q658" i="1" s="1"/>
  <c r="U658" i="1" s="1"/>
  <c r="P654" i="1"/>
  <c r="Q654" i="1" s="1"/>
  <c r="U654" i="1" s="1"/>
  <c r="P650" i="1"/>
  <c r="Q650" i="1"/>
  <c r="U650" i="1" s="1"/>
  <c r="P646" i="1"/>
  <c r="Q646" i="1" s="1"/>
  <c r="U646" i="1" s="1"/>
  <c r="P642" i="1"/>
  <c r="Q642" i="1" s="1"/>
  <c r="U642" i="1" s="1"/>
  <c r="P638" i="1"/>
  <c r="Q638" i="1" s="1"/>
  <c r="S638" i="1"/>
  <c r="P634" i="1"/>
  <c r="Q634" i="1" s="1"/>
  <c r="U634" i="1" s="1"/>
  <c r="P630" i="1"/>
  <c r="Q630" i="1" s="1"/>
  <c r="S630" i="1"/>
  <c r="P626" i="1"/>
  <c r="Q626" i="1" s="1"/>
  <c r="S626" i="1"/>
  <c r="P622" i="1"/>
  <c r="Q622" i="1" s="1"/>
  <c r="U622" i="1" s="1"/>
  <c r="P618" i="1"/>
  <c r="Q618" i="1" s="1"/>
  <c r="U618" i="1" s="1"/>
  <c r="P614" i="1"/>
  <c r="Q614" i="1"/>
  <c r="U614" i="1" s="1"/>
  <c r="P610" i="1"/>
  <c r="Q610" i="1" s="1"/>
  <c r="U610" i="1" s="1"/>
  <c r="P606" i="1"/>
  <c r="Q606" i="1" s="1"/>
  <c r="U606" i="1" s="1"/>
  <c r="P602" i="1"/>
  <c r="Q602" i="1" s="1"/>
  <c r="U602" i="1" s="1"/>
  <c r="P598" i="1"/>
  <c r="Q598" i="1"/>
  <c r="U598" i="1" s="1"/>
  <c r="P594" i="1"/>
  <c r="Q594" i="1" s="1"/>
  <c r="U594" i="1" s="1"/>
  <c r="P590" i="1"/>
  <c r="Q590" i="1" s="1"/>
  <c r="U590" i="1" s="1"/>
  <c r="P586" i="1"/>
  <c r="Q586" i="1" s="1"/>
  <c r="U586" i="1" s="1"/>
  <c r="S586" i="1"/>
  <c r="P582" i="1"/>
  <c r="Q582" i="1" s="1"/>
  <c r="U582" i="1" s="1"/>
  <c r="P578" i="1"/>
  <c r="Q578" i="1"/>
  <c r="U578" i="1" s="1"/>
  <c r="P574" i="1"/>
  <c r="Q574" i="1" s="1"/>
  <c r="U574" i="1" s="1"/>
  <c r="P570" i="1"/>
  <c r="Q570" i="1" s="1"/>
  <c r="S570" i="1"/>
  <c r="P566" i="1"/>
  <c r="Q566" i="1" s="1"/>
  <c r="U566" i="1" s="1"/>
  <c r="P562" i="1"/>
  <c r="Q562" i="1" s="1"/>
  <c r="U562" i="1" s="1"/>
  <c r="P558" i="1"/>
  <c r="Q558" i="1" s="1"/>
  <c r="U558" i="1" s="1"/>
  <c r="P554" i="1"/>
  <c r="Q554" i="1"/>
  <c r="U554" i="1" s="1"/>
  <c r="P550" i="1"/>
  <c r="Q550" i="1" s="1"/>
  <c r="U550" i="1" s="1"/>
  <c r="P546" i="1"/>
  <c r="Q546" i="1" s="1"/>
  <c r="U546" i="1" s="1"/>
  <c r="P542" i="1"/>
  <c r="Q542" i="1" s="1"/>
  <c r="U542" i="1" s="1"/>
  <c r="P538" i="1"/>
  <c r="Q538" i="1"/>
  <c r="S538" i="1"/>
  <c r="P534" i="1"/>
  <c r="Q534" i="1" s="1"/>
  <c r="S534" i="1"/>
  <c r="P530" i="1"/>
  <c r="Q530" i="1" s="1"/>
  <c r="U530" i="1" s="1"/>
  <c r="P526" i="1"/>
  <c r="Q526" i="1" s="1"/>
  <c r="S526" i="1"/>
  <c r="P522" i="1"/>
  <c r="Q522" i="1"/>
  <c r="U522" i="1" s="1"/>
  <c r="P518" i="1"/>
  <c r="Q518" i="1" s="1"/>
  <c r="S518" i="1"/>
  <c r="P514" i="1"/>
  <c r="Q514" i="1"/>
  <c r="U514" i="1" s="1"/>
  <c r="P510" i="1"/>
  <c r="Q510" i="1" s="1"/>
  <c r="S510" i="1"/>
  <c r="P506" i="1"/>
  <c r="Q506" i="1" s="1"/>
  <c r="U506" i="1" s="1"/>
  <c r="P502" i="1"/>
  <c r="Q502" i="1" s="1"/>
  <c r="S502" i="1"/>
  <c r="P498" i="1"/>
  <c r="Q498" i="1" s="1"/>
  <c r="S498" i="1"/>
  <c r="P494" i="1"/>
  <c r="Q494" i="1" s="1"/>
  <c r="U494" i="1" s="1"/>
  <c r="Q2175" i="1"/>
  <c r="Q2111" i="1"/>
  <c r="Q2089" i="1"/>
  <c r="U2089" i="1" s="1"/>
  <c r="Q2068" i="1"/>
  <c r="U2068" i="1" s="1"/>
  <c r="Q2047" i="1"/>
  <c r="Q2025" i="1"/>
  <c r="U2025" i="1" s="1"/>
  <c r="Q2004" i="1"/>
  <c r="U2004" i="1" s="1"/>
  <c r="Q1983" i="1"/>
  <c r="U1983" i="1" s="1"/>
  <c r="Q1919" i="1"/>
  <c r="U1919" i="1" s="1"/>
  <c r="Q1897" i="1"/>
  <c r="U1897" i="1" s="1"/>
  <c r="Q1876" i="1"/>
  <c r="U1876" i="1" s="1"/>
  <c r="Q1855" i="1"/>
  <c r="U1855" i="1" s="1"/>
  <c r="Q1833" i="1"/>
  <c r="U1833" i="1" s="1"/>
  <c r="Q1812" i="1"/>
  <c r="Q1791" i="1"/>
  <c r="U1791" i="1" s="1"/>
  <c r="Q1769" i="1"/>
  <c r="U1769" i="1" s="1"/>
  <c r="Q1727" i="1"/>
  <c r="U1727" i="1" s="1"/>
  <c r="Q1705" i="1"/>
  <c r="U1705" i="1" s="1"/>
  <c r="Q1684" i="1"/>
  <c r="U1684" i="1" s="1"/>
  <c r="Q1663" i="1"/>
  <c r="U1663" i="1" s="1"/>
  <c r="Q1620" i="1"/>
  <c r="U1620" i="1" s="1"/>
  <c r="Q1599" i="1"/>
  <c r="U1599" i="1" s="1"/>
  <c r="Q1577" i="1"/>
  <c r="U1577" i="1" s="1"/>
  <c r="Q1535" i="1"/>
  <c r="U1535" i="1" s="1"/>
  <c r="Q1513" i="1"/>
  <c r="U1513" i="1" s="1"/>
  <c r="Q1492" i="1"/>
  <c r="U1492" i="1" s="1"/>
  <c r="Q1471" i="1"/>
  <c r="U1471" i="1" s="1"/>
  <c r="Q1449" i="1"/>
  <c r="U1449" i="1" s="1"/>
  <c r="Q1428" i="1"/>
  <c r="Q1407" i="1"/>
  <c r="U1407" i="1" s="1"/>
  <c r="Q1385" i="1"/>
  <c r="U1385" i="1" s="1"/>
  <c r="Q1364" i="1"/>
  <c r="U1364" i="1" s="1"/>
  <c r="Q1343" i="1"/>
  <c r="U1343" i="1" s="1"/>
  <c r="Q1321" i="1"/>
  <c r="U1321" i="1" s="1"/>
  <c r="Q1300" i="1"/>
  <c r="U1300" i="1" s="1"/>
  <c r="Q1279" i="1"/>
  <c r="Q1257" i="1"/>
  <c r="U1257" i="1" s="1"/>
  <c r="Q1215" i="1"/>
  <c r="U1215" i="1" s="1"/>
  <c r="Q1193" i="1"/>
  <c r="Q1172" i="1"/>
  <c r="U1172" i="1" s="1"/>
  <c r="Q1151" i="1"/>
  <c r="U1151" i="1" s="1"/>
  <c r="Q1129" i="1"/>
  <c r="U1129" i="1" s="1"/>
  <c r="Q1087" i="1"/>
  <c r="U1087" i="1" s="1"/>
  <c r="Q1019" i="1"/>
  <c r="U1019" i="1" s="1"/>
  <c r="Q976" i="1"/>
  <c r="U976" i="1" s="1"/>
  <c r="Q933" i="1"/>
  <c r="U933" i="1" s="1"/>
  <c r="Q891" i="1"/>
  <c r="U891" i="1" s="1"/>
  <c r="Q763" i="1"/>
  <c r="U763" i="1" s="1"/>
  <c r="Q596" i="1"/>
  <c r="U596" i="1" s="1"/>
  <c r="Q511" i="1"/>
  <c r="U511" i="1" s="1"/>
  <c r="Q425" i="1"/>
  <c r="U425" i="1" s="1"/>
  <c r="Q340" i="1"/>
  <c r="U340" i="1" s="1"/>
  <c r="Q169" i="1"/>
  <c r="U169" i="1" s="1"/>
  <c r="Q84" i="1"/>
  <c r="U84" i="1" s="1"/>
  <c r="S553" i="1"/>
  <c r="P2164" i="1"/>
  <c r="Q2164" i="1" s="1"/>
  <c r="S2164" i="1"/>
  <c r="P2156" i="1"/>
  <c r="Q2156" i="1" s="1"/>
  <c r="S2156" i="1"/>
  <c r="P2148" i="1"/>
  <c r="Q2148" i="1" s="1"/>
  <c r="S2148" i="1"/>
  <c r="P2140" i="1"/>
  <c r="Q2140" i="1" s="1"/>
  <c r="S2140" i="1"/>
  <c r="P2132" i="1"/>
  <c r="Q2132" i="1" s="1"/>
  <c r="S2132" i="1"/>
  <c r="P2124" i="1"/>
  <c r="Q2124" i="1" s="1"/>
  <c r="U2124" i="1" s="1"/>
  <c r="P2120" i="1"/>
  <c r="Q2120" i="1"/>
  <c r="U2120" i="1" s="1"/>
  <c r="P2112" i="1"/>
  <c r="Q2112" i="1" s="1"/>
  <c r="S2112" i="1"/>
  <c r="P2108" i="1"/>
  <c r="Q2108" i="1" s="1"/>
  <c r="U2108" i="1" s="1"/>
  <c r="P2104" i="1"/>
  <c r="Q2104" i="1" s="1"/>
  <c r="S2104" i="1"/>
  <c r="P2096" i="1"/>
  <c r="Q2096" i="1" s="1"/>
  <c r="S2096" i="1"/>
  <c r="P2088" i="1"/>
  <c r="Q2088" i="1" s="1"/>
  <c r="U2088" i="1" s="1"/>
  <c r="P2080" i="1"/>
  <c r="Q2080" i="1" s="1"/>
  <c r="U2080" i="1" s="1"/>
  <c r="P2060" i="1"/>
  <c r="Q2060" i="1" s="1"/>
  <c r="U2060" i="1" s="1"/>
  <c r="P2052" i="1"/>
  <c r="Q2052" i="1" s="1"/>
  <c r="S2052" i="1"/>
  <c r="P2044" i="1"/>
  <c r="Q2044" i="1" s="1"/>
  <c r="U2044" i="1" s="1"/>
  <c r="P2040" i="1"/>
  <c r="Q2040" i="1"/>
  <c r="U2040" i="1" s="1"/>
  <c r="P2032" i="1"/>
  <c r="Q2032" i="1" s="1"/>
  <c r="U2032" i="1" s="1"/>
  <c r="P2024" i="1"/>
  <c r="S2024" i="1"/>
  <c r="Q2024" i="1"/>
  <c r="P2016" i="1"/>
  <c r="Q2016" i="1" s="1"/>
  <c r="U2016" i="1" s="1"/>
  <c r="P1996" i="1"/>
  <c r="Q1996" i="1" s="1"/>
  <c r="U1996" i="1" s="1"/>
  <c r="P1980" i="1"/>
  <c r="Q1980" i="1" s="1"/>
  <c r="U1980" i="1" s="1"/>
  <c r="P1976" i="1"/>
  <c r="Q1976" i="1"/>
  <c r="U1976" i="1" s="1"/>
  <c r="P1964" i="1"/>
  <c r="Q1964" i="1" s="1"/>
  <c r="S1964" i="1"/>
  <c r="P1948" i="1"/>
  <c r="Q1948" i="1" s="1"/>
  <c r="U1948" i="1" s="1"/>
  <c r="P1940" i="1"/>
  <c r="Q1940" i="1" s="1"/>
  <c r="S1940" i="1"/>
  <c r="P1932" i="1"/>
  <c r="Q1932" i="1" s="1"/>
  <c r="U1932" i="1" s="1"/>
  <c r="P1924" i="1"/>
  <c r="Q1924" i="1" s="1"/>
  <c r="S1924" i="1"/>
  <c r="P1916" i="1"/>
  <c r="Q1916" i="1" s="1"/>
  <c r="S1916" i="1"/>
  <c r="P1900" i="1"/>
  <c r="Q1900" i="1" s="1"/>
  <c r="S1900" i="1"/>
  <c r="P1896" i="1"/>
  <c r="Q1896" i="1" s="1"/>
  <c r="S1896" i="1"/>
  <c r="P1888" i="1"/>
  <c r="Q1888" i="1" s="1"/>
  <c r="U1888" i="1" s="1"/>
  <c r="P1868" i="1"/>
  <c r="Q1868" i="1" s="1"/>
  <c r="S1868" i="1"/>
  <c r="P1860" i="1"/>
  <c r="Q1860" i="1" s="1"/>
  <c r="S1860" i="1"/>
  <c r="P1852" i="1"/>
  <c r="Q1852" i="1" s="1"/>
  <c r="U1852" i="1" s="1"/>
  <c r="P1836" i="1"/>
  <c r="Q1836" i="1" s="1"/>
  <c r="U1836" i="1" s="1"/>
  <c r="P1832" i="1"/>
  <c r="Q1832" i="1" s="1"/>
  <c r="U1832" i="1" s="1"/>
  <c r="P1824" i="1"/>
  <c r="Q1824" i="1"/>
  <c r="U1824" i="1" s="1"/>
  <c r="P1816" i="1"/>
  <c r="Q1816" i="1" s="1"/>
  <c r="U1816" i="1" s="1"/>
  <c r="P1808" i="1"/>
  <c r="Q1808" i="1" s="1"/>
  <c r="U1808" i="1" s="1"/>
  <c r="P1788" i="1"/>
  <c r="Q1788" i="1" s="1"/>
  <c r="S1788" i="1"/>
  <c r="P1772" i="1"/>
  <c r="Q1772" i="1" s="1"/>
  <c r="U1772" i="1" s="1"/>
  <c r="P1768" i="1"/>
  <c r="Q1768" i="1" s="1"/>
  <c r="S1768" i="1"/>
  <c r="P1760" i="1"/>
  <c r="Q1760" i="1" s="1"/>
  <c r="U1760" i="1" s="1"/>
  <c r="P1756" i="1"/>
  <c r="Q1756" i="1"/>
  <c r="U1756" i="1" s="1"/>
  <c r="P1748" i="1"/>
  <c r="Q1748" i="1" s="1"/>
  <c r="S1748" i="1"/>
  <c r="P1740" i="1"/>
  <c r="Q1740" i="1"/>
  <c r="U1740" i="1" s="1"/>
  <c r="P1732" i="1"/>
  <c r="Q1732" i="1" s="1"/>
  <c r="S1732" i="1"/>
  <c r="P1724" i="1"/>
  <c r="Q1724" i="1"/>
  <c r="U1724" i="1" s="1"/>
  <c r="P1708" i="1"/>
  <c r="Q1708" i="1" s="1"/>
  <c r="S1708" i="1"/>
  <c r="P1692" i="1"/>
  <c r="Q1692" i="1"/>
  <c r="U1692" i="1" s="1"/>
  <c r="P1688" i="1"/>
  <c r="Q1688" i="1" s="1"/>
  <c r="U1688" i="1" s="1"/>
  <c r="P1680" i="1"/>
  <c r="Q1680" i="1" s="1"/>
  <c r="U1680" i="1" s="1"/>
  <c r="P1664" i="1"/>
  <c r="Q1664" i="1" s="1"/>
  <c r="U1664" i="1" s="1"/>
  <c r="P1656" i="1"/>
  <c r="Q1656" i="1"/>
  <c r="U1656" i="1" s="1"/>
  <c r="P1648" i="1"/>
  <c r="Q1648" i="1" s="1"/>
  <c r="U1648" i="1" s="1"/>
  <c r="P1640" i="1"/>
  <c r="S1640" i="1"/>
  <c r="Q1640" i="1"/>
  <c r="P1632" i="1"/>
  <c r="Q1632" i="1"/>
  <c r="U1632" i="1" s="1"/>
  <c r="P1612" i="1"/>
  <c r="Q1612" i="1" s="1"/>
  <c r="U1612" i="1" s="1"/>
  <c r="P1604" i="1"/>
  <c r="Q1604" i="1" s="1"/>
  <c r="S1604" i="1"/>
  <c r="P1596" i="1"/>
  <c r="Q1596" i="1" s="1"/>
  <c r="S1596" i="1"/>
  <c r="P1580" i="1"/>
  <c r="Q1580" i="1" s="1"/>
  <c r="U1580" i="1" s="1"/>
  <c r="P1576" i="1"/>
  <c r="Q1576" i="1" s="1"/>
  <c r="U1576" i="1" s="1"/>
  <c r="P1568" i="1"/>
  <c r="Q1568" i="1"/>
  <c r="U1568" i="1" s="1"/>
  <c r="P1560" i="1"/>
  <c r="Q1560" i="1" s="1"/>
  <c r="U1560" i="1" s="1"/>
  <c r="P1556" i="1"/>
  <c r="Q1556" i="1" s="1"/>
  <c r="S1556" i="1"/>
  <c r="P1548" i="1"/>
  <c r="Q1548" i="1" s="1"/>
  <c r="U1548" i="1" s="1"/>
  <c r="P1544" i="1"/>
  <c r="Q1544" i="1"/>
  <c r="U1544" i="1" s="1"/>
  <c r="P1536" i="1"/>
  <c r="Q1536" i="1" s="1"/>
  <c r="S1536" i="1"/>
  <c r="P1528" i="1"/>
  <c r="Q1528" i="1" s="1"/>
  <c r="U1528" i="1" s="1"/>
  <c r="P1520" i="1"/>
  <c r="S1520" i="1"/>
  <c r="Q1520" i="1"/>
  <c r="P1512" i="1"/>
  <c r="Q1512" i="1" s="1"/>
  <c r="U1512" i="1" s="1"/>
  <c r="P1504" i="1"/>
  <c r="Q1504" i="1" s="1"/>
  <c r="U1504" i="1" s="1"/>
  <c r="P1484" i="1"/>
  <c r="Q1484" i="1" s="1"/>
  <c r="U1484" i="1" s="1"/>
  <c r="P1476" i="1"/>
  <c r="Q1476" i="1" s="1"/>
  <c r="S1476" i="1"/>
  <c r="P1468" i="1"/>
  <c r="Q1468" i="1" s="1"/>
  <c r="U1468" i="1" s="1"/>
  <c r="P1460" i="1"/>
  <c r="Q1460" i="1" s="1"/>
  <c r="S1460" i="1"/>
  <c r="P1452" i="1"/>
  <c r="Q1452" i="1" s="1"/>
  <c r="U1452" i="1" s="1"/>
  <c r="P1448" i="1"/>
  <c r="Q1448" i="1"/>
  <c r="U1448" i="1" s="1"/>
  <c r="P1440" i="1"/>
  <c r="Q1440" i="1" s="1"/>
  <c r="U1440" i="1" s="1"/>
  <c r="P1432" i="1"/>
  <c r="Q1432" i="1" s="1"/>
  <c r="U1432" i="1" s="1"/>
  <c r="P1424" i="1"/>
  <c r="Q1424" i="1" s="1"/>
  <c r="S1424" i="1"/>
  <c r="P1404" i="1"/>
  <c r="Q1404" i="1" s="1"/>
  <c r="U1404" i="1" s="1"/>
  <c r="P1388" i="1"/>
  <c r="Q1388" i="1" s="1"/>
  <c r="U1388" i="1" s="1"/>
  <c r="P1384" i="1"/>
  <c r="Q1384" i="1" s="1"/>
  <c r="U1384" i="1" s="1"/>
  <c r="P1376" i="1"/>
  <c r="Q1376" i="1" s="1"/>
  <c r="U1376" i="1" s="1"/>
  <c r="P1356" i="1"/>
  <c r="Q1356" i="1" s="1"/>
  <c r="U1356" i="1" s="1"/>
  <c r="P1340" i="1"/>
  <c r="Q1340" i="1" s="1"/>
  <c r="S1340" i="1"/>
  <c r="P1324" i="1"/>
  <c r="Q1324" i="1" s="1"/>
  <c r="U1324" i="1" s="1"/>
  <c r="P1316" i="1"/>
  <c r="S1316" i="1"/>
  <c r="P1308" i="1"/>
  <c r="Q1308" i="1" s="1"/>
  <c r="U1308" i="1" s="1"/>
  <c r="P1292" i="1"/>
  <c r="Q1292" i="1" s="1"/>
  <c r="U1292" i="1" s="1"/>
  <c r="P1276" i="1"/>
  <c r="Q1276" i="1" s="1"/>
  <c r="U1276" i="1" s="1"/>
  <c r="P1260" i="1"/>
  <c r="Q1260" i="1"/>
  <c r="U1260" i="1" s="1"/>
  <c r="P1256" i="1"/>
  <c r="Q1256" i="1" s="1"/>
  <c r="S1256" i="1"/>
  <c r="P1244" i="1"/>
  <c r="Q1244" i="1" s="1"/>
  <c r="U1244" i="1" s="1"/>
  <c r="P1236" i="1"/>
  <c r="Q1236" i="1" s="1"/>
  <c r="S1236" i="1"/>
  <c r="P1228" i="1"/>
  <c r="Q1228" i="1" s="1"/>
  <c r="S1228" i="1"/>
  <c r="P1220" i="1"/>
  <c r="Q1220" i="1" s="1"/>
  <c r="S1220" i="1"/>
  <c r="P1212" i="1"/>
  <c r="Q1212" i="1" s="1"/>
  <c r="S1212" i="1"/>
  <c r="P1196" i="1"/>
  <c r="Q1196" i="1" s="1"/>
  <c r="U1196" i="1" s="1"/>
  <c r="P1188" i="1"/>
  <c r="S1188" i="1"/>
  <c r="P1180" i="1"/>
  <c r="Q1180" i="1" s="1"/>
  <c r="S1180" i="1"/>
  <c r="P1164" i="1"/>
  <c r="Q1164" i="1"/>
  <c r="U1164" i="1" s="1"/>
  <c r="P1160" i="1"/>
  <c r="Q1160" i="1" s="1"/>
  <c r="U1160" i="1" s="1"/>
  <c r="P1152" i="1"/>
  <c r="Q1152" i="1" s="1"/>
  <c r="U1152" i="1" s="1"/>
  <c r="P1144" i="1"/>
  <c r="Q1144" i="1" s="1"/>
  <c r="U1144" i="1" s="1"/>
  <c r="P1136" i="1"/>
  <c r="S1136" i="1"/>
  <c r="Q1136" i="1"/>
  <c r="P1116" i="1"/>
  <c r="Q1116" i="1" s="1"/>
  <c r="U1116" i="1" s="1"/>
  <c r="P1108" i="1"/>
  <c r="Q1108" i="1" s="1"/>
  <c r="S1108" i="1"/>
  <c r="P1104" i="1"/>
  <c r="Q1104" i="1"/>
  <c r="U1104" i="1" s="1"/>
  <c r="P1096" i="1"/>
  <c r="Q1096" i="1" s="1"/>
  <c r="U1096" i="1" s="1"/>
  <c r="P1088" i="1"/>
  <c r="Q1088" i="1" s="1"/>
  <c r="U1088" i="1" s="1"/>
  <c r="P1080" i="1"/>
  <c r="Q1080" i="1" s="1"/>
  <c r="S1080" i="1"/>
  <c r="P1076" i="1"/>
  <c r="Q1076" i="1" s="1"/>
  <c r="S1076" i="1"/>
  <c r="P1068" i="1"/>
  <c r="Q1068" i="1" s="1"/>
  <c r="U1068" i="1" s="1"/>
  <c r="P1060" i="1"/>
  <c r="Q1060" i="1"/>
  <c r="U1060" i="1" s="1"/>
  <c r="P1052" i="1"/>
  <c r="Q1052" i="1" s="1"/>
  <c r="U1052" i="1" s="1"/>
  <c r="P1048" i="1"/>
  <c r="Q1048" i="1" s="1"/>
  <c r="S1048" i="1"/>
  <c r="P1040" i="1"/>
  <c r="Q1040" i="1" s="1"/>
  <c r="S1040" i="1"/>
  <c r="P1032" i="1"/>
  <c r="Q1032" i="1" s="1"/>
  <c r="U1032" i="1" s="1"/>
  <c r="P1024" i="1"/>
  <c r="Q1024" i="1" s="1"/>
  <c r="U1024" i="1" s="1"/>
  <c r="P1020" i="1"/>
  <c r="Q1020" i="1" s="1"/>
  <c r="U1020" i="1" s="1"/>
  <c r="P1012" i="1"/>
  <c r="Q1012" i="1" s="1"/>
  <c r="U1012" i="1" s="1"/>
  <c r="P1004" i="1"/>
  <c r="Q1004" i="1" s="1"/>
  <c r="U1004" i="1" s="1"/>
  <c r="P1000" i="1"/>
  <c r="Q1000" i="1"/>
  <c r="U1000" i="1" s="1"/>
  <c r="P992" i="1"/>
  <c r="Q992" i="1" s="1"/>
  <c r="U992" i="1" s="1"/>
  <c r="P984" i="1"/>
  <c r="Q984" i="1" s="1"/>
  <c r="U984" i="1" s="1"/>
  <c r="P968" i="1"/>
  <c r="Q968" i="1" s="1"/>
  <c r="U968" i="1" s="1"/>
  <c r="P960" i="1"/>
  <c r="Q960" i="1" s="1"/>
  <c r="S960" i="1"/>
  <c r="P952" i="1"/>
  <c r="Q952" i="1" s="1"/>
  <c r="U952" i="1" s="1"/>
  <c r="P948" i="1"/>
  <c r="Q948" i="1"/>
  <c r="U948" i="1" s="1"/>
  <c r="P940" i="1"/>
  <c r="Q940" i="1" s="1"/>
  <c r="U940" i="1" s="1"/>
  <c r="P932" i="1"/>
  <c r="Q932" i="1" s="1"/>
  <c r="U932" i="1" s="1"/>
  <c r="P924" i="1"/>
  <c r="Q924" i="1" s="1"/>
  <c r="U924" i="1" s="1"/>
  <c r="P904" i="1"/>
  <c r="Q904" i="1"/>
  <c r="U904" i="1" s="1"/>
  <c r="P896" i="1"/>
  <c r="Q896" i="1" s="1"/>
  <c r="U896" i="1" s="1"/>
  <c r="P888" i="1"/>
  <c r="Q888" i="1" s="1"/>
  <c r="U888" i="1" s="1"/>
  <c r="P884" i="1"/>
  <c r="Q884" i="1" s="1"/>
  <c r="U884" i="1" s="1"/>
  <c r="P876" i="1"/>
  <c r="Q876" i="1"/>
  <c r="U876" i="1" s="1"/>
  <c r="P868" i="1"/>
  <c r="Q868" i="1" s="1"/>
  <c r="U868" i="1" s="1"/>
  <c r="P860" i="1"/>
  <c r="Q860" i="1" s="1"/>
  <c r="S860" i="1"/>
  <c r="P852" i="1"/>
  <c r="Q852" i="1" s="1"/>
  <c r="U852" i="1" s="1"/>
  <c r="P848" i="1"/>
  <c r="Q848" i="1" s="1"/>
  <c r="S848" i="1"/>
  <c r="P840" i="1"/>
  <c r="Q840" i="1" s="1"/>
  <c r="U840" i="1" s="1"/>
  <c r="P832" i="1"/>
  <c r="Q832" i="1" s="1"/>
  <c r="S832" i="1"/>
  <c r="P824" i="1"/>
  <c r="S824" i="1"/>
  <c r="Q824" i="1"/>
  <c r="P820" i="1"/>
  <c r="Q820" i="1" s="1"/>
  <c r="U820" i="1" s="1"/>
  <c r="P812" i="1"/>
  <c r="Q812" i="1" s="1"/>
  <c r="S812" i="1"/>
  <c r="P808" i="1"/>
  <c r="Q808" i="1" s="1"/>
  <c r="U808" i="1" s="1"/>
  <c r="P800" i="1"/>
  <c r="Q800" i="1" s="1"/>
  <c r="U800" i="1" s="1"/>
  <c r="P792" i="1"/>
  <c r="Q792" i="1"/>
  <c r="U792" i="1" s="1"/>
  <c r="P784" i="1"/>
  <c r="Q784" i="1" s="1"/>
  <c r="S784" i="1"/>
  <c r="P776" i="1"/>
  <c r="Q776" i="1"/>
  <c r="U776" i="1" s="1"/>
  <c r="P768" i="1"/>
  <c r="Q768" i="1" s="1"/>
  <c r="U768" i="1" s="1"/>
  <c r="P760" i="1"/>
  <c r="Q760" i="1" s="1"/>
  <c r="U760" i="1" s="1"/>
  <c r="P752" i="1"/>
  <c r="Q752" i="1" s="1"/>
  <c r="U752" i="1" s="1"/>
  <c r="P748" i="1"/>
  <c r="Q748" i="1"/>
  <c r="U748" i="1" s="1"/>
  <c r="P740" i="1"/>
  <c r="Q740" i="1" s="1"/>
  <c r="U740" i="1" s="1"/>
  <c r="P732" i="1"/>
  <c r="Q732" i="1" s="1"/>
  <c r="U732" i="1" s="1"/>
  <c r="P724" i="1"/>
  <c r="Q724" i="1" s="1"/>
  <c r="S724" i="1"/>
  <c r="P716" i="1"/>
  <c r="Q716" i="1" s="1"/>
  <c r="S716" i="1"/>
  <c r="P712" i="1"/>
  <c r="Q712" i="1" s="1"/>
  <c r="U712" i="1" s="1"/>
  <c r="P704" i="1"/>
  <c r="Q704" i="1" s="1"/>
  <c r="S704" i="1"/>
  <c r="P696" i="1"/>
  <c r="Q696" i="1" s="1"/>
  <c r="U696" i="1" s="1"/>
  <c r="P688" i="1"/>
  <c r="Q688" i="1" s="1"/>
  <c r="U688" i="1" s="1"/>
  <c r="P680" i="1"/>
  <c r="Q680" i="1"/>
  <c r="U680" i="1" s="1"/>
  <c r="P672" i="1"/>
  <c r="Q672" i="1" s="1"/>
  <c r="U672" i="1" s="1"/>
  <c r="P664" i="1"/>
  <c r="Q664" i="1" s="1"/>
  <c r="U664" i="1" s="1"/>
  <c r="P652" i="1"/>
  <c r="Q652" i="1" s="1"/>
  <c r="S652" i="1"/>
  <c r="P584" i="1"/>
  <c r="Q584" i="1" s="1"/>
  <c r="S584" i="1"/>
  <c r="P68" i="1"/>
  <c r="S68" i="1"/>
  <c r="Q68" i="1"/>
  <c r="P60" i="1"/>
  <c r="Q60" i="1" s="1"/>
  <c r="U60" i="1" s="1"/>
  <c r="P56" i="1"/>
  <c r="Q56" i="1" s="1"/>
  <c r="U56" i="1" s="1"/>
  <c r="P48" i="1"/>
  <c r="Q48" i="1" s="1"/>
  <c r="S48" i="1"/>
  <c r="P40" i="1"/>
  <c r="Q40" i="1" s="1"/>
  <c r="S40" i="1"/>
  <c r="P32" i="1"/>
  <c r="Q32" i="1" s="1"/>
  <c r="U32" i="1" s="1"/>
  <c r="P24" i="1"/>
  <c r="Q24" i="1" s="1"/>
  <c r="S24" i="1"/>
  <c r="P16" i="1"/>
  <c r="Q16" i="1" s="1"/>
  <c r="S16" i="1"/>
  <c r="P8" i="1"/>
  <c r="Q8" i="1" s="1"/>
  <c r="U8" i="1" s="1"/>
  <c r="P2177" i="1"/>
  <c r="Q2177" i="1" s="1"/>
  <c r="S2177" i="1"/>
  <c r="P2173" i="1"/>
  <c r="Q2173" i="1" s="1"/>
  <c r="U2173" i="1" s="1"/>
  <c r="P2165" i="1"/>
  <c r="Q2165" i="1" s="1"/>
  <c r="U2165" i="1" s="1"/>
  <c r="P2161" i="1"/>
  <c r="Q2161" i="1" s="1"/>
  <c r="U2161" i="1" s="1"/>
  <c r="P2157" i="1"/>
  <c r="Q2157" i="1"/>
  <c r="U2157" i="1" s="1"/>
  <c r="P2153" i="1"/>
  <c r="Q2153" i="1" s="1"/>
  <c r="S2153" i="1"/>
  <c r="P2149" i="1"/>
  <c r="Q2149" i="1"/>
  <c r="U2149" i="1" s="1"/>
  <c r="P2145" i="1"/>
  <c r="Q2145" i="1" s="1"/>
  <c r="U2145" i="1" s="1"/>
  <c r="P2141" i="1"/>
  <c r="Q2141" i="1" s="1"/>
  <c r="U2141" i="1" s="1"/>
  <c r="P2133" i="1"/>
  <c r="Q2133" i="1" s="1"/>
  <c r="U2133" i="1" s="1"/>
  <c r="P2129" i="1"/>
  <c r="Q2129" i="1"/>
  <c r="S2129" i="1"/>
  <c r="P2125" i="1"/>
  <c r="Q2125" i="1" s="1"/>
  <c r="S2125" i="1"/>
  <c r="P2117" i="1"/>
  <c r="Q2117" i="1" s="1"/>
  <c r="U2117" i="1" s="1"/>
  <c r="P2113" i="1"/>
  <c r="Q2113" i="1" s="1"/>
  <c r="U2113" i="1" s="1"/>
  <c r="P2109" i="1"/>
  <c r="Q2109" i="1" s="1"/>
  <c r="U2109" i="1" s="1"/>
  <c r="P2105" i="1"/>
  <c r="S2105" i="1"/>
  <c r="P2101" i="1"/>
  <c r="Q2101" i="1" s="1"/>
  <c r="U2101" i="1" s="1"/>
  <c r="P2097" i="1"/>
  <c r="S2097" i="1"/>
  <c r="Q2097" i="1"/>
  <c r="P2093" i="1"/>
  <c r="Q2093" i="1" s="1"/>
  <c r="U2093" i="1" s="1"/>
  <c r="P2085" i="1"/>
  <c r="Q2085" i="1" s="1"/>
  <c r="U2085" i="1" s="1"/>
  <c r="P2081" i="1"/>
  <c r="Q2081" i="1" s="1"/>
  <c r="U2081" i="1" s="1"/>
  <c r="P2077" i="1"/>
  <c r="Q2077" i="1" s="1"/>
  <c r="P2069" i="1"/>
  <c r="Q2069" i="1" s="1"/>
  <c r="U2069" i="1" s="1"/>
  <c r="P2065" i="1"/>
  <c r="Q2065" i="1" s="1"/>
  <c r="U2065" i="1" s="1"/>
  <c r="P2061" i="1"/>
  <c r="Q2061" i="1" s="1"/>
  <c r="U2061" i="1" s="1"/>
  <c r="P2057" i="1"/>
  <c r="Q2057" i="1" s="1"/>
  <c r="S2057" i="1"/>
  <c r="P2053" i="1"/>
  <c r="S2053" i="1"/>
  <c r="Q2053" i="1"/>
  <c r="P2049" i="1"/>
  <c r="Q2049" i="1" s="1"/>
  <c r="U2049" i="1" s="1"/>
  <c r="P2045" i="1"/>
  <c r="Q2045" i="1" s="1"/>
  <c r="U2045" i="1" s="1"/>
  <c r="P2037" i="1"/>
  <c r="Q2037" i="1" s="1"/>
  <c r="U2037" i="1" s="1"/>
  <c r="P2033" i="1"/>
  <c r="Q2033" i="1"/>
  <c r="U2033" i="1" s="1"/>
  <c r="P2029" i="1"/>
  <c r="Q2029" i="1" s="1"/>
  <c r="P2021" i="1"/>
  <c r="Q2021" i="1" s="1"/>
  <c r="U2021" i="1" s="1"/>
  <c r="P2017" i="1"/>
  <c r="Q2017" i="1" s="1"/>
  <c r="U2017" i="1" s="1"/>
  <c r="P2013" i="1"/>
  <c r="S2013" i="1"/>
  <c r="Q2013" i="1"/>
  <c r="P2005" i="1"/>
  <c r="Q2005" i="1" s="1"/>
  <c r="P2001" i="1"/>
  <c r="Q2001" i="1" s="1"/>
  <c r="P1997" i="1"/>
  <c r="Q1997" i="1" s="1"/>
  <c r="U1997" i="1" s="1"/>
  <c r="P1989" i="1"/>
  <c r="Q1989" i="1" s="1"/>
  <c r="U1989" i="1" s="1"/>
  <c r="P1985" i="1"/>
  <c r="Q1985" i="1" s="1"/>
  <c r="U1985" i="1" s="1"/>
  <c r="P1981" i="1"/>
  <c r="Q1981" i="1" s="1"/>
  <c r="U1981" i="1" s="1"/>
  <c r="P1973" i="1"/>
  <c r="Q1973" i="1" s="1"/>
  <c r="S1973" i="1"/>
  <c r="P1969" i="1"/>
  <c r="Q1969" i="1" s="1"/>
  <c r="U1969" i="1" s="1"/>
  <c r="P1965" i="1"/>
  <c r="Q1965" i="1"/>
  <c r="U1965" i="1" s="1"/>
  <c r="P1961" i="1"/>
  <c r="Q1961" i="1" s="1"/>
  <c r="S1961" i="1"/>
  <c r="P1957" i="1"/>
  <c r="Q1957" i="1"/>
  <c r="U1957" i="1" s="1"/>
  <c r="P1953" i="1"/>
  <c r="Q1953" i="1" s="1"/>
  <c r="U1953" i="1" s="1"/>
  <c r="P1949" i="1"/>
  <c r="Q1949" i="1" s="1"/>
  <c r="U1949" i="1" s="1"/>
  <c r="P1941" i="1"/>
  <c r="Q1941" i="1" s="1"/>
  <c r="U1941" i="1" s="1"/>
  <c r="P1937" i="1"/>
  <c r="Q1937" i="1"/>
  <c r="U1937" i="1" s="1"/>
  <c r="P1933" i="1"/>
  <c r="Q1933" i="1" s="1"/>
  <c r="U1933" i="1" s="1"/>
  <c r="P1929" i="1"/>
  <c r="Q1929" i="1" s="1"/>
  <c r="S1929" i="1"/>
  <c r="P1925" i="1"/>
  <c r="Q1925" i="1" s="1"/>
  <c r="U1925" i="1" s="1"/>
  <c r="P1921" i="1"/>
  <c r="S1921" i="1"/>
  <c r="Q1921" i="1"/>
  <c r="P1917" i="1"/>
  <c r="Q1917" i="1" s="1"/>
  <c r="U1917" i="1" s="1"/>
  <c r="P1909" i="1"/>
  <c r="Q1909" i="1" s="1"/>
  <c r="U1909" i="1" s="1"/>
  <c r="P1905" i="1"/>
  <c r="Q1905" i="1" s="1"/>
  <c r="U1905" i="1" s="1"/>
  <c r="P1901" i="1"/>
  <c r="Q1901" i="1" s="1"/>
  <c r="U1901" i="1" s="1"/>
  <c r="P1893" i="1"/>
  <c r="S1893" i="1"/>
  <c r="Q1893" i="1"/>
  <c r="U1893" i="1" s="1"/>
  <c r="P1889" i="1"/>
  <c r="Q1889" i="1" s="1"/>
  <c r="U1889" i="1" s="1"/>
  <c r="P1885" i="1"/>
  <c r="Q1885" i="1" s="1"/>
  <c r="U1885" i="1" s="1"/>
  <c r="P1881" i="1"/>
  <c r="Q1881" i="1" s="1"/>
  <c r="S1881" i="1"/>
  <c r="P1877" i="1"/>
  <c r="Q1877" i="1" s="1"/>
  <c r="U1877" i="1" s="1"/>
  <c r="P1873" i="1"/>
  <c r="Q1873" i="1" s="1"/>
  <c r="P1869" i="1"/>
  <c r="Q1869" i="1"/>
  <c r="U1869" i="1" s="1"/>
  <c r="P1861" i="1"/>
  <c r="Q1861" i="1" s="1"/>
  <c r="U1861" i="1" s="1"/>
  <c r="P1857" i="1"/>
  <c r="Q1857" i="1" s="1"/>
  <c r="U1857" i="1" s="1"/>
  <c r="P1853" i="1"/>
  <c r="Q1853" i="1" s="1"/>
  <c r="P1849" i="1"/>
  <c r="S1849" i="1"/>
  <c r="P1845" i="1"/>
  <c r="Q1845" i="1" s="1"/>
  <c r="U1845" i="1" s="1"/>
  <c r="P1841" i="1"/>
  <c r="Q1841" i="1" s="1"/>
  <c r="U1841" i="1" s="1"/>
  <c r="P1837" i="1"/>
  <c r="Q1837" i="1" s="1"/>
  <c r="U1837" i="1" s="1"/>
  <c r="S1837" i="1"/>
  <c r="P1829" i="1"/>
  <c r="Q1829" i="1" s="1"/>
  <c r="U1829" i="1" s="1"/>
  <c r="P1825" i="1"/>
  <c r="Q1825" i="1" s="1"/>
  <c r="U1825" i="1" s="1"/>
  <c r="P1821" i="1"/>
  <c r="Q1821" i="1" s="1"/>
  <c r="U1821" i="1" s="1"/>
  <c r="P1813" i="1"/>
  <c r="Q1813" i="1" s="1"/>
  <c r="U1813" i="1" s="1"/>
  <c r="P1809" i="1"/>
  <c r="Q1809" i="1" s="1"/>
  <c r="U1809" i="1" s="1"/>
  <c r="P1805" i="1"/>
  <c r="Q1805" i="1" s="1"/>
  <c r="U1805" i="1" s="1"/>
  <c r="P1797" i="1"/>
  <c r="Q1797" i="1" s="1"/>
  <c r="U1797" i="1" s="1"/>
  <c r="P1793" i="1"/>
  <c r="Q1793" i="1" s="1"/>
  <c r="U1793" i="1" s="1"/>
  <c r="P1789" i="1"/>
  <c r="Q1789" i="1" s="1"/>
  <c r="S1789" i="1"/>
  <c r="P1781" i="1"/>
  <c r="Q1781" i="1" s="1"/>
  <c r="U1781" i="1" s="1"/>
  <c r="P1777" i="1"/>
  <c r="Q1777" i="1" s="1"/>
  <c r="S1777" i="1"/>
  <c r="P1773" i="1"/>
  <c r="Q1773" i="1" s="1"/>
  <c r="U1773" i="1" s="1"/>
  <c r="P1765" i="1"/>
  <c r="Q1765" i="1" s="1"/>
  <c r="S1765" i="1"/>
  <c r="P1761" i="1"/>
  <c r="Q1761" i="1" s="1"/>
  <c r="U1761" i="1" s="1"/>
  <c r="P1757" i="1"/>
  <c r="Q1757" i="1"/>
  <c r="U1757" i="1" s="1"/>
  <c r="P1749" i="1"/>
  <c r="Q1749" i="1" s="1"/>
  <c r="U1749" i="1" s="1"/>
  <c r="P1745" i="1"/>
  <c r="Q1745" i="1" s="1"/>
  <c r="U1745" i="1" s="1"/>
  <c r="P1741" i="1"/>
  <c r="Q1741" i="1" s="1"/>
  <c r="U1741" i="1" s="1"/>
  <c r="P1733" i="1"/>
  <c r="Q1733" i="1"/>
  <c r="U1733" i="1" s="1"/>
  <c r="P1729" i="1"/>
  <c r="Q1729" i="1" s="1"/>
  <c r="S1729" i="1"/>
  <c r="P1725" i="1"/>
  <c r="Q1725" i="1" s="1"/>
  <c r="U1725" i="1" s="1"/>
  <c r="P1717" i="1"/>
  <c r="Q1717" i="1" s="1"/>
  <c r="U1717" i="1" s="1"/>
  <c r="P1713" i="1"/>
  <c r="Q1713" i="1" s="1"/>
  <c r="U1713" i="1" s="1"/>
  <c r="P1709" i="1"/>
  <c r="Q1709" i="1" s="1"/>
  <c r="U1709" i="1" s="1"/>
  <c r="P1701" i="1"/>
  <c r="Q1701" i="1" s="1"/>
  <c r="U1701" i="1" s="1"/>
  <c r="P1697" i="1"/>
  <c r="Q1697" i="1" s="1"/>
  <c r="U1697" i="1" s="1"/>
  <c r="P1693" i="1"/>
  <c r="Q1693" i="1" s="1"/>
  <c r="S1693" i="1"/>
  <c r="P1685" i="1"/>
  <c r="Q1685" i="1"/>
  <c r="U1685" i="1" s="1"/>
  <c r="P1681" i="1"/>
  <c r="Q1681" i="1" s="1"/>
  <c r="U1681" i="1" s="1"/>
  <c r="P1677" i="1"/>
  <c r="S1677" i="1"/>
  <c r="Q1677" i="1"/>
  <c r="P1669" i="1"/>
  <c r="Q1669" i="1" s="1"/>
  <c r="U1669" i="1" s="1"/>
  <c r="P1665" i="1"/>
  <c r="Q1665" i="1" s="1"/>
  <c r="S1665" i="1"/>
  <c r="P1661" i="1"/>
  <c r="Q1661" i="1" s="1"/>
  <c r="S1661" i="1"/>
  <c r="P1653" i="1"/>
  <c r="Q1653" i="1" s="1"/>
  <c r="S1653" i="1"/>
  <c r="P1649" i="1"/>
  <c r="Q1649" i="1" s="1"/>
  <c r="U1649" i="1" s="1"/>
  <c r="P1645" i="1"/>
  <c r="Q1645" i="1" s="1"/>
  <c r="U1645" i="1" s="1"/>
  <c r="P1641" i="1"/>
  <c r="S1641" i="1"/>
  <c r="P1637" i="1"/>
  <c r="Q1637" i="1" s="1"/>
  <c r="U1637" i="1" s="1"/>
  <c r="P1633" i="1"/>
  <c r="Q1633" i="1" s="1"/>
  <c r="U1633" i="1" s="1"/>
  <c r="P1629" i="1"/>
  <c r="Q1629" i="1"/>
  <c r="U1629" i="1" s="1"/>
  <c r="P1625" i="1"/>
  <c r="Q1625" i="1" s="1"/>
  <c r="S1625" i="1"/>
  <c r="P1621" i="1"/>
  <c r="Q1621" i="1"/>
  <c r="U1621" i="1" s="1"/>
  <c r="P1617" i="1"/>
  <c r="Q1617" i="1" s="1"/>
  <c r="U1617" i="1" s="1"/>
  <c r="P1613" i="1"/>
  <c r="Q1613" i="1" s="1"/>
  <c r="U1613" i="1" s="1"/>
  <c r="P1609" i="1"/>
  <c r="Q1609" i="1" s="1"/>
  <c r="S1609" i="1"/>
  <c r="P1605" i="1"/>
  <c r="Q1605" i="1" s="1"/>
  <c r="U1605" i="1" s="1"/>
  <c r="P1601" i="1"/>
  <c r="Q1601" i="1" s="1"/>
  <c r="S1601" i="1"/>
  <c r="P1597" i="1"/>
  <c r="Q1597" i="1" s="1"/>
  <c r="S1597" i="1"/>
  <c r="P1589" i="1"/>
  <c r="Q1589" i="1" s="1"/>
  <c r="U1589" i="1" s="1"/>
  <c r="P1585" i="1"/>
  <c r="Q1585" i="1" s="1"/>
  <c r="U1585" i="1" s="1"/>
  <c r="P1581" i="1"/>
  <c r="Q1581" i="1" s="1"/>
  <c r="S1581" i="1"/>
  <c r="P1573" i="1"/>
  <c r="Q1573" i="1" s="1"/>
  <c r="U1573" i="1" s="1"/>
  <c r="P1569" i="1"/>
  <c r="Q1569" i="1" s="1"/>
  <c r="S1569" i="1"/>
  <c r="P1565" i="1"/>
  <c r="Q1565" i="1"/>
  <c r="U1565" i="1" s="1"/>
  <c r="P1557" i="1"/>
  <c r="Q1557" i="1" s="1"/>
  <c r="U1557" i="1" s="1"/>
  <c r="P1553" i="1"/>
  <c r="Q1553" i="1" s="1"/>
  <c r="S1553" i="1"/>
  <c r="P1549" i="1"/>
  <c r="Q1549" i="1" s="1"/>
  <c r="U1549" i="1" s="1"/>
  <c r="P1541" i="1"/>
  <c r="Q1541" i="1" s="1"/>
  <c r="U1541" i="1" s="1"/>
  <c r="P1537" i="1"/>
  <c r="Q1537" i="1" s="1"/>
  <c r="U1537" i="1" s="1"/>
  <c r="P1533" i="1"/>
  <c r="Q1533" i="1" s="1"/>
  <c r="U1533" i="1" s="1"/>
  <c r="P1529" i="1"/>
  <c r="S1529" i="1"/>
  <c r="P1525" i="1"/>
  <c r="Q1525" i="1" s="1"/>
  <c r="U1525" i="1" s="1"/>
  <c r="P1521" i="1"/>
  <c r="S1521" i="1"/>
  <c r="Q1521" i="1"/>
  <c r="P1517" i="1"/>
  <c r="Q1517" i="1" s="1"/>
  <c r="U1517" i="1" s="1"/>
  <c r="P1509" i="1"/>
  <c r="Q1509" i="1" s="1"/>
  <c r="U1509" i="1" s="1"/>
  <c r="P1505" i="1"/>
  <c r="Q1505" i="1" s="1"/>
  <c r="S1505" i="1"/>
  <c r="P1501" i="1"/>
  <c r="Q1501" i="1" s="1"/>
  <c r="U1501" i="1" s="1"/>
  <c r="P1493" i="1"/>
  <c r="Q1493" i="1" s="1"/>
  <c r="U1493" i="1" s="1"/>
  <c r="P1489" i="1"/>
  <c r="Q1489" i="1" s="1"/>
  <c r="P1485" i="1"/>
  <c r="Q1485" i="1" s="1"/>
  <c r="U1485" i="1" s="1"/>
  <c r="P1477" i="1"/>
  <c r="Q1477" i="1" s="1"/>
  <c r="P1473" i="1"/>
  <c r="Q1473" i="1" s="1"/>
  <c r="U1473" i="1" s="1"/>
  <c r="P1469" i="1"/>
  <c r="Q1469" i="1" s="1"/>
  <c r="U1469" i="1" s="1"/>
  <c r="P1461" i="1"/>
  <c r="Q1461" i="1" s="1"/>
  <c r="U1461" i="1" s="1"/>
  <c r="P1457" i="1"/>
  <c r="Q1457" i="1" s="1"/>
  <c r="U1457" i="1" s="1"/>
  <c r="P1453" i="1"/>
  <c r="Q1453" i="1" s="1"/>
  <c r="U1453" i="1" s="1"/>
  <c r="P1445" i="1"/>
  <c r="Q1445" i="1" s="1"/>
  <c r="U1445" i="1" s="1"/>
  <c r="P1441" i="1"/>
  <c r="Q1441" i="1" s="1"/>
  <c r="U1441" i="1" s="1"/>
  <c r="P1437" i="1"/>
  <c r="Q1437" i="1" s="1"/>
  <c r="U1437" i="1" s="1"/>
  <c r="P1433" i="1"/>
  <c r="Q1433" i="1" s="1"/>
  <c r="S1433" i="1"/>
  <c r="P1429" i="1"/>
  <c r="Q1429" i="1"/>
  <c r="U1429" i="1" s="1"/>
  <c r="P1425" i="1"/>
  <c r="Q1425" i="1" s="1"/>
  <c r="U1425" i="1" s="1"/>
  <c r="P1421" i="1"/>
  <c r="Q1421" i="1" s="1"/>
  <c r="U1421" i="1" s="1"/>
  <c r="P1413" i="1"/>
  <c r="Q1413" i="1" s="1"/>
  <c r="P1409" i="1"/>
  <c r="Q1409" i="1" s="1"/>
  <c r="U1409" i="1" s="1"/>
  <c r="P1405" i="1"/>
  <c r="Q1405" i="1" s="1"/>
  <c r="U1405" i="1" s="1"/>
  <c r="P1401" i="1"/>
  <c r="Q1401" i="1" s="1"/>
  <c r="S1401" i="1"/>
  <c r="P1397" i="1"/>
  <c r="Q1397" i="1"/>
  <c r="U1397" i="1" s="1"/>
  <c r="P1393" i="1"/>
  <c r="Q1393" i="1" s="1"/>
  <c r="U1393" i="1" s="1"/>
  <c r="P1389" i="1"/>
  <c r="Q1389" i="1" s="1"/>
  <c r="U1389" i="1" s="1"/>
  <c r="P1381" i="1"/>
  <c r="Q1381" i="1" s="1"/>
  <c r="U1381" i="1" s="1"/>
  <c r="P1377" i="1"/>
  <c r="Q1377" i="1"/>
  <c r="U1377" i="1" s="1"/>
  <c r="P1373" i="1"/>
  <c r="Q1373" i="1" s="1"/>
  <c r="U1373" i="1" s="1"/>
  <c r="P1365" i="1"/>
  <c r="Q1365" i="1" s="1"/>
  <c r="U1365" i="1" s="1"/>
  <c r="P1361" i="1"/>
  <c r="Q1361" i="1" s="1"/>
  <c r="U1361" i="1" s="1"/>
  <c r="P1357" i="1"/>
  <c r="Q1357" i="1"/>
  <c r="U1357" i="1" s="1"/>
  <c r="P1349" i="1"/>
  <c r="Q1349" i="1" s="1"/>
  <c r="U1349" i="1" s="1"/>
  <c r="P1345" i="1"/>
  <c r="Q1345" i="1" s="1"/>
  <c r="U1345" i="1" s="1"/>
  <c r="P1341" i="1"/>
  <c r="Q1341" i="1" s="1"/>
  <c r="U1341" i="1" s="1"/>
  <c r="P1333" i="1"/>
  <c r="Q1333" i="1"/>
  <c r="U1333" i="1" s="1"/>
  <c r="P1329" i="1"/>
  <c r="Q1329" i="1" s="1"/>
  <c r="S1329" i="1"/>
  <c r="P1325" i="1"/>
  <c r="S1325" i="1"/>
  <c r="Q1325" i="1"/>
  <c r="P1317" i="1"/>
  <c r="Q1317" i="1" s="1"/>
  <c r="P1313" i="1"/>
  <c r="Q1313" i="1" s="1"/>
  <c r="U1313" i="1" s="1"/>
  <c r="P1309" i="1"/>
  <c r="Q1309" i="1" s="1"/>
  <c r="U1309" i="1" s="1"/>
  <c r="P1301" i="1"/>
  <c r="Q1301" i="1" s="1"/>
  <c r="U1301" i="1" s="1"/>
  <c r="P1297" i="1"/>
  <c r="Q1297" i="1" s="1"/>
  <c r="U1297" i="1" s="1"/>
  <c r="P1293" i="1"/>
  <c r="Q1293" i="1" s="1"/>
  <c r="U1293" i="1" s="1"/>
  <c r="P1285" i="1"/>
  <c r="Q1285" i="1" s="1"/>
  <c r="S1285" i="1"/>
  <c r="P1281" i="1"/>
  <c r="Q1281" i="1" s="1"/>
  <c r="S1281" i="1"/>
  <c r="P1277" i="1"/>
  <c r="Q1277" i="1" s="1"/>
  <c r="U1277" i="1" s="1"/>
  <c r="P1269" i="1"/>
  <c r="Q1269" i="1" s="1"/>
  <c r="U1269" i="1" s="1"/>
  <c r="P1265" i="1"/>
  <c r="Q1265" i="1" s="1"/>
  <c r="S1265" i="1"/>
  <c r="P1261" i="1"/>
  <c r="Q1261" i="1" s="1"/>
  <c r="U1261" i="1" s="1"/>
  <c r="P1253" i="1"/>
  <c r="Q1253" i="1" s="1"/>
  <c r="U1253" i="1" s="1"/>
  <c r="P1249" i="1"/>
  <c r="Q1249" i="1"/>
  <c r="U1249" i="1" s="1"/>
  <c r="P1245" i="1"/>
  <c r="Q1245" i="1" s="1"/>
  <c r="U1245" i="1" s="1"/>
  <c r="P1237" i="1"/>
  <c r="S1237" i="1"/>
  <c r="Q1237" i="1"/>
  <c r="P1233" i="1"/>
  <c r="Q1233" i="1"/>
  <c r="S1233" i="1"/>
  <c r="P1229" i="1"/>
  <c r="Q1229" i="1" s="1"/>
  <c r="P1221" i="1"/>
  <c r="Q1221" i="1"/>
  <c r="U1221" i="1" s="1"/>
  <c r="P1217" i="1"/>
  <c r="Q1217" i="1" s="1"/>
  <c r="U1217" i="1" s="1"/>
  <c r="P1213" i="1"/>
  <c r="Q1213" i="1" s="1"/>
  <c r="U1213" i="1" s="1"/>
  <c r="P1205" i="1"/>
  <c r="Q1205" i="1" s="1"/>
  <c r="U1205" i="1" s="1"/>
  <c r="P1201" i="1"/>
  <c r="Q1201" i="1"/>
  <c r="U1201" i="1" s="1"/>
  <c r="P1197" i="1"/>
  <c r="Q1197" i="1" s="1"/>
  <c r="U1197" i="1" s="1"/>
  <c r="P1189" i="1"/>
  <c r="Q1189" i="1" s="1"/>
  <c r="S1189" i="1"/>
  <c r="P1185" i="1"/>
  <c r="Q1185" i="1"/>
  <c r="U1185" i="1" s="1"/>
  <c r="P1181" i="1"/>
  <c r="Q1181" i="1" s="1"/>
  <c r="U1181" i="1" s="1"/>
  <c r="P1173" i="1"/>
  <c r="Q1173" i="1" s="1"/>
  <c r="P1169" i="1"/>
  <c r="Q1169" i="1" s="1"/>
  <c r="S1169" i="1"/>
  <c r="P1165" i="1"/>
  <c r="Q1165" i="1" s="1"/>
  <c r="U1165" i="1" s="1"/>
  <c r="P1157" i="1"/>
  <c r="Q1157" i="1" s="1"/>
  <c r="U1157" i="1" s="1"/>
  <c r="P1153" i="1"/>
  <c r="Q1153" i="1"/>
  <c r="U1153" i="1" s="1"/>
  <c r="P1149" i="1"/>
  <c r="Q1149" i="1" s="1"/>
  <c r="S1149" i="1"/>
  <c r="P1141" i="1"/>
  <c r="Q1141" i="1"/>
  <c r="S1141" i="1"/>
  <c r="P1137" i="1"/>
  <c r="S1137" i="1"/>
  <c r="Q1137" i="1"/>
  <c r="P1133" i="1"/>
  <c r="Q1133" i="1" s="1"/>
  <c r="S1133" i="1"/>
  <c r="P1125" i="1"/>
  <c r="Q1125" i="1" s="1"/>
  <c r="U1125" i="1" s="1"/>
  <c r="P1121" i="1"/>
  <c r="Q1121" i="1"/>
  <c r="U1121" i="1" s="1"/>
  <c r="P1117" i="1"/>
  <c r="Q1117" i="1" s="1"/>
  <c r="U1117" i="1" s="1"/>
  <c r="P1109" i="1"/>
  <c r="Q1109" i="1" s="1"/>
  <c r="U1109" i="1" s="1"/>
  <c r="P1105" i="1"/>
  <c r="Q1105" i="1" s="1"/>
  <c r="S1105" i="1"/>
  <c r="P1101" i="1"/>
  <c r="Q1101" i="1" s="1"/>
  <c r="U1101" i="1" s="1"/>
  <c r="P1093" i="1"/>
  <c r="Q1093" i="1" s="1"/>
  <c r="S1093" i="1"/>
  <c r="P1089" i="1"/>
  <c r="Q1089" i="1" s="1"/>
  <c r="U1089" i="1" s="1"/>
  <c r="P1085" i="1"/>
  <c r="Q1085" i="1"/>
  <c r="U1085" i="1" s="1"/>
  <c r="P1077" i="1"/>
  <c r="Q1077" i="1" s="1"/>
  <c r="U1077" i="1" s="1"/>
  <c r="P1073" i="1"/>
  <c r="Q1073" i="1" s="1"/>
  <c r="U1073" i="1" s="1"/>
  <c r="P1069" i="1"/>
  <c r="Q1069" i="1" s="1"/>
  <c r="U1069" i="1" s="1"/>
  <c r="P1065" i="1"/>
  <c r="S1065" i="1"/>
  <c r="Q1065" i="1"/>
  <c r="P1061" i="1"/>
  <c r="Q1061" i="1" s="1"/>
  <c r="S1061" i="1"/>
  <c r="P1057" i="1"/>
  <c r="Q1057" i="1" s="1"/>
  <c r="S1057" i="1"/>
  <c r="P1053" i="1"/>
  <c r="Q1053" i="1"/>
  <c r="S1053" i="1"/>
  <c r="P1049" i="1"/>
  <c r="Q1049" i="1" s="1"/>
  <c r="U1049" i="1" s="1"/>
  <c r="P1045" i="1"/>
  <c r="Q1045" i="1" s="1"/>
  <c r="S1045" i="1"/>
  <c r="P1041" i="1"/>
  <c r="Q1041" i="1" s="1"/>
  <c r="U1041" i="1" s="1"/>
  <c r="P1037" i="1"/>
  <c r="Q1037" i="1" s="1"/>
  <c r="U1037" i="1" s="1"/>
  <c r="P1033" i="1"/>
  <c r="Q1033" i="1"/>
  <c r="U1033" i="1" s="1"/>
  <c r="P1029" i="1"/>
  <c r="Q1029" i="1" s="1"/>
  <c r="S1029" i="1"/>
  <c r="P1025" i="1"/>
  <c r="Q1025" i="1"/>
  <c r="U1025" i="1" s="1"/>
  <c r="P1021" i="1"/>
  <c r="Q1021" i="1" s="1"/>
  <c r="P1017" i="1"/>
  <c r="Q1017" i="1" s="1"/>
  <c r="U1017" i="1" s="1"/>
  <c r="P1013" i="1"/>
  <c r="Q1013" i="1" s="1"/>
  <c r="P1009" i="1"/>
  <c r="Q1009" i="1" s="1"/>
  <c r="U1009" i="1" s="1"/>
  <c r="P1005" i="1"/>
  <c r="Q1005" i="1" s="1"/>
  <c r="U1005" i="1" s="1"/>
  <c r="P1001" i="1"/>
  <c r="Q1001" i="1" s="1"/>
  <c r="U1001" i="1" s="1"/>
  <c r="P993" i="1"/>
  <c r="Q993" i="1" s="1"/>
  <c r="U993" i="1" s="1"/>
  <c r="P989" i="1"/>
  <c r="Q989" i="1"/>
  <c r="U989" i="1" s="1"/>
  <c r="P985" i="1"/>
  <c r="Q985" i="1" s="1"/>
  <c r="U985" i="1" s="1"/>
  <c r="P981" i="1"/>
  <c r="Q981" i="1" s="1"/>
  <c r="U981" i="1" s="1"/>
  <c r="P977" i="1"/>
  <c r="Q977" i="1" s="1"/>
  <c r="U977" i="1" s="1"/>
  <c r="P973" i="1"/>
  <c r="Q973" i="1" s="1"/>
  <c r="U973" i="1" s="1"/>
  <c r="P969" i="1"/>
  <c r="Q969" i="1" s="1"/>
  <c r="U969" i="1" s="1"/>
  <c r="P961" i="1"/>
  <c r="Q961" i="1" s="1"/>
  <c r="P957" i="1"/>
  <c r="Q957" i="1" s="1"/>
  <c r="U957" i="1" s="1"/>
  <c r="P953" i="1"/>
  <c r="Q953" i="1"/>
  <c r="U953" i="1" s="1"/>
  <c r="P949" i="1"/>
  <c r="Q949" i="1" s="1"/>
  <c r="U949" i="1" s="1"/>
  <c r="P945" i="1"/>
  <c r="Q945" i="1" s="1"/>
  <c r="U945" i="1" s="1"/>
  <c r="P941" i="1"/>
  <c r="Q941" i="1" s="1"/>
  <c r="U941" i="1" s="1"/>
  <c r="P937" i="1"/>
  <c r="Q937" i="1" s="1"/>
  <c r="U937" i="1" s="1"/>
  <c r="P929" i="1"/>
  <c r="Q929" i="1" s="1"/>
  <c r="S929" i="1"/>
  <c r="P925" i="1"/>
  <c r="Q925" i="1" s="1"/>
  <c r="U925" i="1" s="1"/>
  <c r="P921" i="1"/>
  <c r="Q921" i="1" s="1"/>
  <c r="P917" i="1"/>
  <c r="Q917" i="1"/>
  <c r="U917" i="1" s="1"/>
  <c r="P913" i="1"/>
  <c r="Q913" i="1" s="1"/>
  <c r="U913" i="1" s="1"/>
  <c r="P909" i="1"/>
  <c r="Q909" i="1" s="1"/>
  <c r="S909" i="1"/>
  <c r="P905" i="1"/>
  <c r="Q905" i="1"/>
  <c r="U905" i="1" s="1"/>
  <c r="S905" i="1"/>
  <c r="P897" i="1"/>
  <c r="Q897" i="1" s="1"/>
  <c r="U897" i="1" s="1"/>
  <c r="P893" i="1"/>
  <c r="Q893" i="1"/>
  <c r="U893" i="1" s="1"/>
  <c r="P889" i="1"/>
  <c r="Q889" i="1" s="1"/>
  <c r="U889" i="1" s="1"/>
  <c r="P885" i="1"/>
  <c r="Q885" i="1" s="1"/>
  <c r="U885" i="1" s="1"/>
  <c r="P881" i="1"/>
  <c r="Q881" i="1"/>
  <c r="U881" i="1" s="1"/>
  <c r="P877" i="1"/>
  <c r="Q877" i="1" s="1"/>
  <c r="U877" i="1" s="1"/>
  <c r="P873" i="1"/>
  <c r="Q873" i="1"/>
  <c r="U873" i="1" s="1"/>
  <c r="P865" i="1"/>
  <c r="Q865" i="1" s="1"/>
  <c r="U865" i="1" s="1"/>
  <c r="P861" i="1"/>
  <c r="Q861" i="1" s="1"/>
  <c r="U861" i="1" s="1"/>
  <c r="P857" i="1"/>
  <c r="Q857" i="1" s="1"/>
  <c r="U857" i="1" s="1"/>
  <c r="P853" i="1"/>
  <c r="Q853" i="1" s="1"/>
  <c r="S853" i="1"/>
  <c r="P849" i="1"/>
  <c r="Q849" i="1" s="1"/>
  <c r="S849" i="1"/>
  <c r="P845" i="1"/>
  <c r="Q845" i="1" s="1"/>
  <c r="U845" i="1" s="1"/>
  <c r="P841" i="1"/>
  <c r="Q841" i="1" s="1"/>
  <c r="S841" i="1"/>
  <c r="P833" i="1"/>
  <c r="Q833" i="1" s="1"/>
  <c r="U833" i="1" s="1"/>
  <c r="P829" i="1"/>
  <c r="Q829" i="1"/>
  <c r="U829" i="1" s="1"/>
  <c r="P825" i="1"/>
  <c r="Q825" i="1" s="1"/>
  <c r="P821" i="1"/>
  <c r="S821" i="1"/>
  <c r="Q821" i="1"/>
  <c r="U821" i="1" s="1"/>
  <c r="P817" i="1"/>
  <c r="Q817" i="1" s="1"/>
  <c r="S817" i="1"/>
  <c r="P813" i="1"/>
  <c r="Q813" i="1" s="1"/>
  <c r="U813" i="1" s="1"/>
  <c r="P809" i="1"/>
  <c r="Q809" i="1" s="1"/>
  <c r="U809" i="1" s="1"/>
  <c r="P805" i="1"/>
  <c r="Q805" i="1" s="1"/>
  <c r="S805" i="1"/>
  <c r="P801" i="1"/>
  <c r="Q801" i="1" s="1"/>
  <c r="S801" i="1"/>
  <c r="P797" i="1"/>
  <c r="Q797" i="1" s="1"/>
  <c r="U797" i="1" s="1"/>
  <c r="P793" i="1"/>
  <c r="Q793" i="1" s="1"/>
  <c r="U793" i="1" s="1"/>
  <c r="P789" i="1"/>
  <c r="Q789" i="1" s="1"/>
  <c r="U789" i="1" s="1"/>
  <c r="P785" i="1"/>
  <c r="Q785" i="1" s="1"/>
  <c r="U785" i="1" s="1"/>
  <c r="P781" i="1"/>
  <c r="Q781" i="1" s="1"/>
  <c r="U781" i="1" s="1"/>
  <c r="S781" i="1"/>
  <c r="P777" i="1"/>
  <c r="Q777" i="1"/>
  <c r="U777" i="1" s="1"/>
  <c r="P769" i="1"/>
  <c r="Q769" i="1" s="1"/>
  <c r="U769" i="1" s="1"/>
  <c r="P765" i="1"/>
  <c r="Q765" i="1"/>
  <c r="U765" i="1" s="1"/>
  <c r="P761" i="1"/>
  <c r="Q761" i="1" s="1"/>
  <c r="U761" i="1" s="1"/>
  <c r="P757" i="1"/>
  <c r="Q757" i="1"/>
  <c r="U757" i="1" s="1"/>
  <c r="P753" i="1"/>
  <c r="Q753" i="1" s="1"/>
  <c r="U753" i="1" s="1"/>
  <c r="P749" i="1"/>
  <c r="Q749" i="1"/>
  <c r="U749" i="1" s="1"/>
  <c r="P741" i="1"/>
  <c r="Q741" i="1" s="1"/>
  <c r="U741" i="1" s="1"/>
  <c r="P737" i="1"/>
  <c r="Q737" i="1"/>
  <c r="U737" i="1" s="1"/>
  <c r="P733" i="1"/>
  <c r="Q733" i="1" s="1"/>
  <c r="U733" i="1" s="1"/>
  <c r="P729" i="1"/>
  <c r="Q729" i="1"/>
  <c r="S729" i="1"/>
  <c r="P725" i="1"/>
  <c r="Q725" i="1" s="1"/>
  <c r="P721" i="1"/>
  <c r="Q721" i="1" s="1"/>
  <c r="S721" i="1"/>
  <c r="P717" i="1"/>
  <c r="Q717" i="1" s="1"/>
  <c r="U717" i="1" s="1"/>
  <c r="P713" i="1"/>
  <c r="Q713" i="1"/>
  <c r="S713" i="1"/>
  <c r="P709" i="1"/>
  <c r="Q709" i="1" s="1"/>
  <c r="U709" i="1" s="1"/>
  <c r="P705" i="1"/>
  <c r="Q705" i="1" s="1"/>
  <c r="S705" i="1"/>
  <c r="P701" i="1"/>
  <c r="Q701" i="1" s="1"/>
  <c r="P697" i="1"/>
  <c r="Q697" i="1"/>
  <c r="U697" i="1" s="1"/>
  <c r="P693" i="1"/>
  <c r="Q693" i="1" s="1"/>
  <c r="U693" i="1" s="1"/>
  <c r="P689" i="1"/>
  <c r="Q689" i="1"/>
  <c r="P685" i="1"/>
  <c r="Q685" i="1" s="1"/>
  <c r="P681" i="1"/>
  <c r="Q681" i="1" s="1"/>
  <c r="S681" i="1"/>
  <c r="P677" i="1"/>
  <c r="Q677" i="1" s="1"/>
  <c r="U677" i="1" s="1"/>
  <c r="P673" i="1"/>
  <c r="Q673" i="1"/>
  <c r="S673" i="1"/>
  <c r="P669" i="1"/>
  <c r="Q669" i="1" s="1"/>
  <c r="U669" i="1" s="1"/>
  <c r="P665" i="1"/>
  <c r="Q665" i="1" s="1"/>
  <c r="S665" i="1"/>
  <c r="P661" i="1"/>
  <c r="Q661" i="1" s="1"/>
  <c r="U661" i="1" s="1"/>
  <c r="P657" i="1"/>
  <c r="Q657" i="1"/>
  <c r="U657" i="1" s="1"/>
  <c r="P653" i="1"/>
  <c r="Q653" i="1" s="1"/>
  <c r="U653" i="1" s="1"/>
  <c r="P649" i="1"/>
  <c r="Q649" i="1" s="1"/>
  <c r="S649" i="1"/>
  <c r="P645" i="1"/>
  <c r="Q645" i="1" s="1"/>
  <c r="U645" i="1" s="1"/>
  <c r="P641" i="1"/>
  <c r="Q641" i="1" s="1"/>
  <c r="S641" i="1"/>
  <c r="P637" i="1"/>
  <c r="Q637" i="1"/>
  <c r="U637" i="1" s="1"/>
  <c r="P633" i="1"/>
  <c r="S633" i="1"/>
  <c r="Q633" i="1"/>
  <c r="P629" i="1"/>
  <c r="Q629" i="1" s="1"/>
  <c r="U629" i="1" s="1"/>
  <c r="P625" i="1"/>
  <c r="Q625" i="1" s="1"/>
  <c r="U625" i="1" s="1"/>
  <c r="P621" i="1"/>
  <c r="Q621" i="1" s="1"/>
  <c r="U621" i="1" s="1"/>
  <c r="P613" i="1"/>
  <c r="Q613" i="1" s="1"/>
  <c r="U613" i="1" s="1"/>
  <c r="P609" i="1"/>
  <c r="Q609" i="1" s="1"/>
  <c r="U609" i="1" s="1"/>
  <c r="P605" i="1"/>
  <c r="Q605" i="1" s="1"/>
  <c r="U605" i="1" s="1"/>
  <c r="P601" i="1"/>
  <c r="Q601" i="1" s="1"/>
  <c r="U601" i="1" s="1"/>
  <c r="P597" i="1"/>
  <c r="Q597" i="1" s="1"/>
  <c r="S597" i="1"/>
  <c r="P593" i="1"/>
  <c r="Q593" i="1" s="1"/>
  <c r="U593" i="1" s="1"/>
  <c r="P589" i="1"/>
  <c r="Q589" i="1"/>
  <c r="U589" i="1" s="1"/>
  <c r="P585" i="1"/>
  <c r="S585" i="1"/>
  <c r="Q585" i="1"/>
  <c r="P581" i="1"/>
  <c r="Q581" i="1" s="1"/>
  <c r="U581" i="1" s="1"/>
  <c r="P577" i="1"/>
  <c r="Q577" i="1" s="1"/>
  <c r="U577" i="1" s="1"/>
  <c r="P573" i="1"/>
  <c r="Q573" i="1" s="1"/>
  <c r="U573" i="1" s="1"/>
  <c r="P569" i="1"/>
  <c r="Q569" i="1" s="1"/>
  <c r="U569" i="1" s="1"/>
  <c r="P565" i="1"/>
  <c r="Q565" i="1" s="1"/>
  <c r="U565" i="1" s="1"/>
  <c r="P561" i="1"/>
  <c r="Q561" i="1" s="1"/>
  <c r="S561" i="1"/>
  <c r="P557" i="1"/>
  <c r="Q557" i="1"/>
  <c r="U557" i="1" s="1"/>
  <c r="P549" i="1"/>
  <c r="Q549" i="1" s="1"/>
  <c r="P545" i="1"/>
  <c r="Q545" i="1"/>
  <c r="U545" i="1" s="1"/>
  <c r="P541" i="1"/>
  <c r="Q541" i="1" s="1"/>
  <c r="U541" i="1" s="1"/>
  <c r="P537" i="1"/>
  <c r="Q537" i="1" s="1"/>
  <c r="U537" i="1" s="1"/>
  <c r="P533" i="1"/>
  <c r="Q533" i="1" s="1"/>
  <c r="U533" i="1" s="1"/>
  <c r="P529" i="1"/>
  <c r="Q529" i="1"/>
  <c r="U529" i="1" s="1"/>
  <c r="P525" i="1"/>
  <c r="Q525" i="1" s="1"/>
  <c r="U525" i="1" s="1"/>
  <c r="P521" i="1"/>
  <c r="Q521" i="1"/>
  <c r="U521" i="1" s="1"/>
  <c r="P517" i="1"/>
  <c r="Q517" i="1" s="1"/>
  <c r="U517" i="1" s="1"/>
  <c r="P513" i="1"/>
  <c r="Q513" i="1"/>
  <c r="U513" i="1" s="1"/>
  <c r="P509" i="1"/>
  <c r="Q509" i="1" s="1"/>
  <c r="U509" i="1" s="1"/>
  <c r="P505" i="1"/>
  <c r="Q505" i="1" s="1"/>
  <c r="S505" i="1"/>
  <c r="P501" i="1"/>
  <c r="Q501" i="1" s="1"/>
  <c r="S501" i="1"/>
  <c r="P497" i="1"/>
  <c r="Q497" i="1" s="1"/>
  <c r="U497" i="1" s="1"/>
  <c r="S497" i="1"/>
  <c r="P493" i="1"/>
  <c r="Q493" i="1" s="1"/>
  <c r="S493" i="1"/>
  <c r="P489" i="1"/>
  <c r="Q489" i="1" s="1"/>
  <c r="S489" i="1"/>
  <c r="P485" i="1"/>
  <c r="Q485" i="1"/>
  <c r="U485" i="1" s="1"/>
  <c r="P481" i="1"/>
  <c r="Q481" i="1" s="1"/>
  <c r="U481" i="1" s="1"/>
  <c r="P477" i="1"/>
  <c r="Q477" i="1" s="1"/>
  <c r="S477" i="1"/>
  <c r="P473" i="1"/>
  <c r="Q473" i="1" s="1"/>
  <c r="U473" i="1" s="1"/>
  <c r="P469" i="1"/>
  <c r="Q469" i="1" s="1"/>
  <c r="U469" i="1" s="1"/>
  <c r="P465" i="1"/>
  <c r="Q465" i="1" s="1"/>
  <c r="U465" i="1" s="1"/>
  <c r="P461" i="1"/>
  <c r="Q461" i="1" s="1"/>
  <c r="S461" i="1"/>
  <c r="P457" i="1"/>
  <c r="Q457" i="1"/>
  <c r="U457" i="1" s="1"/>
  <c r="P453" i="1"/>
  <c r="Q453" i="1" s="1"/>
  <c r="S453" i="1"/>
  <c r="P449" i="1"/>
  <c r="Q449" i="1" s="1"/>
  <c r="U449" i="1" s="1"/>
  <c r="P445" i="1"/>
  <c r="Q445" i="1" s="1"/>
  <c r="S445" i="1"/>
  <c r="P441" i="1"/>
  <c r="Q441" i="1"/>
  <c r="U441" i="1" s="1"/>
  <c r="P437" i="1"/>
  <c r="Q437" i="1" s="1"/>
  <c r="S437" i="1"/>
  <c r="P433" i="1"/>
  <c r="Q433" i="1" s="1"/>
  <c r="U433" i="1" s="1"/>
  <c r="P429" i="1"/>
  <c r="Q429" i="1" s="1"/>
  <c r="U429" i="1" s="1"/>
  <c r="P421" i="1"/>
  <c r="Q421" i="1" s="1"/>
  <c r="U421" i="1" s="1"/>
  <c r="P417" i="1"/>
  <c r="S417" i="1"/>
  <c r="Q417" i="1"/>
  <c r="U417" i="1" s="1"/>
  <c r="P413" i="1"/>
  <c r="Q413" i="1" s="1"/>
  <c r="S413" i="1"/>
  <c r="P409" i="1"/>
  <c r="Q409" i="1" s="1"/>
  <c r="U409" i="1" s="1"/>
  <c r="P405" i="1"/>
  <c r="Q405" i="1" s="1"/>
  <c r="U405" i="1" s="1"/>
  <c r="S405" i="1"/>
  <c r="P401" i="1"/>
  <c r="Q401" i="1" s="1"/>
  <c r="S401" i="1"/>
  <c r="P397" i="1"/>
  <c r="Q397" i="1" s="1"/>
  <c r="S397" i="1"/>
  <c r="P393" i="1"/>
  <c r="Q393" i="1"/>
  <c r="U393" i="1" s="1"/>
  <c r="P389" i="1"/>
  <c r="Q389" i="1" s="1"/>
  <c r="U389" i="1" s="1"/>
  <c r="P385" i="1"/>
  <c r="Q385" i="1"/>
  <c r="U385" i="1" s="1"/>
  <c r="P381" i="1"/>
  <c r="Q381" i="1" s="1"/>
  <c r="S381" i="1"/>
  <c r="P377" i="1"/>
  <c r="Q377" i="1" s="1"/>
  <c r="U377" i="1" s="1"/>
  <c r="P373" i="1"/>
  <c r="Q373" i="1" s="1"/>
  <c r="U373" i="1" s="1"/>
  <c r="P369" i="1"/>
  <c r="Q369" i="1" s="1"/>
  <c r="U369" i="1" s="1"/>
  <c r="P365" i="1"/>
  <c r="Q365" i="1" s="1"/>
  <c r="U365" i="1" s="1"/>
  <c r="P357" i="1"/>
  <c r="Q357" i="1" s="1"/>
  <c r="U357" i="1" s="1"/>
  <c r="P353" i="1"/>
  <c r="Q353" i="1" s="1"/>
  <c r="U353" i="1" s="1"/>
  <c r="P349" i="1"/>
  <c r="Q349" i="1" s="1"/>
  <c r="U349" i="1" s="1"/>
  <c r="P345" i="1"/>
  <c r="S345" i="1"/>
  <c r="Q345" i="1"/>
  <c r="P341" i="1"/>
  <c r="Q341" i="1" s="1"/>
  <c r="U341" i="1" s="1"/>
  <c r="P337" i="1"/>
  <c r="Q337" i="1" s="1"/>
  <c r="S337" i="1"/>
  <c r="P333" i="1"/>
  <c r="Q333" i="1" s="1"/>
  <c r="U333" i="1" s="1"/>
  <c r="P329" i="1"/>
  <c r="Q329" i="1" s="1"/>
  <c r="U329" i="1" s="1"/>
  <c r="P325" i="1"/>
  <c r="Q325" i="1" s="1"/>
  <c r="U325" i="1" s="1"/>
  <c r="S325" i="1"/>
  <c r="P321" i="1"/>
  <c r="Q321" i="1"/>
  <c r="U321" i="1" s="1"/>
  <c r="P317" i="1"/>
  <c r="Q317" i="1"/>
  <c r="U317" i="1" s="1"/>
  <c r="P313" i="1"/>
  <c r="Q313" i="1"/>
  <c r="U313" i="1" s="1"/>
  <c r="P309" i="1"/>
  <c r="Q309" i="1"/>
  <c r="U309" i="1" s="1"/>
  <c r="P305" i="1"/>
  <c r="Q305" i="1"/>
  <c r="U305" i="1" s="1"/>
  <c r="P301" i="1"/>
  <c r="Q301" i="1"/>
  <c r="U301" i="1" s="1"/>
  <c r="P293" i="1"/>
  <c r="Q293" i="1"/>
  <c r="U293" i="1" s="1"/>
  <c r="P289" i="1"/>
  <c r="Q289" i="1"/>
  <c r="U289" i="1" s="1"/>
  <c r="P285" i="1"/>
  <c r="Q285" i="1" s="1"/>
  <c r="S285" i="1"/>
  <c r="P281" i="1"/>
  <c r="Q281" i="1" s="1"/>
  <c r="S281" i="1"/>
  <c r="P277" i="1"/>
  <c r="Q277" i="1" s="1"/>
  <c r="S277" i="1"/>
  <c r="P273" i="1"/>
  <c r="Q273" i="1" s="1"/>
  <c r="U273" i="1" s="1"/>
  <c r="P269" i="1"/>
  <c r="Q269" i="1" s="1"/>
  <c r="S269" i="1"/>
  <c r="P265" i="1"/>
  <c r="Q265" i="1"/>
  <c r="U265" i="1" s="1"/>
  <c r="P261" i="1"/>
  <c r="Q261" i="1"/>
  <c r="U261" i="1" s="1"/>
  <c r="P257" i="1"/>
  <c r="Q257" i="1"/>
  <c r="U257" i="1" s="1"/>
  <c r="P253" i="1"/>
  <c r="Q253" i="1" s="1"/>
  <c r="S253" i="1"/>
  <c r="P249" i="1"/>
  <c r="Q249" i="1" s="1"/>
  <c r="U249" i="1" s="1"/>
  <c r="P245" i="1"/>
  <c r="Q245" i="1" s="1"/>
  <c r="U245" i="1" s="1"/>
  <c r="S245" i="1"/>
  <c r="P241" i="1"/>
  <c r="Q241" i="1" s="1"/>
  <c r="S241" i="1"/>
  <c r="P237" i="1"/>
  <c r="Q237" i="1" s="1"/>
  <c r="U237" i="1" s="1"/>
  <c r="P229" i="1"/>
  <c r="Q229" i="1" s="1"/>
  <c r="U229" i="1" s="1"/>
  <c r="P225" i="1"/>
  <c r="Q225" i="1" s="1"/>
  <c r="U225" i="1" s="1"/>
  <c r="P221" i="1"/>
  <c r="Q221" i="1" s="1"/>
  <c r="U221" i="1" s="1"/>
  <c r="P217" i="1"/>
  <c r="Q217" i="1" s="1"/>
  <c r="U217" i="1" s="1"/>
  <c r="P213" i="1"/>
  <c r="Q213" i="1" s="1"/>
  <c r="U213" i="1" s="1"/>
  <c r="P209" i="1"/>
  <c r="Q209" i="1" s="1"/>
  <c r="U209" i="1" s="1"/>
  <c r="P205" i="1"/>
  <c r="Q205" i="1" s="1"/>
  <c r="U205" i="1" s="1"/>
  <c r="P201" i="1"/>
  <c r="Q201" i="1" s="1"/>
  <c r="U201" i="1" s="1"/>
  <c r="P197" i="1"/>
  <c r="Q197" i="1" s="1"/>
  <c r="U197" i="1" s="1"/>
  <c r="P193" i="1"/>
  <c r="Q193" i="1" s="1"/>
  <c r="S193" i="1"/>
  <c r="P189" i="1"/>
  <c r="Q189" i="1"/>
  <c r="U189" i="1" s="1"/>
  <c r="P185" i="1"/>
  <c r="Q185" i="1"/>
  <c r="U185" i="1" s="1"/>
  <c r="P181" i="1"/>
  <c r="Q181" i="1"/>
  <c r="U181" i="1" s="1"/>
  <c r="P177" i="1"/>
  <c r="Q177" i="1"/>
  <c r="U177" i="1" s="1"/>
  <c r="P173" i="1"/>
  <c r="Q173" i="1" s="1"/>
  <c r="S173" i="1"/>
  <c r="P165" i="1"/>
  <c r="Q165" i="1" s="1"/>
  <c r="U165" i="1" s="1"/>
  <c r="P161" i="1"/>
  <c r="Q161" i="1" s="1"/>
  <c r="U161" i="1" s="1"/>
  <c r="P157" i="1"/>
  <c r="Q157" i="1" s="1"/>
  <c r="U157" i="1" s="1"/>
  <c r="P153" i="1"/>
  <c r="Q153" i="1" s="1"/>
  <c r="U153" i="1" s="1"/>
  <c r="P149" i="1"/>
  <c r="Q149" i="1" s="1"/>
  <c r="S149" i="1"/>
  <c r="P145" i="1"/>
  <c r="Q145" i="1"/>
  <c r="U145" i="1" s="1"/>
  <c r="P141" i="1"/>
  <c r="Q141" i="1" s="1"/>
  <c r="S141" i="1"/>
  <c r="P137" i="1"/>
  <c r="Q137" i="1" s="1"/>
  <c r="U137" i="1" s="1"/>
  <c r="P133" i="1"/>
  <c r="Q133" i="1" s="1"/>
  <c r="U133" i="1" s="1"/>
  <c r="P129" i="1"/>
  <c r="Q129" i="1" s="1"/>
  <c r="U129" i="1" s="1"/>
  <c r="P125" i="1"/>
  <c r="Q125" i="1" s="1"/>
  <c r="S125" i="1"/>
  <c r="P121" i="1"/>
  <c r="Q121" i="1" s="1"/>
  <c r="S121" i="1"/>
  <c r="P117" i="1"/>
  <c r="Q117" i="1" s="1"/>
  <c r="U117" i="1" s="1"/>
  <c r="P113" i="1"/>
  <c r="Q113" i="1" s="1"/>
  <c r="U113" i="1" s="1"/>
  <c r="P109" i="1"/>
  <c r="Q109" i="1" s="1"/>
  <c r="U109" i="1" s="1"/>
  <c r="P105" i="1"/>
  <c r="Q105" i="1" s="1"/>
  <c r="S105" i="1"/>
  <c r="P101" i="1"/>
  <c r="Q101" i="1" s="1"/>
  <c r="S101" i="1"/>
  <c r="P97" i="1"/>
  <c r="Q97" i="1" s="1"/>
  <c r="U97" i="1" s="1"/>
  <c r="P93" i="1"/>
  <c r="Q93" i="1" s="1"/>
  <c r="U93" i="1" s="1"/>
  <c r="P89" i="1"/>
  <c r="Q89" i="1"/>
  <c r="U89" i="1" s="1"/>
  <c r="P85" i="1"/>
  <c r="Q85" i="1" s="1"/>
  <c r="U85" i="1" s="1"/>
  <c r="P81" i="1"/>
  <c r="Q81" i="1"/>
  <c r="U81" i="1" s="1"/>
  <c r="P77" i="1"/>
  <c r="Q77" i="1" s="1"/>
  <c r="S77" i="1"/>
  <c r="P73" i="1"/>
  <c r="Q73" i="1" s="1"/>
  <c r="U73" i="1" s="1"/>
  <c r="P69" i="1"/>
  <c r="Q69" i="1" s="1"/>
  <c r="U69" i="1" s="1"/>
  <c r="S69" i="1"/>
  <c r="P65" i="1"/>
  <c r="S65" i="1"/>
  <c r="Q65" i="1"/>
  <c r="P61" i="1"/>
  <c r="S61" i="1"/>
  <c r="Q61" i="1"/>
  <c r="U61" i="1" s="1"/>
  <c r="P57" i="1"/>
  <c r="Q57" i="1" s="1"/>
  <c r="U57" i="1" s="1"/>
  <c r="S57" i="1"/>
  <c r="P53" i="1"/>
  <c r="Q53" i="1" s="1"/>
  <c r="U53" i="1" s="1"/>
  <c r="P49" i="1"/>
  <c r="Q49" i="1" s="1"/>
  <c r="U49" i="1" s="1"/>
  <c r="P45" i="1"/>
  <c r="Q45" i="1" s="1"/>
  <c r="U45" i="1" s="1"/>
  <c r="S45" i="1"/>
  <c r="P41" i="1"/>
  <c r="Q41" i="1" s="1"/>
  <c r="S41" i="1"/>
  <c r="P37" i="1"/>
  <c r="Q37" i="1" s="1"/>
  <c r="U37" i="1" s="1"/>
  <c r="P33" i="1"/>
  <c r="Q33" i="1"/>
  <c r="U33" i="1" s="1"/>
  <c r="P29" i="1"/>
  <c r="Q29" i="1" s="1"/>
  <c r="U29" i="1" s="1"/>
  <c r="P25" i="1"/>
  <c r="Q25" i="1" s="1"/>
  <c r="U25" i="1" s="1"/>
  <c r="P21" i="1"/>
  <c r="Q21" i="1" s="1"/>
  <c r="U21" i="1" s="1"/>
  <c r="P17" i="1"/>
  <c r="Q17" i="1" s="1"/>
  <c r="S17" i="1"/>
  <c r="P13" i="1"/>
  <c r="S13" i="1"/>
  <c r="Q13" i="1"/>
  <c r="P9" i="1"/>
  <c r="Q9" i="1" s="1"/>
  <c r="S9" i="1"/>
  <c r="P5" i="1"/>
  <c r="Q5" i="1" s="1"/>
  <c r="S5" i="1"/>
  <c r="Q2169" i="1"/>
  <c r="U2169" i="1" s="1"/>
  <c r="Q2127" i="1"/>
  <c r="U2127" i="1" s="1"/>
  <c r="Q2105" i="1"/>
  <c r="Q2084" i="1"/>
  <c r="Q2063" i="1"/>
  <c r="Q2041" i="1"/>
  <c r="U2041" i="1" s="1"/>
  <c r="Q2020" i="1"/>
  <c r="Q1999" i="1"/>
  <c r="U1999" i="1" s="1"/>
  <c r="Q1977" i="1"/>
  <c r="U1977" i="1" s="1"/>
  <c r="Q1956" i="1"/>
  <c r="U1956" i="1" s="1"/>
  <c r="Q1935" i="1"/>
  <c r="U1935" i="1" s="1"/>
  <c r="Q1913" i="1"/>
  <c r="U1913" i="1" s="1"/>
  <c r="Q1892" i="1"/>
  <c r="U1892" i="1" s="1"/>
  <c r="Q1871" i="1"/>
  <c r="U1871" i="1" s="1"/>
  <c r="Q1849" i="1"/>
  <c r="Q1828" i="1"/>
  <c r="U1828" i="1" s="1"/>
  <c r="Q1807" i="1"/>
  <c r="U1807" i="1" s="1"/>
  <c r="Q1785" i="1"/>
  <c r="U1785" i="1" s="1"/>
  <c r="Q1764" i="1"/>
  <c r="U1764" i="1" s="1"/>
  <c r="Q1743" i="1"/>
  <c r="Q1721" i="1"/>
  <c r="U1721" i="1" s="1"/>
  <c r="Q1700" i="1"/>
  <c r="U1700" i="1" s="1"/>
  <c r="Q1679" i="1"/>
  <c r="U1679" i="1" s="1"/>
  <c r="Q1657" i="1"/>
  <c r="U1657" i="1" s="1"/>
  <c r="Q1636" i="1"/>
  <c r="Q1615" i="1"/>
  <c r="U1615" i="1" s="1"/>
  <c r="Q1593" i="1"/>
  <c r="U1593" i="1" s="1"/>
  <c r="Q1572" i="1"/>
  <c r="U1572" i="1" s="1"/>
  <c r="Q1551" i="1"/>
  <c r="Q1529" i="1"/>
  <c r="Q1508" i="1"/>
  <c r="U1508" i="1" s="1"/>
  <c r="Q1487" i="1"/>
  <c r="U1487" i="1" s="1"/>
  <c r="Q1465" i="1"/>
  <c r="U1465" i="1" s="1"/>
  <c r="Q1444" i="1"/>
  <c r="U1444" i="1" s="1"/>
  <c r="Q1423" i="1"/>
  <c r="U1423" i="1" s="1"/>
  <c r="Q1380" i="1"/>
  <c r="U1380" i="1" s="1"/>
  <c r="Q1359" i="1"/>
  <c r="U1359" i="1" s="1"/>
  <c r="Q1337" i="1"/>
  <c r="Q1316" i="1"/>
  <c r="Q1295" i="1"/>
  <c r="U1295" i="1" s="1"/>
  <c r="Q1273" i="1"/>
  <c r="U1273" i="1" s="1"/>
  <c r="Q1252" i="1"/>
  <c r="U1252" i="1" s="1"/>
  <c r="Q1231" i="1"/>
  <c r="U1231" i="1" s="1"/>
  <c r="Q1209" i="1"/>
  <c r="U1209" i="1" s="1"/>
  <c r="Q1188" i="1"/>
  <c r="Q1167" i="1"/>
  <c r="U1167" i="1" s="1"/>
  <c r="Q1145" i="1"/>
  <c r="U1145" i="1" s="1"/>
  <c r="Q1124" i="1"/>
  <c r="U1124" i="1" s="1"/>
  <c r="Q1103" i="1"/>
  <c r="U1103" i="1" s="1"/>
  <c r="Q1081" i="1"/>
  <c r="U1081" i="1" s="1"/>
  <c r="Q1051" i="1"/>
  <c r="U1051" i="1" s="1"/>
  <c r="Q1008" i="1"/>
  <c r="U1008" i="1" s="1"/>
  <c r="Q965" i="1"/>
  <c r="U965" i="1" s="1"/>
  <c r="Q923" i="1"/>
  <c r="U923" i="1" s="1"/>
  <c r="Q880" i="1"/>
  <c r="U880" i="1" s="1"/>
  <c r="Q837" i="1"/>
  <c r="U837" i="1" s="1"/>
  <c r="Q795" i="1"/>
  <c r="U795" i="1" s="1"/>
  <c r="Q745" i="1"/>
  <c r="U745" i="1" s="1"/>
  <c r="Q660" i="1"/>
  <c r="U660" i="1" s="1"/>
  <c r="Q575" i="1"/>
  <c r="U575" i="1" s="1"/>
  <c r="Q404" i="1"/>
  <c r="U404" i="1" s="1"/>
  <c r="Q233" i="1"/>
  <c r="U233" i="1" s="1"/>
  <c r="Q148" i="1"/>
  <c r="U148" i="1" s="1"/>
  <c r="S1873" i="1"/>
  <c r="S1865" i="1"/>
  <c r="S1853" i="1"/>
  <c r="S1369" i="1"/>
  <c r="S1353" i="1"/>
  <c r="S1337" i="1"/>
  <c r="S1173" i="1"/>
  <c r="S701" i="1"/>
  <c r="S689" i="1"/>
  <c r="S685" i="1"/>
  <c r="P475" i="1"/>
  <c r="Q475" i="1" s="1"/>
  <c r="S475" i="1"/>
  <c r="P471" i="1"/>
  <c r="Q471" i="1" s="1"/>
  <c r="U471" i="1" s="1"/>
  <c r="P467" i="1"/>
  <c r="Q467" i="1" s="1"/>
  <c r="U467" i="1" s="1"/>
  <c r="P459" i="1"/>
  <c r="Q459" i="1" s="1"/>
  <c r="U459" i="1" s="1"/>
  <c r="P455" i="1"/>
  <c r="Q455" i="1" s="1"/>
  <c r="S455" i="1"/>
  <c r="P451" i="1"/>
  <c r="Q451" i="1"/>
  <c r="U451" i="1" s="1"/>
  <c r="P443" i="1"/>
  <c r="Q443" i="1"/>
  <c r="U443" i="1" s="1"/>
  <c r="P439" i="1"/>
  <c r="Q439" i="1"/>
  <c r="U439" i="1" s="1"/>
  <c r="P435" i="1"/>
  <c r="Q435" i="1" s="1"/>
  <c r="S435" i="1"/>
  <c r="P427" i="1"/>
  <c r="Q427" i="1" s="1"/>
  <c r="U427" i="1" s="1"/>
  <c r="P423" i="1"/>
  <c r="Q423" i="1" s="1"/>
  <c r="U423" i="1" s="1"/>
  <c r="P419" i="1"/>
  <c r="Q419" i="1" s="1"/>
  <c r="S419" i="1"/>
  <c r="P411" i="1"/>
  <c r="Q411" i="1"/>
  <c r="U411" i="1" s="1"/>
  <c r="P407" i="1"/>
  <c r="Q407" i="1" s="1"/>
  <c r="S407" i="1"/>
  <c r="P403" i="1"/>
  <c r="Q403" i="1" s="1"/>
  <c r="U403" i="1" s="1"/>
  <c r="P399" i="1"/>
  <c r="S399" i="1"/>
  <c r="P395" i="1"/>
  <c r="Q395" i="1" s="1"/>
  <c r="U395" i="1" s="1"/>
  <c r="P391" i="1"/>
  <c r="Q391" i="1" s="1"/>
  <c r="S391" i="1"/>
  <c r="P387" i="1"/>
  <c r="Q387" i="1"/>
  <c r="U387" i="1" s="1"/>
  <c r="P379" i="1"/>
  <c r="Q379" i="1" s="1"/>
  <c r="U379" i="1" s="1"/>
  <c r="P375" i="1"/>
  <c r="Q375" i="1"/>
  <c r="U375" i="1" s="1"/>
  <c r="P371" i="1"/>
  <c r="Q371" i="1" s="1"/>
  <c r="U371" i="1" s="1"/>
  <c r="P363" i="1"/>
  <c r="Q363" i="1" s="1"/>
  <c r="S363" i="1"/>
  <c r="P359" i="1"/>
  <c r="Q359" i="1" s="1"/>
  <c r="U359" i="1" s="1"/>
  <c r="P355" i="1"/>
  <c r="S355" i="1"/>
  <c r="Q355" i="1"/>
  <c r="P351" i="1"/>
  <c r="S351" i="1"/>
  <c r="P347" i="1"/>
  <c r="Q347" i="1"/>
  <c r="U347" i="1" s="1"/>
  <c r="P343" i="1"/>
  <c r="Q343" i="1" s="1"/>
  <c r="U343" i="1" s="1"/>
  <c r="P339" i="1"/>
  <c r="Q339" i="1" s="1"/>
  <c r="U339" i="1" s="1"/>
  <c r="P331" i="1"/>
  <c r="Q331" i="1" s="1"/>
  <c r="U331" i="1" s="1"/>
  <c r="P327" i="1"/>
  <c r="Q327" i="1"/>
  <c r="U327" i="1" s="1"/>
  <c r="P323" i="1"/>
  <c r="Q323" i="1" s="1"/>
  <c r="U323" i="1" s="1"/>
  <c r="P315" i="1"/>
  <c r="S315" i="1"/>
  <c r="Q315" i="1"/>
  <c r="P311" i="1"/>
  <c r="Q311" i="1" s="1"/>
  <c r="U311" i="1" s="1"/>
  <c r="P307" i="1"/>
  <c r="Q307" i="1" s="1"/>
  <c r="S307" i="1"/>
  <c r="P299" i="1"/>
  <c r="Q299" i="1" s="1"/>
  <c r="U299" i="1" s="1"/>
  <c r="P295" i="1"/>
  <c r="Q295" i="1"/>
  <c r="U295" i="1" s="1"/>
  <c r="P291" i="1"/>
  <c r="Q291" i="1" s="1"/>
  <c r="U291" i="1" s="1"/>
  <c r="P283" i="1"/>
  <c r="Q283" i="1" s="1"/>
  <c r="U283" i="1" s="1"/>
  <c r="P279" i="1"/>
  <c r="Q279" i="1" s="1"/>
  <c r="U279" i="1" s="1"/>
  <c r="P275" i="1"/>
  <c r="Q275" i="1" s="1"/>
  <c r="S275" i="1"/>
  <c r="P267" i="1"/>
  <c r="Q267" i="1" s="1"/>
  <c r="S267" i="1"/>
  <c r="P263" i="1"/>
  <c r="Q263" i="1"/>
  <c r="U263" i="1" s="1"/>
  <c r="P259" i="1"/>
  <c r="Q259" i="1" s="1"/>
  <c r="U259" i="1" s="1"/>
  <c r="P255" i="1"/>
  <c r="Q255" i="1" s="1"/>
  <c r="S255" i="1"/>
  <c r="P251" i="1"/>
  <c r="Q251" i="1" s="1"/>
  <c r="U251" i="1" s="1"/>
  <c r="P247" i="1"/>
  <c r="S247" i="1"/>
  <c r="Q247" i="1"/>
  <c r="P243" i="1"/>
  <c r="S243" i="1"/>
  <c r="Q243" i="1"/>
  <c r="P235" i="1"/>
  <c r="Q235" i="1" s="1"/>
  <c r="U235" i="1" s="1"/>
  <c r="P231" i="1"/>
  <c r="Q231" i="1" s="1"/>
  <c r="U231" i="1" s="1"/>
  <c r="P227" i="1"/>
  <c r="Q227" i="1" s="1"/>
  <c r="U227" i="1" s="1"/>
  <c r="P219" i="1"/>
  <c r="Q219" i="1"/>
  <c r="U219" i="1" s="1"/>
  <c r="P215" i="1"/>
  <c r="Q215" i="1" s="1"/>
  <c r="S215" i="1"/>
  <c r="P211" i="1"/>
  <c r="Q211" i="1" s="1"/>
  <c r="U211" i="1" s="1"/>
  <c r="P203" i="1"/>
  <c r="Q203" i="1" s="1"/>
  <c r="S203" i="1"/>
  <c r="P199" i="1"/>
  <c r="Q199" i="1"/>
  <c r="U199" i="1" s="1"/>
  <c r="P195" i="1"/>
  <c r="Q195" i="1" s="1"/>
  <c r="U195" i="1" s="1"/>
  <c r="P187" i="1"/>
  <c r="Q187" i="1" s="1"/>
  <c r="S187" i="1"/>
  <c r="P183" i="1"/>
  <c r="Q183" i="1" s="1"/>
  <c r="U183" i="1" s="1"/>
  <c r="P179" i="1"/>
  <c r="S179" i="1"/>
  <c r="Q179" i="1"/>
  <c r="P171" i="1"/>
  <c r="Q171" i="1" s="1"/>
  <c r="U171" i="1" s="1"/>
  <c r="S171" i="1"/>
  <c r="P167" i="1"/>
  <c r="Q167" i="1" s="1"/>
  <c r="U167" i="1" s="1"/>
  <c r="P163" i="1"/>
  <c r="Q163" i="1" s="1"/>
  <c r="U163" i="1" s="1"/>
  <c r="P155" i="1"/>
  <c r="Q155" i="1" s="1"/>
  <c r="U155" i="1" s="1"/>
  <c r="P151" i="1"/>
  <c r="Q151" i="1" s="1"/>
  <c r="U151" i="1" s="1"/>
  <c r="P147" i="1"/>
  <c r="Q147" i="1" s="1"/>
  <c r="U147" i="1" s="1"/>
  <c r="P139" i="1"/>
  <c r="Q139" i="1" s="1"/>
  <c r="S139" i="1"/>
  <c r="P135" i="1"/>
  <c r="Q135" i="1" s="1"/>
  <c r="S135" i="1"/>
  <c r="P131" i="1"/>
  <c r="Q131" i="1" s="1"/>
  <c r="S131" i="1"/>
  <c r="P127" i="1"/>
  <c r="Q127" i="1" s="1"/>
  <c r="S127" i="1"/>
  <c r="P123" i="1"/>
  <c r="Q123" i="1" s="1"/>
  <c r="S123" i="1"/>
  <c r="P119" i="1"/>
  <c r="Q119" i="1" s="1"/>
  <c r="U119" i="1" s="1"/>
  <c r="P115" i="1"/>
  <c r="Q115" i="1" s="1"/>
  <c r="U115" i="1" s="1"/>
  <c r="P107" i="1"/>
  <c r="Q107" i="1" s="1"/>
  <c r="S107" i="1"/>
  <c r="P103" i="1"/>
  <c r="Q103" i="1" s="1"/>
  <c r="S103" i="1"/>
  <c r="P99" i="1"/>
  <c r="Q99" i="1" s="1"/>
  <c r="U99" i="1" s="1"/>
  <c r="P91" i="1"/>
  <c r="Q91" i="1" s="1"/>
  <c r="U91" i="1" s="1"/>
  <c r="P87" i="1"/>
  <c r="Q87" i="1" s="1"/>
  <c r="U87" i="1" s="1"/>
  <c r="P83" i="1"/>
  <c r="Q83" i="1" s="1"/>
  <c r="U83" i="1" s="1"/>
  <c r="P79" i="1"/>
  <c r="Q79" i="1" s="1"/>
  <c r="S79" i="1"/>
  <c r="P75" i="1"/>
  <c r="Q75" i="1" s="1"/>
  <c r="U75" i="1" s="1"/>
  <c r="P71" i="1"/>
  <c r="Q71" i="1" s="1"/>
  <c r="U71" i="1" s="1"/>
  <c r="P67" i="1"/>
  <c r="Q67" i="1" s="1"/>
  <c r="U67" i="1" s="1"/>
  <c r="P59" i="1"/>
  <c r="Q59" i="1" s="1"/>
  <c r="U59" i="1" s="1"/>
  <c r="P55" i="1"/>
  <c r="Q55" i="1" s="1"/>
  <c r="S55" i="1"/>
  <c r="P51" i="1"/>
  <c r="Q51" i="1"/>
  <c r="U51" i="1" s="1"/>
  <c r="P43" i="1"/>
  <c r="Q43" i="1"/>
  <c r="U43" i="1" s="1"/>
  <c r="P39" i="1"/>
  <c r="Q39" i="1"/>
  <c r="U39" i="1" s="1"/>
  <c r="P35" i="1"/>
  <c r="Q35" i="1"/>
  <c r="U35" i="1" s="1"/>
  <c r="P27" i="1"/>
  <c r="S27" i="1"/>
  <c r="Q27" i="1"/>
  <c r="P23" i="1"/>
  <c r="Q23" i="1" s="1"/>
  <c r="U23" i="1" s="1"/>
  <c r="P19" i="1"/>
  <c r="Q19" i="1" s="1"/>
  <c r="U19" i="1" s="1"/>
  <c r="P11" i="1"/>
  <c r="Q11" i="1" s="1"/>
  <c r="U11" i="1" s="1"/>
  <c r="P7" i="1"/>
  <c r="Q7" i="1" s="1"/>
  <c r="S7" i="1"/>
  <c r="P3" i="1"/>
  <c r="Q3" i="1"/>
  <c r="U3" i="1" s="1"/>
  <c r="Q463" i="1"/>
  <c r="U463" i="1" s="1"/>
  <c r="Q399" i="1"/>
  <c r="Q335" i="1"/>
  <c r="U335" i="1" s="1"/>
  <c r="Q271" i="1"/>
  <c r="U271" i="1" s="1"/>
  <c r="Q207" i="1"/>
  <c r="U207" i="1" s="1"/>
  <c r="Q143" i="1"/>
  <c r="U143" i="1" s="1"/>
  <c r="Q15" i="1"/>
  <c r="U15" i="1" s="1"/>
  <c r="P490" i="1"/>
  <c r="Q490" i="1" s="1"/>
  <c r="U490" i="1" s="1"/>
  <c r="P486" i="1"/>
  <c r="Q486" i="1" s="1"/>
  <c r="U486" i="1" s="1"/>
  <c r="P482" i="1"/>
  <c r="Q482" i="1"/>
  <c r="S482" i="1"/>
  <c r="P478" i="1"/>
  <c r="Q478" i="1" s="1"/>
  <c r="S478" i="1"/>
  <c r="P474" i="1"/>
  <c r="Q474" i="1" s="1"/>
  <c r="U474" i="1" s="1"/>
  <c r="P470" i="1"/>
  <c r="Q470" i="1"/>
  <c r="U470" i="1" s="1"/>
  <c r="P466" i="1"/>
  <c r="Q466" i="1" s="1"/>
  <c r="U466" i="1" s="1"/>
  <c r="P462" i="1"/>
  <c r="Q462" i="1"/>
  <c r="U462" i="1" s="1"/>
  <c r="P458" i="1"/>
  <c r="Q458" i="1" s="1"/>
  <c r="U458" i="1" s="1"/>
  <c r="P454" i="1"/>
  <c r="Q454" i="1"/>
  <c r="U454" i="1" s="1"/>
  <c r="P450" i="1"/>
  <c r="Q450" i="1" s="1"/>
  <c r="U450" i="1" s="1"/>
  <c r="S450" i="1"/>
  <c r="P446" i="1"/>
  <c r="Q446" i="1" s="1"/>
  <c r="S446" i="1"/>
  <c r="P442" i="1"/>
  <c r="Q442" i="1" s="1"/>
  <c r="U442" i="1" s="1"/>
  <c r="P438" i="1"/>
  <c r="Q438" i="1"/>
  <c r="U438" i="1" s="1"/>
  <c r="P434" i="1"/>
  <c r="Q434" i="1" s="1"/>
  <c r="S434" i="1"/>
  <c r="P430" i="1"/>
  <c r="Q430" i="1" s="1"/>
  <c r="U430" i="1" s="1"/>
  <c r="P426" i="1"/>
  <c r="Q426" i="1" s="1"/>
  <c r="U426" i="1" s="1"/>
  <c r="P422" i="1"/>
  <c r="Q422" i="1" s="1"/>
  <c r="S422" i="1"/>
  <c r="P418" i="1"/>
  <c r="Q418" i="1"/>
  <c r="U418" i="1" s="1"/>
  <c r="P414" i="1"/>
  <c r="Q414" i="1"/>
  <c r="U414" i="1" s="1"/>
  <c r="P410" i="1"/>
  <c r="Q410" i="1"/>
  <c r="U410" i="1" s="1"/>
  <c r="P406" i="1"/>
  <c r="Q406" i="1"/>
  <c r="U406" i="1" s="1"/>
  <c r="P402" i="1"/>
  <c r="Q402" i="1"/>
  <c r="U402" i="1" s="1"/>
  <c r="P398" i="1"/>
  <c r="Q398" i="1"/>
  <c r="U398" i="1" s="1"/>
  <c r="P394" i="1"/>
  <c r="Q394" i="1"/>
  <c r="U394" i="1" s="1"/>
  <c r="P390" i="1"/>
  <c r="Q390" i="1"/>
  <c r="U390" i="1" s="1"/>
  <c r="P386" i="1"/>
  <c r="Q386" i="1"/>
  <c r="U386" i="1" s="1"/>
  <c r="P382" i="1"/>
  <c r="Q382" i="1"/>
  <c r="U382" i="1" s="1"/>
  <c r="P378" i="1"/>
  <c r="Q378" i="1"/>
  <c r="U378" i="1" s="1"/>
  <c r="P374" i="1"/>
  <c r="Q374" i="1"/>
  <c r="U374" i="1" s="1"/>
  <c r="P370" i="1"/>
  <c r="Q370" i="1"/>
  <c r="U370" i="1" s="1"/>
  <c r="P366" i="1"/>
  <c r="Q366" i="1"/>
  <c r="U366" i="1" s="1"/>
  <c r="P362" i="1"/>
  <c r="Q362" i="1"/>
  <c r="U362" i="1" s="1"/>
  <c r="S362" i="1"/>
  <c r="P358" i="1"/>
  <c r="Q358" i="1" s="1"/>
  <c r="U358" i="1" s="1"/>
  <c r="P354" i="1"/>
  <c r="Q354" i="1" s="1"/>
  <c r="U354" i="1" s="1"/>
  <c r="P350" i="1"/>
  <c r="Q350" i="1" s="1"/>
  <c r="U350" i="1" s="1"/>
  <c r="P346" i="1"/>
  <c r="Q346" i="1" s="1"/>
  <c r="U346" i="1" s="1"/>
  <c r="P342" i="1"/>
  <c r="Q342" i="1" s="1"/>
  <c r="U342" i="1" s="1"/>
  <c r="P338" i="1"/>
  <c r="Q338" i="1" s="1"/>
  <c r="S338" i="1"/>
  <c r="P334" i="1"/>
  <c r="Q334" i="1"/>
  <c r="P330" i="1"/>
  <c r="Q330" i="1"/>
  <c r="U330" i="1" s="1"/>
  <c r="P326" i="1"/>
  <c r="Q326" i="1"/>
  <c r="U326" i="1" s="1"/>
  <c r="P322" i="1"/>
  <c r="Q322" i="1"/>
  <c r="U322" i="1" s="1"/>
  <c r="P318" i="1"/>
  <c r="Q318" i="1"/>
  <c r="P314" i="1"/>
  <c r="Q314" i="1"/>
  <c r="S314" i="1"/>
  <c r="P310" i="1"/>
  <c r="Q310" i="1" s="1"/>
  <c r="U310" i="1" s="1"/>
  <c r="P306" i="1"/>
  <c r="Q306" i="1" s="1"/>
  <c r="U306" i="1" s="1"/>
  <c r="P302" i="1"/>
  <c r="Q302" i="1" s="1"/>
  <c r="U302" i="1" s="1"/>
  <c r="P298" i="1"/>
  <c r="S298" i="1"/>
  <c r="Q298" i="1"/>
  <c r="P294" i="1"/>
  <c r="Q294" i="1" s="1"/>
  <c r="S294" i="1"/>
  <c r="P290" i="1"/>
  <c r="Q290" i="1" s="1"/>
  <c r="U290" i="1" s="1"/>
  <c r="P286" i="1"/>
  <c r="Q286" i="1" s="1"/>
  <c r="U286" i="1" s="1"/>
  <c r="P282" i="1"/>
  <c r="Q282" i="1" s="1"/>
  <c r="U282" i="1" s="1"/>
  <c r="P278" i="1"/>
  <c r="Q278" i="1" s="1"/>
  <c r="U278" i="1" s="1"/>
  <c r="S278" i="1"/>
  <c r="P274" i="1"/>
  <c r="Q274" i="1"/>
  <c r="U274" i="1" s="1"/>
  <c r="P270" i="1"/>
  <c r="Q270" i="1"/>
  <c r="P266" i="1"/>
  <c r="Q266" i="1"/>
  <c r="P262" i="1"/>
  <c r="Q262" i="1"/>
  <c r="U262" i="1" s="1"/>
  <c r="P258" i="1"/>
  <c r="Q258" i="1"/>
  <c r="U258" i="1" s="1"/>
  <c r="P254" i="1"/>
  <c r="Q254" i="1"/>
  <c r="S254" i="1"/>
  <c r="P250" i="1"/>
  <c r="Q250" i="1" s="1"/>
  <c r="S250" i="1"/>
  <c r="P246" i="1"/>
  <c r="Q246" i="1" s="1"/>
  <c r="U246" i="1" s="1"/>
  <c r="P242" i="1"/>
  <c r="Q242" i="1"/>
  <c r="U242" i="1" s="1"/>
  <c r="P238" i="1"/>
  <c r="Q238" i="1" s="1"/>
  <c r="P234" i="1"/>
  <c r="Q234" i="1"/>
  <c r="U234" i="1" s="1"/>
  <c r="P230" i="1"/>
  <c r="Q230" i="1" s="1"/>
  <c r="U230" i="1" s="1"/>
  <c r="P226" i="1"/>
  <c r="Q226" i="1"/>
  <c r="U226" i="1" s="1"/>
  <c r="P222" i="1"/>
  <c r="Q222" i="1"/>
  <c r="S222" i="1"/>
  <c r="P218" i="1"/>
  <c r="Q218" i="1" s="1"/>
  <c r="U218" i="1" s="1"/>
  <c r="P214" i="1"/>
  <c r="Q214" i="1" s="1"/>
  <c r="U214" i="1" s="1"/>
  <c r="P210" i="1"/>
  <c r="Q210" i="1" s="1"/>
  <c r="U210" i="1" s="1"/>
  <c r="S210" i="1"/>
  <c r="P206" i="1"/>
  <c r="Q206" i="1"/>
  <c r="U206" i="1" s="1"/>
  <c r="P202" i="1"/>
  <c r="Q202" i="1" s="1"/>
  <c r="U202" i="1" s="1"/>
  <c r="P198" i="1"/>
  <c r="Q198" i="1"/>
  <c r="U198" i="1" s="1"/>
  <c r="P194" i="1"/>
  <c r="Q194" i="1" s="1"/>
  <c r="U194" i="1" s="1"/>
  <c r="P190" i="1"/>
  <c r="Q190" i="1"/>
  <c r="P186" i="1"/>
  <c r="Q186" i="1" s="1"/>
  <c r="U186" i="1" s="1"/>
  <c r="P182" i="1"/>
  <c r="Q182" i="1"/>
  <c r="U182" i="1" s="1"/>
  <c r="P178" i="1"/>
  <c r="Q178" i="1" s="1"/>
  <c r="U178" i="1" s="1"/>
  <c r="P174" i="1"/>
  <c r="Q174" i="1"/>
  <c r="S174" i="1"/>
  <c r="P170" i="1"/>
  <c r="Q170" i="1" s="1"/>
  <c r="U170" i="1" s="1"/>
  <c r="P166" i="1"/>
  <c r="Q166" i="1" s="1"/>
  <c r="U166" i="1" s="1"/>
  <c r="P162" i="1"/>
  <c r="Q162" i="1" s="1"/>
  <c r="U162" i="1" s="1"/>
  <c r="S162" i="1"/>
  <c r="P158" i="1"/>
  <c r="Q158" i="1"/>
  <c r="U158" i="1" s="1"/>
  <c r="S158" i="1"/>
  <c r="P154" i="1"/>
  <c r="Q154" i="1" s="1"/>
  <c r="U154" i="1" s="1"/>
  <c r="P150" i="1"/>
  <c r="Q150" i="1" s="1"/>
  <c r="S150" i="1"/>
  <c r="P146" i="1"/>
  <c r="Q146" i="1" s="1"/>
  <c r="U146" i="1" s="1"/>
  <c r="P142" i="1"/>
  <c r="Q142" i="1"/>
  <c r="U142" i="1" s="1"/>
  <c r="P138" i="1"/>
  <c r="Q138" i="1" s="1"/>
  <c r="U138" i="1" s="1"/>
  <c r="P134" i="1"/>
  <c r="Q134" i="1"/>
  <c r="U134" i="1" s="1"/>
  <c r="P130" i="1"/>
  <c r="Q130" i="1" s="1"/>
  <c r="U130" i="1" s="1"/>
  <c r="S130" i="1"/>
  <c r="P126" i="1"/>
  <c r="Q126" i="1" s="1"/>
  <c r="S126" i="1"/>
  <c r="P122" i="1"/>
  <c r="Q122" i="1"/>
  <c r="S122" i="1"/>
  <c r="P118" i="1"/>
  <c r="Q118" i="1" s="1"/>
  <c r="U118" i="1" s="1"/>
  <c r="P114" i="1"/>
  <c r="Q114" i="1" s="1"/>
  <c r="S114" i="1"/>
  <c r="P110" i="1"/>
  <c r="Q110" i="1" s="1"/>
  <c r="S110" i="1"/>
  <c r="P106" i="1"/>
  <c r="Q106" i="1" s="1"/>
  <c r="S106" i="1"/>
  <c r="P102" i="1"/>
  <c r="Q102" i="1" s="1"/>
  <c r="S102" i="1"/>
  <c r="P98" i="1"/>
  <c r="Q98" i="1" s="1"/>
  <c r="S98" i="1"/>
  <c r="P94" i="1"/>
  <c r="Q94" i="1"/>
  <c r="P90" i="1"/>
  <c r="Q90" i="1"/>
  <c r="U90" i="1" s="1"/>
  <c r="S90" i="1"/>
  <c r="P86" i="1"/>
  <c r="Q86" i="1" s="1"/>
  <c r="U86" i="1" s="1"/>
  <c r="P82" i="1"/>
  <c r="Q82" i="1" s="1"/>
  <c r="U82" i="1" s="1"/>
  <c r="P78" i="1"/>
  <c r="Q78" i="1" s="1"/>
  <c r="U78" i="1" s="1"/>
  <c r="P74" i="1"/>
  <c r="Q74" i="1" s="1"/>
  <c r="U74" i="1" s="1"/>
  <c r="P70" i="1"/>
  <c r="Q70" i="1" s="1"/>
  <c r="S70" i="1"/>
  <c r="P66" i="1"/>
  <c r="Q66" i="1" s="1"/>
  <c r="U66" i="1" s="1"/>
  <c r="P62" i="1"/>
  <c r="Q62" i="1"/>
  <c r="U62" i="1" s="1"/>
  <c r="P58" i="1"/>
  <c r="Q58" i="1" s="1"/>
  <c r="U58" i="1" s="1"/>
  <c r="P54" i="1"/>
  <c r="Q54" i="1" s="1"/>
  <c r="S54" i="1"/>
  <c r="P50" i="1"/>
  <c r="Q50" i="1" s="1"/>
  <c r="U50" i="1" s="1"/>
  <c r="P46" i="1"/>
  <c r="Q46" i="1" s="1"/>
  <c r="U46" i="1" s="1"/>
  <c r="P42" i="1"/>
  <c r="Q42" i="1" s="1"/>
  <c r="S42" i="1"/>
  <c r="P38" i="1"/>
  <c r="Q38" i="1" s="1"/>
  <c r="U38" i="1" s="1"/>
  <c r="P34" i="1"/>
  <c r="Q34" i="1"/>
  <c r="U34" i="1" s="1"/>
  <c r="P30" i="1"/>
  <c r="Q30" i="1" s="1"/>
  <c r="S30" i="1"/>
  <c r="P26" i="1"/>
  <c r="Q26" i="1" s="1"/>
  <c r="S26" i="1"/>
  <c r="P22" i="1"/>
  <c r="Q22" i="1"/>
  <c r="P18" i="1"/>
  <c r="Q18" i="1"/>
  <c r="U18" i="1" s="1"/>
  <c r="P14" i="1"/>
  <c r="Q14" i="1"/>
  <c r="S14" i="1"/>
  <c r="P10" i="1"/>
  <c r="Q10" i="1" s="1"/>
  <c r="U10" i="1" s="1"/>
  <c r="P6" i="1"/>
  <c r="Q6" i="1" s="1"/>
  <c r="U6" i="1" s="1"/>
  <c r="Q415" i="1"/>
  <c r="U415" i="1" s="1"/>
  <c r="Q351" i="1"/>
  <c r="U351" i="1" s="1"/>
  <c r="Q287" i="1"/>
  <c r="U287" i="1" s="1"/>
  <c r="Q223" i="1"/>
  <c r="U223" i="1" s="1"/>
  <c r="Q159" i="1"/>
  <c r="U159" i="1" s="1"/>
  <c r="Q95" i="1"/>
  <c r="U95" i="1" s="1"/>
  <c r="Q31" i="1"/>
  <c r="U31" i="1" s="1"/>
  <c r="Q431" i="1"/>
  <c r="U431" i="1" s="1"/>
  <c r="Q367" i="1"/>
  <c r="U367" i="1" s="1"/>
  <c r="Q303" i="1"/>
  <c r="U303" i="1" s="1"/>
  <c r="Q239" i="1"/>
  <c r="U239" i="1" s="1"/>
  <c r="Q175" i="1"/>
  <c r="U175" i="1" s="1"/>
  <c r="Q111" i="1"/>
  <c r="U111" i="1" s="1"/>
  <c r="Q47" i="1"/>
  <c r="U47" i="1" s="1"/>
  <c r="U334" i="1"/>
  <c r="U318" i="1"/>
  <c r="U270" i="1"/>
  <c r="U266" i="1"/>
  <c r="U238" i="1"/>
  <c r="U222" i="1"/>
  <c r="U190" i="1"/>
  <c r="U94" i="1"/>
  <c r="U22" i="1"/>
  <c r="U14" i="1"/>
  <c r="T2001" i="1"/>
  <c r="T1893" i="1"/>
  <c r="T1729" i="1"/>
  <c r="T1529" i="1"/>
  <c r="T1173" i="1"/>
  <c r="T1149" i="1"/>
  <c r="T801" i="1"/>
  <c r="T413" i="1"/>
  <c r="T397" i="1"/>
  <c r="T325" i="1"/>
  <c r="T241" i="1"/>
  <c r="T193" i="1"/>
  <c r="T1765" i="1"/>
  <c r="T1609" i="1"/>
  <c r="T1581" i="1"/>
  <c r="T1553" i="1"/>
  <c r="T1477" i="1"/>
  <c r="T1237" i="1"/>
  <c r="T1065" i="1"/>
  <c r="T1013" i="1"/>
  <c r="T961" i="1"/>
  <c r="T921" i="1"/>
  <c r="T905" i="1"/>
  <c r="T461" i="1"/>
  <c r="T337" i="1"/>
  <c r="T17" i="1"/>
  <c r="T2164" i="1"/>
  <c r="T2156" i="1"/>
  <c r="T2144" i="1"/>
  <c r="T2140" i="1"/>
  <c r="T2132" i="1"/>
  <c r="T2112" i="1"/>
  <c r="T2104" i="1"/>
  <c r="T2096" i="1"/>
  <c r="T2076" i="1"/>
  <c r="T2052" i="1"/>
  <c r="T2024" i="1"/>
  <c r="T2012" i="1"/>
  <c r="T2008" i="1"/>
  <c r="T1952" i="1"/>
  <c r="T1940" i="1"/>
  <c r="T1928" i="1"/>
  <c r="T1924" i="1"/>
  <c r="T1916" i="1"/>
  <c r="T1900" i="1"/>
  <c r="T1896" i="1"/>
  <c r="T1872" i="1"/>
  <c r="T1868" i="1"/>
  <c r="T1856" i="1"/>
  <c r="T1840" i="1"/>
  <c r="T1812" i="1"/>
  <c r="T1732" i="1"/>
  <c r="T1708" i="1"/>
  <c r="T1660" i="1"/>
  <c r="T1652" i="1"/>
  <c r="T1636" i="1"/>
  <c r="T1604" i="1"/>
  <c r="T1596" i="1"/>
  <c r="T1584" i="1"/>
  <c r="T1556" i="1"/>
  <c r="T1536" i="1"/>
  <c r="T1524" i="1"/>
  <c r="T1520" i="1"/>
  <c r="T1476" i="1"/>
  <c r="T1472" i="1"/>
  <c r="T1460" i="1"/>
  <c r="T1456" i="1"/>
  <c r="T1368" i="1"/>
  <c r="T1340" i="1"/>
  <c r="T1288" i="1"/>
  <c r="T1256" i="1"/>
  <c r="T1248" i="1"/>
  <c r="T1240" i="1"/>
  <c r="T1236" i="1"/>
  <c r="T1232" i="1"/>
  <c r="T1228" i="1"/>
  <c r="T1220" i="1"/>
  <c r="T1212" i="1"/>
  <c r="T1208" i="1"/>
  <c r="T1188" i="1"/>
  <c r="T1180" i="1"/>
  <c r="T1140" i="1"/>
  <c r="T1120" i="1"/>
  <c r="T1076" i="1"/>
  <c r="T1064" i="1"/>
  <c r="T1048" i="1"/>
  <c r="T1044" i="1"/>
  <c r="T960" i="1"/>
  <c r="T956" i="1"/>
  <c r="T936" i="1"/>
  <c r="T928" i="1"/>
  <c r="T916" i="1"/>
  <c r="T908" i="1"/>
  <c r="T892" i="1"/>
  <c r="T860" i="1"/>
  <c r="T848" i="1"/>
  <c r="T832" i="1"/>
  <c r="T828" i="1"/>
  <c r="T824" i="1"/>
  <c r="T764" i="1"/>
  <c r="T744" i="1"/>
  <c r="T716" i="1"/>
  <c r="T708" i="1"/>
  <c r="T704" i="1"/>
  <c r="T656" i="1"/>
  <c r="T624" i="1"/>
  <c r="T616" i="1"/>
  <c r="T592" i="1"/>
  <c r="T500" i="1"/>
  <c r="T2177" i="1"/>
  <c r="T2125" i="1"/>
  <c r="T2077" i="1"/>
  <c r="T1929" i="1"/>
  <c r="T1641" i="1"/>
  <c r="T1505" i="1"/>
  <c r="T1413" i="1"/>
  <c r="T1369" i="1"/>
  <c r="T1281" i="1"/>
  <c r="T1233" i="1"/>
  <c r="T1061" i="1"/>
  <c r="T1029" i="1"/>
  <c r="T909" i="1"/>
  <c r="T841" i="1"/>
  <c r="T705" i="1"/>
  <c r="T649" i="1"/>
  <c r="T417" i="1"/>
  <c r="T401" i="1"/>
  <c r="T173" i="1"/>
  <c r="T2107" i="1"/>
  <c r="T2043" i="1"/>
  <c r="T1915" i="1"/>
  <c r="T1851" i="1"/>
  <c r="T1747" i="1"/>
  <c r="T1647" i="1"/>
  <c r="T2105" i="1"/>
  <c r="T2057" i="1"/>
  <c r="T1973" i="1"/>
  <c r="T1921" i="1"/>
  <c r="T1853" i="1"/>
  <c r="T1401" i="1"/>
  <c r="T1317" i="1"/>
  <c r="T1265" i="1"/>
  <c r="T1189" i="1"/>
  <c r="T1141" i="1"/>
  <c r="T1057" i="1"/>
  <c r="T929" i="1"/>
  <c r="T781" i="1"/>
  <c r="T713" i="1"/>
  <c r="T681" i="1"/>
  <c r="T501" i="1"/>
  <c r="T405" i="1"/>
  <c r="T149" i="1"/>
  <c r="T2150" i="1"/>
  <c r="T2118" i="1"/>
  <c r="T1958" i="1"/>
  <c r="T1926" i="1"/>
  <c r="T1830" i="1"/>
  <c r="T412" i="1"/>
  <c r="T296" i="1"/>
  <c r="T256" i="1"/>
  <c r="T144" i="1"/>
  <c r="T104" i="1"/>
  <c r="T76" i="1"/>
  <c r="T52" i="1"/>
  <c r="T48" i="1"/>
  <c r="T24" i="1"/>
  <c r="T20" i="1"/>
  <c r="T16" i="1"/>
  <c r="T436" i="1"/>
  <c r="T312" i="1"/>
  <c r="T220" i="1"/>
  <c r="T1316" i="1"/>
  <c r="T2097" i="1"/>
  <c r="T1285" i="1"/>
  <c r="T665" i="1"/>
  <c r="T549" i="1"/>
  <c r="T489" i="1"/>
  <c r="T285" i="1"/>
  <c r="T281" i="1"/>
  <c r="T121" i="1"/>
  <c r="T105" i="1"/>
  <c r="T45" i="1"/>
  <c r="T9" i="1"/>
  <c r="T1592" i="1"/>
  <c r="T1192" i="1"/>
  <c r="T1136" i="1"/>
  <c r="T1108" i="1"/>
  <c r="T1080" i="1"/>
  <c r="T652" i="1"/>
  <c r="T648" i="1"/>
  <c r="T640" i="1"/>
  <c r="T584" i="1"/>
  <c r="T576" i="1"/>
  <c r="T572" i="1"/>
  <c r="T560" i="1"/>
  <c r="T544" i="1"/>
  <c r="T540" i="1"/>
  <c r="T496" i="1"/>
  <c r="T432" i="1"/>
  <c r="T428" i="1"/>
  <c r="T320" i="1"/>
  <c r="T288" i="1"/>
  <c r="T284" i="1"/>
  <c r="T236" i="1"/>
  <c r="T188" i="1"/>
  <c r="T68" i="1"/>
  <c r="T40" i="1"/>
  <c r="T1640" i="1"/>
  <c r="T160" i="1"/>
  <c r="T1229" i="1"/>
  <c r="T1193" i="1"/>
  <c r="T805" i="1"/>
  <c r="T673" i="1"/>
  <c r="T557" i="1"/>
  <c r="T493" i="1"/>
  <c r="T13" i="1"/>
  <c r="T561" i="1"/>
  <c r="T437" i="1"/>
  <c r="T141" i="1"/>
  <c r="T1675" i="1"/>
  <c r="T1515" i="1"/>
  <c r="T633" i="1"/>
  <c r="T628" i="1"/>
  <c r="T77" i="1"/>
  <c r="T1873" i="1"/>
  <c r="T597" i="1"/>
  <c r="T553" i="1"/>
  <c r="T497" i="1"/>
  <c r="T245" i="1"/>
  <c r="T41" i="1"/>
  <c r="T445" i="1"/>
  <c r="T1818" i="1"/>
  <c r="T2175" i="1"/>
  <c r="T2167" i="1"/>
  <c r="T2147" i="1"/>
  <c r="T2143" i="1"/>
  <c r="T2135" i="1"/>
  <c r="T2111" i="1"/>
  <c r="T2095" i="1"/>
  <c r="T2079" i="1"/>
  <c r="T2063" i="1"/>
  <c r="T2047" i="1"/>
  <c r="T2023" i="1"/>
  <c r="T2019" i="1"/>
  <c r="T2015" i="1"/>
  <c r="T1995" i="1"/>
  <c r="T1987" i="1"/>
  <c r="T1975" i="1"/>
  <c r="T1971" i="1"/>
  <c r="T1955" i="1"/>
  <c r="T1951" i="1"/>
  <c r="T1943" i="1"/>
  <c r="T1911" i="1"/>
  <c r="T1875" i="1"/>
  <c r="T1859" i="1"/>
  <c r="T1823" i="1"/>
  <c r="T1819" i="1"/>
  <c r="T1815" i="1"/>
  <c r="T1783" i="1"/>
  <c r="T1779" i="1"/>
  <c r="T1767" i="1"/>
  <c r="T1751" i="1"/>
  <c r="T1743" i="1"/>
  <c r="T1711" i="1"/>
  <c r="T1651" i="1"/>
  <c r="T1631" i="1"/>
  <c r="T1623" i="1"/>
  <c r="T1603" i="1"/>
  <c r="T1587" i="1"/>
  <c r="T1583" i="1"/>
  <c r="T1579" i="1"/>
  <c r="T1575" i="1"/>
  <c r="T1567" i="1"/>
  <c r="T1563" i="1"/>
  <c r="T1551" i="1"/>
  <c r="T1531" i="1"/>
  <c r="T1527" i="1"/>
  <c r="T1511" i="1"/>
  <c r="T1491" i="1"/>
  <c r="T1447" i="1"/>
  <c r="T1435" i="1"/>
  <c r="T1411" i="1"/>
  <c r="T1391" i="1"/>
  <c r="T1363" i="1"/>
  <c r="T1355" i="1"/>
  <c r="T1339" i="1"/>
  <c r="T1335" i="1"/>
  <c r="T1319" i="1"/>
  <c r="T1299" i="1"/>
  <c r="T1279" i="1"/>
  <c r="T1275" i="1"/>
  <c r="T1267" i="1"/>
  <c r="T1255" i="1"/>
  <c r="T1219" i="1"/>
  <c r="T1203" i="1"/>
  <c r="T1199" i="1"/>
  <c r="T1139" i="1"/>
  <c r="T1119" i="1"/>
  <c r="T1091" i="1"/>
  <c r="T1083" i="1"/>
  <c r="T1055" i="1"/>
  <c r="T1047" i="1"/>
  <c r="T1027" i="1"/>
  <c r="T1023" i="1"/>
  <c r="T1007" i="1"/>
  <c r="T1003" i="1"/>
  <c r="T983" i="1"/>
  <c r="T935" i="1"/>
  <c r="T931" i="1"/>
  <c r="T927" i="1"/>
  <c r="T871" i="1"/>
  <c r="T867" i="1"/>
  <c r="T847" i="1"/>
  <c r="T843" i="1"/>
  <c r="T807" i="1"/>
  <c r="T791" i="1"/>
  <c r="T783" i="1"/>
  <c r="T779" i="1"/>
  <c r="T759" i="1"/>
  <c r="T703" i="1"/>
  <c r="T655" i="1"/>
  <c r="T647" i="1"/>
  <c r="T639" i="1"/>
  <c r="T607" i="1"/>
  <c r="T599" i="1"/>
  <c r="T587" i="1"/>
  <c r="T567" i="1"/>
  <c r="T527" i="1"/>
  <c r="T515" i="1"/>
  <c r="T475" i="1"/>
  <c r="T455" i="1"/>
  <c r="T435" i="1"/>
  <c r="T419" i="1"/>
  <c r="T407" i="1"/>
  <c r="T399" i="1"/>
  <c r="T391" i="1"/>
  <c r="T363" i="1"/>
  <c r="T355" i="1"/>
  <c r="T351" i="1"/>
  <c r="T315" i="1"/>
  <c r="T307" i="1"/>
  <c r="T275" i="1"/>
  <c r="T267" i="1"/>
  <c r="T255" i="1"/>
  <c r="T247" i="1"/>
  <c r="T243" i="1"/>
  <c r="T215" i="1"/>
  <c r="T203" i="1"/>
  <c r="T187" i="1"/>
  <c r="T179" i="1"/>
  <c r="T171" i="1"/>
  <c r="T139" i="1"/>
  <c r="T135" i="1"/>
  <c r="T131" i="1"/>
  <c r="T127" i="1"/>
  <c r="T123" i="1"/>
  <c r="T107" i="1"/>
  <c r="T103" i="1"/>
  <c r="T79" i="1"/>
  <c r="T55" i="1"/>
  <c r="T27" i="1"/>
  <c r="T7" i="1"/>
  <c r="T2174" i="1"/>
  <c r="T2154" i="1"/>
  <c r="T2142" i="1"/>
  <c r="T2134" i="1"/>
  <c r="T2114" i="1"/>
  <c r="T2106" i="1"/>
  <c r="T2090" i="1"/>
  <c r="T2082" i="1"/>
  <c r="T2070" i="1"/>
  <c r="T2066" i="1"/>
  <c r="T2046" i="1"/>
  <c r="T2042" i="1"/>
  <c r="T2038" i="1"/>
  <c r="T2034" i="1"/>
  <c r="T2018" i="1"/>
  <c r="T1966" i="1"/>
  <c r="T1942" i="1"/>
  <c r="T1938" i="1"/>
  <c r="T1910" i="1"/>
  <c r="T1906" i="1"/>
  <c r="T1886" i="1"/>
  <c r="T1874" i="1"/>
  <c r="T1870" i="1"/>
  <c r="T1866" i="1"/>
  <c r="T1854" i="1"/>
  <c r="T1850" i="1"/>
  <c r="T1846" i="1"/>
  <c r="T1842" i="1"/>
  <c r="T1838" i="1"/>
  <c r="T1834" i="1"/>
  <c r="T1826" i="1"/>
  <c r="T1810" i="1"/>
  <c r="T1802" i="1"/>
  <c r="T1778" i="1"/>
  <c r="T1774" i="1"/>
  <c r="T1766" i="1"/>
  <c r="T1750" i="1"/>
  <c r="T1726" i="1"/>
  <c r="T1718" i="1"/>
  <c r="T1714" i="1"/>
  <c r="T1710" i="1"/>
  <c r="T1686" i="1"/>
  <c r="T1670" i="1"/>
  <c r="T1666" i="1"/>
  <c r="T1642" i="1"/>
  <c r="T1626" i="1"/>
  <c r="T1622" i="1"/>
  <c r="T1586" i="1"/>
  <c r="T1578" i="1"/>
  <c r="T1574" i="1"/>
  <c r="T1570" i="1"/>
  <c r="T1562" i="1"/>
  <c r="T1534" i="1"/>
  <c r="T1526" i="1"/>
  <c r="T1518" i="1"/>
  <c r="T1498" i="1"/>
  <c r="T1474" i="1"/>
  <c r="T1470" i="1"/>
  <c r="T1466" i="1"/>
  <c r="T1458" i="1"/>
  <c r="T1450" i="1"/>
  <c r="T1430" i="1"/>
  <c r="T1414" i="1"/>
  <c r="T1402" i="1"/>
  <c r="T1390" i="1"/>
  <c r="T1354" i="1"/>
  <c r="T1350" i="1"/>
  <c r="T1346" i="1"/>
  <c r="T1318" i="1"/>
  <c r="T1306" i="1"/>
  <c r="T1286" i="1"/>
  <c r="T1278" i="1"/>
  <c r="T1274" i="1"/>
  <c r="T1250" i="1"/>
  <c r="T1246" i="1"/>
  <c r="T1234" i="1"/>
  <c r="T1206" i="1"/>
  <c r="T1182" i="1"/>
  <c r="T1170" i="1"/>
  <c r="T1162" i="1"/>
  <c r="T1158" i="1"/>
  <c r="T1134" i="1"/>
  <c r="T1130" i="1"/>
  <c r="T1126" i="1"/>
  <c r="T1106" i="1"/>
  <c r="T1082" i="1"/>
  <c r="T1074" i="1"/>
  <c r="T1070" i="1"/>
  <c r="T1058" i="1"/>
  <c r="T1054" i="1"/>
  <c r="T1050" i="1"/>
  <c r="T1046" i="1"/>
  <c r="T1042" i="1"/>
  <c r="T1030" i="1"/>
  <c r="T990" i="1"/>
  <c r="T986" i="1"/>
  <c r="T978" i="1"/>
  <c r="T966" i="1"/>
  <c r="T954" i="1"/>
  <c r="T894" i="1"/>
  <c r="T890" i="1"/>
  <c r="T878" i="1"/>
  <c r="T846" i="1"/>
  <c r="T830" i="1"/>
  <c r="T814" i="1"/>
  <c r="T806" i="1"/>
  <c r="T790" i="1"/>
  <c r="T774" i="1"/>
  <c r="T750" i="1"/>
  <c r="T746" i="1"/>
  <c r="T738" i="1"/>
  <c r="T730" i="1"/>
  <c r="T718" i="1"/>
  <c r="T706" i="1"/>
  <c r="T702" i="1"/>
  <c r="T674" i="1"/>
  <c r="T638" i="1"/>
  <c r="T630" i="1"/>
  <c r="T626" i="1"/>
  <c r="T586" i="1"/>
  <c r="T570" i="1"/>
  <c r="T538" i="1"/>
  <c r="T534" i="1"/>
  <c r="T526" i="1"/>
  <c r="T518" i="1"/>
  <c r="T510" i="1"/>
  <c r="T502" i="1"/>
  <c r="T498" i="1"/>
  <c r="T482" i="1"/>
  <c r="T478" i="1"/>
  <c r="T466" i="1"/>
  <c r="T450" i="1"/>
  <c r="T446" i="1"/>
  <c r="T434" i="1"/>
  <c r="T422" i="1"/>
  <c r="T362" i="1"/>
  <c r="T338" i="1"/>
  <c r="T314" i="1"/>
  <c r="U314" i="1" s="1"/>
  <c r="T298" i="1"/>
  <c r="T294" i="1"/>
  <c r="T278" i="1"/>
  <c r="T254" i="1"/>
  <c r="U254" i="1" s="1"/>
  <c r="T250" i="1"/>
  <c r="T222" i="1"/>
  <c r="T210" i="1"/>
  <c r="T174" i="1"/>
  <c r="T162" i="1"/>
  <c r="T158" i="1"/>
  <c r="T150" i="1"/>
  <c r="T130" i="1"/>
  <c r="T126" i="1"/>
  <c r="T122" i="1"/>
  <c r="T114" i="1"/>
  <c r="T110" i="1"/>
  <c r="T106" i="1"/>
  <c r="T102" i="1"/>
  <c r="T98" i="1"/>
  <c r="T90" i="1"/>
  <c r="T70" i="1"/>
  <c r="T54" i="1"/>
  <c r="T42" i="1"/>
  <c r="T30" i="1"/>
  <c r="T26" i="1"/>
  <c r="T14" i="1"/>
  <c r="T2129" i="1"/>
  <c r="T2053" i="1"/>
  <c r="T1961" i="1"/>
  <c r="T1881" i="1"/>
  <c r="T1865" i="1"/>
  <c r="T1849" i="1"/>
  <c r="T1801" i="1"/>
  <c r="U1801" i="1" s="1"/>
  <c r="T1797" i="1"/>
  <c r="T1789" i="1"/>
  <c r="T1677" i="1"/>
  <c r="T1625" i="1"/>
  <c r="T1489" i="1"/>
  <c r="T1353" i="1"/>
  <c r="T1329" i="1"/>
  <c r="T1325" i="1"/>
  <c r="T1169" i="1"/>
  <c r="T1133" i="1"/>
  <c r="T1105" i="1"/>
  <c r="T1093" i="1"/>
  <c r="T1053" i="1"/>
  <c r="T1028" i="1"/>
  <c r="T729" i="1"/>
  <c r="T725" i="1"/>
  <c r="T721" i="1"/>
  <c r="T701" i="1"/>
  <c r="T689" i="1"/>
  <c r="T685" i="1"/>
  <c r="T505" i="1"/>
  <c r="T477" i="1"/>
  <c r="T381" i="1"/>
  <c r="T345" i="1"/>
  <c r="T269" i="1"/>
  <c r="T2153" i="1"/>
  <c r="T2148" i="1"/>
  <c r="T2084" i="1"/>
  <c r="T2064" i="1"/>
  <c r="T2029" i="1"/>
  <c r="T2020" i="1"/>
  <c r="T2013" i="1"/>
  <c r="T2005" i="1"/>
  <c r="T1964" i="1"/>
  <c r="T1960" i="1"/>
  <c r="T1860" i="1"/>
  <c r="T1837" i="1"/>
  <c r="T1792" i="1"/>
  <c r="T1788" i="1"/>
  <c r="T1777" i="1"/>
  <c r="T1768" i="1"/>
  <c r="T1748" i="1"/>
  <c r="T1693" i="1"/>
  <c r="T1665" i="1"/>
  <c r="T1661" i="1"/>
  <c r="T1653" i="1"/>
  <c r="T1624" i="1"/>
  <c r="T1601" i="1"/>
  <c r="T1597" i="1"/>
  <c r="T1569" i="1"/>
  <c r="T1564" i="1"/>
  <c r="T1521" i="1"/>
  <c r="T1433" i="1"/>
  <c r="T1428" i="1"/>
  <c r="T1424" i="1"/>
  <c r="T1420" i="1"/>
  <c r="T1337" i="1"/>
  <c r="T1328" i="1"/>
  <c r="T1296" i="1"/>
  <c r="T1137" i="1"/>
  <c r="T1092" i="1"/>
  <c r="T1045" i="1"/>
  <c r="T1040" i="1"/>
  <c r="T1021" i="1"/>
  <c r="T980" i="1"/>
  <c r="T853" i="1"/>
  <c r="T849" i="1"/>
  <c r="T825" i="1"/>
  <c r="T821" i="1"/>
  <c r="T817" i="1"/>
  <c r="T812" i="1"/>
  <c r="T784" i="1"/>
  <c r="T756" i="1"/>
  <c r="T728" i="1"/>
  <c r="T724" i="1"/>
  <c r="T684" i="1"/>
  <c r="T641" i="1"/>
  <c r="T604" i="1"/>
  <c r="T600" i="1"/>
  <c r="T585" i="1"/>
  <c r="T508" i="1"/>
  <c r="T453" i="1"/>
  <c r="T368" i="1"/>
  <c r="T300" i="1"/>
  <c r="T277" i="1"/>
  <c r="T272" i="1"/>
  <c r="T253" i="1"/>
  <c r="T176" i="1"/>
  <c r="T125" i="1"/>
  <c r="T101" i="1"/>
  <c r="T69" i="1"/>
  <c r="T65" i="1"/>
  <c r="T61" i="1"/>
  <c r="T57" i="1"/>
  <c r="T5" i="1"/>
  <c r="U250" i="1" l="1"/>
  <c r="U135" i="1"/>
  <c r="U30" i="1"/>
  <c r="U98" i="1"/>
  <c r="U1050" i="1"/>
  <c r="U320" i="1"/>
  <c r="U110" i="1"/>
  <c r="U446" i="1"/>
  <c r="U275" i="1"/>
  <c r="U597" i="1"/>
  <c r="U42" i="1"/>
  <c r="U54" i="1"/>
  <c r="U70" i="1"/>
  <c r="U106" i="1"/>
  <c r="U122" i="1"/>
  <c r="U150" i="1"/>
  <c r="U298" i="1"/>
  <c r="U338" i="1"/>
  <c r="U399" i="1"/>
  <c r="U107" i="1"/>
  <c r="U123" i="1"/>
  <c r="U131" i="1"/>
  <c r="U179" i="1"/>
  <c r="U243" i="1"/>
  <c r="U307" i="1"/>
  <c r="U355" i="1"/>
  <c r="U101" i="1"/>
  <c r="U285" i="1"/>
  <c r="U345" i="1"/>
  <c r="U401" i="1"/>
  <c r="U453" i="1"/>
  <c r="U1169" i="1"/>
  <c r="U1604" i="1"/>
  <c r="U2024" i="1"/>
  <c r="U954" i="1"/>
  <c r="U1286" i="1"/>
  <c r="U1718" i="1"/>
  <c r="U174" i="1"/>
  <c r="U26" i="1"/>
  <c r="U126" i="1"/>
  <c r="U102" i="1"/>
  <c r="U294" i="1"/>
  <c r="U114" i="1"/>
  <c r="U7" i="1"/>
  <c r="U55" i="1"/>
  <c r="U187" i="1"/>
  <c r="U215" i="1"/>
  <c r="U267" i="1"/>
  <c r="U363" i="1"/>
  <c r="U9" i="1"/>
  <c r="U253" i="1"/>
  <c r="U269" i="1"/>
  <c r="U445" i="1"/>
  <c r="U673" i="1"/>
  <c r="U477" i="1"/>
  <c r="U493" i="1"/>
  <c r="U501" i="1"/>
  <c r="U649" i="1"/>
  <c r="U665" i="1"/>
  <c r="U705" i="1"/>
  <c r="U721" i="1"/>
  <c r="U929" i="1"/>
  <c r="U1265" i="1"/>
  <c r="U1881" i="1"/>
  <c r="U24" i="1"/>
  <c r="U1212" i="1"/>
  <c r="U1520" i="1"/>
  <c r="U626" i="1"/>
  <c r="U1402" i="1"/>
  <c r="U1466" i="1"/>
  <c r="U1091" i="1"/>
  <c r="U1203" i="1"/>
  <c r="U1219" i="1"/>
  <c r="U1511" i="1"/>
  <c r="U1579" i="1"/>
  <c r="U1587" i="1"/>
  <c r="U422" i="1"/>
  <c r="U478" i="1"/>
  <c r="U79" i="1"/>
  <c r="U407" i="1"/>
  <c r="U419" i="1"/>
  <c r="U435" i="1"/>
  <c r="U455" i="1"/>
  <c r="U1551" i="1"/>
  <c r="U2063" i="1"/>
  <c r="U105" i="1"/>
  <c r="U125" i="1"/>
  <c r="U193" i="1"/>
  <c r="U241" i="1"/>
  <c r="U281" i="1"/>
  <c r="U381" i="1"/>
  <c r="U397" i="1"/>
  <c r="U413" i="1"/>
  <c r="U561" i="1"/>
  <c r="U641" i="1"/>
  <c r="U725" i="1"/>
  <c r="U909" i="1"/>
  <c r="U921" i="1"/>
  <c r="U1873" i="1"/>
  <c r="U1460" i="1"/>
  <c r="U674" i="1"/>
  <c r="U718" i="1"/>
  <c r="U1458" i="1"/>
  <c r="U1057" i="1"/>
  <c r="U1477" i="1"/>
  <c r="U1597" i="1"/>
  <c r="U1973" i="1"/>
  <c r="U2132" i="1"/>
  <c r="U814" i="1"/>
  <c r="U1106" i="1"/>
  <c r="U1318" i="1"/>
  <c r="U1346" i="1"/>
  <c r="U1842" i="1"/>
  <c r="U572" i="1"/>
  <c r="U1029" i="1"/>
  <c r="U1401" i="1"/>
  <c r="U1642" i="1"/>
  <c r="U2070" i="1"/>
  <c r="U2082" i="1"/>
  <c r="U2090" i="1"/>
  <c r="U1840" i="1"/>
  <c r="U1007" i="1"/>
  <c r="U553" i="1"/>
  <c r="U1870" i="1"/>
  <c r="U176" i="1"/>
  <c r="U604" i="1"/>
  <c r="U616" i="1"/>
  <c r="U1064" i="1"/>
  <c r="U1120" i="1"/>
  <c r="U1420" i="1"/>
  <c r="U1456" i="1"/>
  <c r="U1065" i="1"/>
  <c r="U1281" i="1"/>
  <c r="U1325" i="1"/>
  <c r="U1924" i="1"/>
  <c r="U2038" i="1"/>
  <c r="U312" i="1"/>
  <c r="U2008" i="1"/>
  <c r="U2144" i="1"/>
  <c r="U931" i="1"/>
  <c r="U2043" i="1"/>
  <c r="U5" i="1"/>
  <c r="Q2178" i="1"/>
  <c r="Q1048576" i="1" s="1"/>
  <c r="U391" i="1"/>
  <c r="U1636" i="1"/>
  <c r="U2148" i="1"/>
  <c r="U729" i="1"/>
  <c r="U2077" i="1"/>
  <c r="U584" i="1"/>
  <c r="U1080" i="1"/>
  <c r="U1603" i="1"/>
  <c r="U1711" i="1"/>
  <c r="U1975" i="1"/>
  <c r="U2019" i="1"/>
  <c r="U1040" i="1"/>
  <c r="U127" i="1"/>
  <c r="U255" i="1"/>
  <c r="U1316" i="1"/>
  <c r="U1743" i="1"/>
  <c r="U2084" i="1"/>
  <c r="U41" i="1"/>
  <c r="U681" i="1"/>
  <c r="U805" i="1"/>
  <c r="U849" i="1"/>
  <c r="U1045" i="1"/>
  <c r="U1053" i="1"/>
  <c r="U1149" i="1"/>
  <c r="U1553" i="1"/>
  <c r="U1625" i="1"/>
  <c r="U1653" i="1"/>
  <c r="U1765" i="1"/>
  <c r="U2001" i="1"/>
  <c r="U2029" i="1"/>
  <c r="U48" i="1"/>
  <c r="U832" i="1"/>
  <c r="U960" i="1"/>
  <c r="U1256" i="1"/>
  <c r="U1536" i="1"/>
  <c r="U1708" i="1"/>
  <c r="U1732" i="1"/>
  <c r="U1748" i="1"/>
  <c r="U1860" i="1"/>
  <c r="U1916" i="1"/>
  <c r="U1964" i="1"/>
  <c r="U2096" i="1"/>
  <c r="U510" i="1"/>
  <c r="U518" i="1"/>
  <c r="U526" i="1"/>
  <c r="U730" i="1"/>
  <c r="U738" i="1"/>
  <c r="U746" i="1"/>
  <c r="U878" i="1"/>
  <c r="U966" i="1"/>
  <c r="U1046" i="1"/>
  <c r="U1130" i="1"/>
  <c r="U1158" i="1"/>
  <c r="U1206" i="1"/>
  <c r="U1234" i="1"/>
  <c r="U1562" i="1"/>
  <c r="U1570" i="1"/>
  <c r="U1586" i="1"/>
  <c r="U1626" i="1"/>
  <c r="U1670" i="1"/>
  <c r="U1750" i="1"/>
  <c r="U1830" i="1"/>
  <c r="U1850" i="1"/>
  <c r="U1866" i="1"/>
  <c r="U1938" i="1"/>
  <c r="U1966" i="1"/>
  <c r="U2034" i="1"/>
  <c r="U2066" i="1"/>
  <c r="U2106" i="1"/>
  <c r="U2114" i="1"/>
  <c r="U2142" i="1"/>
  <c r="U2150" i="1"/>
  <c r="U52" i="1"/>
  <c r="U104" i="1"/>
  <c r="U144" i="1"/>
  <c r="U160" i="1"/>
  <c r="U188" i="1"/>
  <c r="U624" i="1"/>
  <c r="U684" i="1"/>
  <c r="U756" i="1"/>
  <c r="U828" i="1"/>
  <c r="U892" i="1"/>
  <c r="U908" i="1"/>
  <c r="U956" i="1"/>
  <c r="U1028" i="1"/>
  <c r="U1192" i="1"/>
  <c r="U1240" i="1"/>
  <c r="U1288" i="1"/>
  <c r="U1368" i="1"/>
  <c r="U1472" i="1"/>
  <c r="U1660" i="1"/>
  <c r="U1792" i="1"/>
  <c r="U1856" i="1"/>
  <c r="U1872" i="1"/>
  <c r="U1960" i="1"/>
  <c r="U2095" i="1"/>
  <c r="U515" i="1"/>
  <c r="U587" i="1"/>
  <c r="U599" i="1"/>
  <c r="U759" i="1"/>
  <c r="U779" i="1"/>
  <c r="U843" i="1"/>
  <c r="U1023" i="1"/>
  <c r="U1319" i="1"/>
  <c r="U1363" i="1"/>
  <c r="U1491" i="1"/>
  <c r="U1515" i="1"/>
  <c r="U1751" i="1"/>
  <c r="U1767" i="1"/>
  <c r="U1779" i="1"/>
  <c r="U1815" i="1"/>
  <c r="U1851" i="1"/>
  <c r="U1987" i="1"/>
  <c r="U1995" i="1"/>
  <c r="U2023" i="1"/>
  <c r="U2107" i="1"/>
  <c r="U2147" i="1"/>
  <c r="U1140" i="1"/>
  <c r="U2164" i="1"/>
  <c r="U139" i="1"/>
  <c r="U203" i="1"/>
  <c r="U13" i="1"/>
  <c r="U149" i="1"/>
  <c r="U1413" i="1"/>
  <c r="U2057" i="1"/>
  <c r="U704" i="1"/>
  <c r="U1424" i="1"/>
  <c r="U806" i="1"/>
  <c r="U1250" i="1"/>
  <c r="U1430" i="1"/>
  <c r="U1778" i="1"/>
  <c r="U434" i="1"/>
  <c r="U482" i="1"/>
  <c r="U1865" i="1"/>
  <c r="U1337" i="1"/>
  <c r="U1849" i="1"/>
  <c r="U2020" i="1"/>
  <c r="U2105" i="1"/>
  <c r="U437" i="1"/>
  <c r="U549" i="1"/>
  <c r="U685" i="1"/>
  <c r="U701" i="1"/>
  <c r="U713" i="1"/>
  <c r="U801" i="1"/>
  <c r="U853" i="1"/>
  <c r="U961" i="1"/>
  <c r="U1021" i="1"/>
  <c r="U1093" i="1"/>
  <c r="U1137" i="1"/>
  <c r="U1141" i="1"/>
  <c r="U1489" i="1"/>
  <c r="U1505" i="1"/>
  <c r="U1521" i="1"/>
  <c r="U1601" i="1"/>
  <c r="U1665" i="1"/>
  <c r="U1777" i="1"/>
  <c r="U1789" i="1"/>
  <c r="U1853" i="1"/>
  <c r="U2005" i="1"/>
  <c r="U2125" i="1"/>
  <c r="U2129" i="1"/>
  <c r="U16" i="1"/>
  <c r="U652" i="1"/>
  <c r="U724" i="1"/>
  <c r="U812" i="1"/>
  <c r="U1076" i="1"/>
  <c r="U1220" i="1"/>
  <c r="U1236" i="1"/>
  <c r="U1556" i="1"/>
  <c r="U1596" i="1"/>
  <c r="U1768" i="1"/>
  <c r="U1788" i="1"/>
  <c r="U1896" i="1"/>
  <c r="U1940" i="1"/>
  <c r="U2104" i="1"/>
  <c r="U2140" i="1"/>
  <c r="U1193" i="1"/>
  <c r="U630" i="1"/>
  <c r="U638" i="1"/>
  <c r="U706" i="1"/>
  <c r="U774" i="1"/>
  <c r="U890" i="1"/>
  <c r="U986" i="1"/>
  <c r="U1030" i="1"/>
  <c r="U1054" i="1"/>
  <c r="U1082" i="1"/>
  <c r="U1126" i="1"/>
  <c r="U1246" i="1"/>
  <c r="U1274" i="1"/>
  <c r="U1306" i="1"/>
  <c r="U1350" i="1"/>
  <c r="U1470" i="1"/>
  <c r="U1498" i="1"/>
  <c r="U1526" i="1"/>
  <c r="U1534" i="1"/>
  <c r="U1686" i="1"/>
  <c r="U1714" i="1"/>
  <c r="U1766" i="1"/>
  <c r="U1774" i="1"/>
  <c r="U1810" i="1"/>
  <c r="U1818" i="1"/>
  <c r="U1826" i="1"/>
  <c r="U1874" i="1"/>
  <c r="U1910" i="1"/>
  <c r="U1958" i="1"/>
  <c r="U2018" i="1"/>
  <c r="U2042" i="1"/>
  <c r="U2134" i="1"/>
  <c r="U76" i="1"/>
  <c r="U296" i="1"/>
  <c r="U368" i="1"/>
  <c r="U412" i="1"/>
  <c r="U540" i="1"/>
  <c r="U600" i="1"/>
  <c r="U628" i="1"/>
  <c r="U708" i="1"/>
  <c r="U728" i="1"/>
  <c r="U928" i="1"/>
  <c r="U980" i="1"/>
  <c r="U1248" i="1"/>
  <c r="U1296" i="1"/>
  <c r="U1328" i="1"/>
  <c r="U1592" i="1"/>
  <c r="U2064" i="1"/>
  <c r="U703" i="1"/>
  <c r="U1199" i="1"/>
  <c r="U1391" i="1"/>
  <c r="U1647" i="1"/>
  <c r="U567" i="1"/>
  <c r="U607" i="1"/>
  <c r="U783" i="1"/>
  <c r="U847" i="1"/>
  <c r="U867" i="1"/>
  <c r="U983" i="1"/>
  <c r="U1027" i="1"/>
  <c r="U1119" i="1"/>
  <c r="U1255" i="1"/>
  <c r="U1299" i="1"/>
  <c r="U1335" i="1"/>
  <c r="U1435" i="1"/>
  <c r="U1527" i="1"/>
  <c r="U1575" i="1"/>
  <c r="U1675" i="1"/>
  <c r="U1911" i="1"/>
  <c r="U2015" i="1"/>
  <c r="U1476" i="1"/>
  <c r="U461" i="1"/>
  <c r="U689" i="1"/>
  <c r="U1105" i="1"/>
  <c r="U1329" i="1"/>
  <c r="U2053" i="1"/>
  <c r="U848" i="1"/>
  <c r="U1228" i="1"/>
  <c r="U2052" i="1"/>
  <c r="U538" i="1"/>
  <c r="U1354" i="1"/>
  <c r="U544" i="1"/>
  <c r="U27" i="1"/>
  <c r="U103" i="1"/>
  <c r="U247" i="1"/>
  <c r="U315" i="1"/>
  <c r="U475" i="1"/>
  <c r="U1353" i="1"/>
  <c r="U489" i="1"/>
  <c r="U1188" i="1"/>
  <c r="U1529" i="1"/>
  <c r="U17" i="1"/>
  <c r="U65" i="1"/>
  <c r="U77" i="1"/>
  <c r="U121" i="1"/>
  <c r="U141" i="1"/>
  <c r="U173" i="1"/>
  <c r="U277" i="1"/>
  <c r="U337" i="1"/>
  <c r="U505" i="1"/>
  <c r="U585" i="1"/>
  <c r="U633" i="1"/>
  <c r="U825" i="1"/>
  <c r="U841" i="1"/>
  <c r="U1013" i="1"/>
  <c r="U1061" i="1"/>
  <c r="U1133" i="1"/>
  <c r="U1189" i="1"/>
  <c r="U1229" i="1"/>
  <c r="U1237" i="1"/>
  <c r="U1433" i="1"/>
  <c r="U1569" i="1"/>
  <c r="U1693" i="1"/>
  <c r="U1729" i="1"/>
  <c r="U1961" i="1"/>
  <c r="U2153" i="1"/>
  <c r="U2177" i="1"/>
  <c r="U40" i="1"/>
  <c r="U716" i="1"/>
  <c r="U784" i="1"/>
  <c r="U860" i="1"/>
  <c r="U1108" i="1"/>
  <c r="U1180" i="1"/>
  <c r="U1340" i="1"/>
  <c r="U2112" i="1"/>
  <c r="U498" i="1"/>
  <c r="U830" i="1"/>
  <c r="U1042" i="1"/>
  <c r="U1074" i="1"/>
  <c r="U1134" i="1"/>
  <c r="U1162" i="1"/>
  <c r="U1170" i="1"/>
  <c r="U1182" i="1"/>
  <c r="U1390" i="1"/>
  <c r="U1574" i="1"/>
  <c r="U1622" i="1"/>
  <c r="U1666" i="1"/>
  <c r="U1726" i="1"/>
  <c r="U1834" i="1"/>
  <c r="U1846" i="1"/>
  <c r="U1906" i="1"/>
  <c r="U1926" i="1"/>
  <c r="U1942" i="1"/>
  <c r="U2118" i="1"/>
  <c r="U2154" i="1"/>
  <c r="U2174" i="1"/>
  <c r="U236" i="1"/>
  <c r="U288" i="1"/>
  <c r="U436" i="1"/>
  <c r="U500" i="1"/>
  <c r="U560" i="1"/>
  <c r="U592" i="1"/>
  <c r="U648" i="1"/>
  <c r="U656" i="1"/>
  <c r="U764" i="1"/>
  <c r="U1092" i="1"/>
  <c r="U1232" i="1"/>
  <c r="U1524" i="1"/>
  <c r="U1564" i="1"/>
  <c r="U1952" i="1"/>
  <c r="U647" i="1"/>
  <c r="U791" i="1"/>
  <c r="U807" i="1"/>
  <c r="U871" i="1"/>
  <c r="U927" i="1"/>
  <c r="U1055" i="1"/>
  <c r="U1267" i="1"/>
  <c r="U1275" i="1"/>
  <c r="U1339" i="1"/>
  <c r="U1531" i="1"/>
  <c r="U1623" i="1"/>
  <c r="U1631" i="1"/>
  <c r="U1651" i="1"/>
  <c r="U1783" i="1"/>
  <c r="U1819" i="1"/>
  <c r="U1875" i="1"/>
  <c r="U1915" i="1"/>
  <c r="U1955" i="1"/>
  <c r="U1971" i="1"/>
  <c r="U20" i="1"/>
  <c r="U1652" i="1"/>
  <c r="U1641" i="1"/>
  <c r="U817" i="1"/>
  <c r="U1173" i="1"/>
  <c r="U1233" i="1"/>
  <c r="U1285" i="1"/>
  <c r="U1317" i="1"/>
  <c r="U1929" i="1"/>
  <c r="U1812" i="1"/>
  <c r="U2111" i="1"/>
  <c r="U502" i="1"/>
  <c r="U534" i="1"/>
  <c r="U570" i="1"/>
  <c r="U702" i="1"/>
  <c r="U790" i="1"/>
  <c r="U846" i="1"/>
  <c r="U978" i="1"/>
  <c r="U990" i="1"/>
  <c r="U1414" i="1"/>
  <c r="U1450" i="1"/>
  <c r="U1474" i="1"/>
  <c r="U1518" i="1"/>
  <c r="U1578" i="1"/>
  <c r="U1802" i="1"/>
  <c r="U1838" i="1"/>
  <c r="U1854" i="1"/>
  <c r="U1886" i="1"/>
  <c r="U2046" i="1"/>
  <c r="U220" i="1"/>
  <c r="U256" i="1"/>
  <c r="U272" i="1"/>
  <c r="U284" i="1"/>
  <c r="U428" i="1"/>
  <c r="U576" i="1"/>
  <c r="U1823" i="1"/>
  <c r="U1951" i="1"/>
  <c r="U2079" i="1"/>
  <c r="U2143" i="1"/>
  <c r="U1428" i="1"/>
  <c r="U2047" i="1"/>
  <c r="U2175" i="1"/>
  <c r="U1581" i="1"/>
  <c r="U1609" i="1"/>
  <c r="U1661" i="1"/>
  <c r="U1677" i="1"/>
  <c r="U1921" i="1"/>
  <c r="U2013" i="1"/>
  <c r="U2097" i="1"/>
  <c r="U68" i="1"/>
  <c r="U824" i="1"/>
  <c r="U1048" i="1"/>
  <c r="U1136" i="1"/>
  <c r="U1640" i="1"/>
  <c r="U1868" i="1"/>
  <c r="U1900" i="1"/>
  <c r="U2156" i="1"/>
  <c r="U1279" i="1"/>
  <c r="U300" i="1"/>
  <c r="U496" i="1"/>
  <c r="U508" i="1"/>
  <c r="U744" i="1"/>
  <c r="U916" i="1"/>
  <c r="U936" i="1"/>
  <c r="U1044" i="1"/>
  <c r="U1208" i="1"/>
  <c r="U1584" i="1"/>
  <c r="U1624" i="1"/>
  <c r="U1928" i="1"/>
  <c r="U2012" i="1"/>
  <c r="U2076" i="1"/>
  <c r="U1369" i="1"/>
  <c r="U1583" i="1"/>
  <c r="U527" i="1"/>
  <c r="U639" i="1"/>
  <c r="U655" i="1"/>
  <c r="U935" i="1"/>
  <c r="U1003" i="1"/>
  <c r="U1047" i="1"/>
  <c r="U1083" i="1"/>
  <c r="U1139" i="1"/>
  <c r="U1355" i="1"/>
  <c r="U1411" i="1"/>
  <c r="U1447" i="1"/>
  <c r="U1563" i="1"/>
  <c r="U1567" i="1"/>
  <c r="U1747" i="1"/>
  <c r="U1859" i="1"/>
  <c r="U1943" i="1"/>
  <c r="U2135" i="1"/>
  <c r="U2167" i="1"/>
  <c r="M2182" i="1"/>
  <c r="U2178" i="1" l="1"/>
</calcChain>
</file>

<file path=xl/sharedStrings.xml><?xml version="1.0" encoding="utf-8"?>
<sst xmlns="http://schemas.openxmlformats.org/spreadsheetml/2006/main" count="14034" uniqueCount="2301">
  <si>
    <t>customer_rating</t>
  </si>
  <si>
    <t>FB000001</t>
  </si>
  <si>
    <t>Outerwear</t>
  </si>
  <si>
    <t>Zara</t>
  </si>
  <si>
    <t>Spring</t>
  </si>
  <si>
    <t>XL</t>
  </si>
  <si>
    <t>Red</t>
  </si>
  <si>
    <t>N/A</t>
  </si>
  <si>
    <t>FB000002</t>
  </si>
  <si>
    <t>Tops</t>
  </si>
  <si>
    <t>Uniqlo</t>
  </si>
  <si>
    <t>Winter</t>
  </si>
  <si>
    <t>L</t>
  </si>
  <si>
    <t>Pink</t>
  </si>
  <si>
    <t>FB000003</t>
  </si>
  <si>
    <t>Accessories</t>
  </si>
  <si>
    <t>Black</t>
  </si>
  <si>
    <t>FB000004</t>
  </si>
  <si>
    <t>Shoes</t>
  </si>
  <si>
    <t>Changed Mind</t>
  </si>
  <si>
    <t>FB000005</t>
  </si>
  <si>
    <t>Banana Republic</t>
  </si>
  <si>
    <t>FB000006</t>
  </si>
  <si>
    <t>Fall</t>
  </si>
  <si>
    <t>UNDISCLOSED</t>
  </si>
  <si>
    <t>FB000007</t>
  </si>
  <si>
    <t>Bottoms</t>
  </si>
  <si>
    <t>S</t>
  </si>
  <si>
    <t>Gray</t>
  </si>
  <si>
    <t>FB000008</t>
  </si>
  <si>
    <t>Dresses</t>
  </si>
  <si>
    <t>Mango</t>
  </si>
  <si>
    <t>Blue</t>
  </si>
  <si>
    <t>Size Issue</t>
  </si>
  <si>
    <t>FB000009</t>
  </si>
  <si>
    <t>Green</t>
  </si>
  <si>
    <t>FB000010</t>
  </si>
  <si>
    <t>H&amp;M</t>
  </si>
  <si>
    <t>XXL</t>
  </si>
  <si>
    <t>FB000011</t>
  </si>
  <si>
    <t>FB000012</t>
  </si>
  <si>
    <t>FB000013</t>
  </si>
  <si>
    <t>Ann Taylor</t>
  </si>
  <si>
    <t>White</t>
  </si>
  <si>
    <t>Quality Not As Expected</t>
  </si>
  <si>
    <t>FB000014</t>
  </si>
  <si>
    <t>XS</t>
  </si>
  <si>
    <t>Beige</t>
  </si>
  <si>
    <t>FB000015</t>
  </si>
  <si>
    <t>M</t>
  </si>
  <si>
    <t>Color Mismatch</t>
  </si>
  <si>
    <t>FB000016</t>
  </si>
  <si>
    <t>FB000017</t>
  </si>
  <si>
    <t>Gap</t>
  </si>
  <si>
    <t>Summer</t>
  </si>
  <si>
    <t>FB000018</t>
  </si>
  <si>
    <t>Navy</t>
  </si>
  <si>
    <t>FB000019</t>
  </si>
  <si>
    <t>Purple</t>
  </si>
  <si>
    <t>FB000020</t>
  </si>
  <si>
    <t>FB000021</t>
  </si>
  <si>
    <t>FB000022</t>
  </si>
  <si>
    <t>FB000023</t>
  </si>
  <si>
    <t>FB000024</t>
  </si>
  <si>
    <t>FB000025</t>
  </si>
  <si>
    <t>Forever21</t>
  </si>
  <si>
    <t>FB000026</t>
  </si>
  <si>
    <t>FB000027</t>
  </si>
  <si>
    <t>FB000028</t>
  </si>
  <si>
    <t>FB000029</t>
  </si>
  <si>
    <t>FB000030</t>
  </si>
  <si>
    <t>FB000031</t>
  </si>
  <si>
    <t>FB000032</t>
  </si>
  <si>
    <t>FB000033</t>
  </si>
  <si>
    <t>FB000034</t>
  </si>
  <si>
    <t>FB000035</t>
  </si>
  <si>
    <t>FB000036</t>
  </si>
  <si>
    <t>FB000037</t>
  </si>
  <si>
    <t>FB000038</t>
  </si>
  <si>
    <t>FB000039</t>
  </si>
  <si>
    <t>Damaged Product</t>
  </si>
  <si>
    <t>FB000040</t>
  </si>
  <si>
    <t>FB000041</t>
  </si>
  <si>
    <t>FB000042</t>
  </si>
  <si>
    <t>FB000043</t>
  </si>
  <si>
    <t>FB000044</t>
  </si>
  <si>
    <t>FB000045</t>
  </si>
  <si>
    <t>FB000046</t>
  </si>
  <si>
    <t>Brown</t>
  </si>
  <si>
    <t>FB000047</t>
  </si>
  <si>
    <t>FB000048</t>
  </si>
  <si>
    <t>FB000049</t>
  </si>
  <si>
    <t>FB000050</t>
  </si>
  <si>
    <t>FB000051</t>
  </si>
  <si>
    <t>FB000052</t>
  </si>
  <si>
    <t>FB000053</t>
  </si>
  <si>
    <t>FB000054</t>
  </si>
  <si>
    <t>FB000055</t>
  </si>
  <si>
    <t>FB000056</t>
  </si>
  <si>
    <t>FB000057</t>
  </si>
  <si>
    <t>FB000058</t>
  </si>
  <si>
    <t>FB000059</t>
  </si>
  <si>
    <t>FB000060</t>
  </si>
  <si>
    <t>FB000061</t>
  </si>
  <si>
    <t>FB000062</t>
  </si>
  <si>
    <t>FB000063</t>
  </si>
  <si>
    <t>FB000064</t>
  </si>
  <si>
    <t>FB000065</t>
  </si>
  <si>
    <t>FB000066</t>
  </si>
  <si>
    <t>FB000067</t>
  </si>
  <si>
    <t>FB000068</t>
  </si>
  <si>
    <t>FB000069</t>
  </si>
  <si>
    <t>FB000070</t>
  </si>
  <si>
    <t>FB000071</t>
  </si>
  <si>
    <t>FB000072</t>
  </si>
  <si>
    <t>FB000073</t>
  </si>
  <si>
    <t>FB000074</t>
  </si>
  <si>
    <t>FB000075</t>
  </si>
  <si>
    <t>FB000076</t>
  </si>
  <si>
    <t>FB000077</t>
  </si>
  <si>
    <t>FB000078</t>
  </si>
  <si>
    <t>FB000079</t>
  </si>
  <si>
    <t>FB000080</t>
  </si>
  <si>
    <t>FB000081</t>
  </si>
  <si>
    <t>FB000082</t>
  </si>
  <si>
    <t>FB000083</t>
  </si>
  <si>
    <t>FB000084</t>
  </si>
  <si>
    <t>FB000085</t>
  </si>
  <si>
    <t>FB000086</t>
  </si>
  <si>
    <t>FB000087</t>
  </si>
  <si>
    <t>FB000088</t>
  </si>
  <si>
    <t>FB000089</t>
  </si>
  <si>
    <t>FB000090</t>
  </si>
  <si>
    <t>FB000091</t>
  </si>
  <si>
    <t>FB000092</t>
  </si>
  <si>
    <t>FB000093</t>
  </si>
  <si>
    <t>FB000094</t>
  </si>
  <si>
    <t>FB000095</t>
  </si>
  <si>
    <t>FB000096</t>
  </si>
  <si>
    <t>FB000097</t>
  </si>
  <si>
    <t>FB000098</t>
  </si>
  <si>
    <t>FB000099</t>
  </si>
  <si>
    <t>FB000100</t>
  </si>
  <si>
    <t>FB000101</t>
  </si>
  <si>
    <t>FB000102</t>
  </si>
  <si>
    <t>FB000103</t>
  </si>
  <si>
    <t>FB000104</t>
  </si>
  <si>
    <t>FB000105</t>
  </si>
  <si>
    <t>FB000106</t>
  </si>
  <si>
    <t>FB000107</t>
  </si>
  <si>
    <t>FB000108</t>
  </si>
  <si>
    <t>FB000109</t>
  </si>
  <si>
    <t>FB000110</t>
  </si>
  <si>
    <t>FB000111</t>
  </si>
  <si>
    <t>FB000112</t>
  </si>
  <si>
    <t>FB000113</t>
  </si>
  <si>
    <t>FB000114</t>
  </si>
  <si>
    <t>FB000115</t>
  </si>
  <si>
    <t>FB000116</t>
  </si>
  <si>
    <t>FB000117</t>
  </si>
  <si>
    <t>FB000118</t>
  </si>
  <si>
    <t>FB000119</t>
  </si>
  <si>
    <t>FB000120</t>
  </si>
  <si>
    <t>FB000121</t>
  </si>
  <si>
    <t>FB000122</t>
  </si>
  <si>
    <t>FB000123</t>
  </si>
  <si>
    <t>FB000124</t>
  </si>
  <si>
    <t>FB000125</t>
  </si>
  <si>
    <t>FB000126</t>
  </si>
  <si>
    <t>FB000127</t>
  </si>
  <si>
    <t>FB000128</t>
  </si>
  <si>
    <t>FB000129</t>
  </si>
  <si>
    <t>FB000130</t>
  </si>
  <si>
    <t>FB000131</t>
  </si>
  <si>
    <t>FB000132</t>
  </si>
  <si>
    <t>FB000133</t>
  </si>
  <si>
    <t>FB000134</t>
  </si>
  <si>
    <t>FB000135</t>
  </si>
  <si>
    <t>FB000136</t>
  </si>
  <si>
    <t>FB000137</t>
  </si>
  <si>
    <t>FB000138</t>
  </si>
  <si>
    <t>FB000139</t>
  </si>
  <si>
    <t>FB000140</t>
  </si>
  <si>
    <t>FB000141</t>
  </si>
  <si>
    <t>FB000142</t>
  </si>
  <si>
    <t>FB000143</t>
  </si>
  <si>
    <t>FB000144</t>
  </si>
  <si>
    <t>FB000145</t>
  </si>
  <si>
    <t>FB000146</t>
  </si>
  <si>
    <t>FB000147</t>
  </si>
  <si>
    <t>FB000148</t>
  </si>
  <si>
    <t>FB000149</t>
  </si>
  <si>
    <t>FB000150</t>
  </si>
  <si>
    <t>FB000151</t>
  </si>
  <si>
    <t>FB000152</t>
  </si>
  <si>
    <t>FB000153</t>
  </si>
  <si>
    <t>FB000154</t>
  </si>
  <si>
    <t>FB000155</t>
  </si>
  <si>
    <t>FB000156</t>
  </si>
  <si>
    <t>FB000157</t>
  </si>
  <si>
    <t>FB000158</t>
  </si>
  <si>
    <t>FB000159</t>
  </si>
  <si>
    <t>FB000160</t>
  </si>
  <si>
    <t>FB000161</t>
  </si>
  <si>
    <t>FB000162</t>
  </si>
  <si>
    <t>FB000163</t>
  </si>
  <si>
    <t>FB000164</t>
  </si>
  <si>
    <t>FB000165</t>
  </si>
  <si>
    <t>FB000166</t>
  </si>
  <si>
    <t>FB000167</t>
  </si>
  <si>
    <t>FB000168</t>
  </si>
  <si>
    <t>FB000169</t>
  </si>
  <si>
    <t>FB000170</t>
  </si>
  <si>
    <t>FB000171</t>
  </si>
  <si>
    <t>FB000172</t>
  </si>
  <si>
    <t>FB000173</t>
  </si>
  <si>
    <t>FB000174</t>
  </si>
  <si>
    <t>FB000175</t>
  </si>
  <si>
    <t>FB000176</t>
  </si>
  <si>
    <t>FB000177</t>
  </si>
  <si>
    <t>FB000178</t>
  </si>
  <si>
    <t>FB000179</t>
  </si>
  <si>
    <t>FB000180</t>
  </si>
  <si>
    <t>FB000181</t>
  </si>
  <si>
    <t>FB000182</t>
  </si>
  <si>
    <t>FB000183</t>
  </si>
  <si>
    <t>FB000184</t>
  </si>
  <si>
    <t>FB000185</t>
  </si>
  <si>
    <t>FB000186</t>
  </si>
  <si>
    <t>FB000187</t>
  </si>
  <si>
    <t>FB000188</t>
  </si>
  <si>
    <t>FB000189</t>
  </si>
  <si>
    <t>FB000190</t>
  </si>
  <si>
    <t>FB000191</t>
  </si>
  <si>
    <t>FB000192</t>
  </si>
  <si>
    <t>FB000193</t>
  </si>
  <si>
    <t>FB000194</t>
  </si>
  <si>
    <t>FB000195</t>
  </si>
  <si>
    <t>FB000196</t>
  </si>
  <si>
    <t>FB000197</t>
  </si>
  <si>
    <t>FB000198</t>
  </si>
  <si>
    <t>FB000199</t>
  </si>
  <si>
    <t>FB000200</t>
  </si>
  <si>
    <t>FB000201</t>
  </si>
  <si>
    <t>FB000202</t>
  </si>
  <si>
    <t>FB000203</t>
  </si>
  <si>
    <t>FB000204</t>
  </si>
  <si>
    <t>FB000205</t>
  </si>
  <si>
    <t>FB000206</t>
  </si>
  <si>
    <t>FB000207</t>
  </si>
  <si>
    <t>FB000208</t>
  </si>
  <si>
    <t>FB000209</t>
  </si>
  <si>
    <t>FB000210</t>
  </si>
  <si>
    <t>FB000211</t>
  </si>
  <si>
    <t>FB000212</t>
  </si>
  <si>
    <t>FB000213</t>
  </si>
  <si>
    <t>FB000214</t>
  </si>
  <si>
    <t>FB000215</t>
  </si>
  <si>
    <t>FB000216</t>
  </si>
  <si>
    <t>FB000217</t>
  </si>
  <si>
    <t>FB000218</t>
  </si>
  <si>
    <t>FB000219</t>
  </si>
  <si>
    <t>FB000220</t>
  </si>
  <si>
    <t>FB000221</t>
  </si>
  <si>
    <t>FB000222</t>
  </si>
  <si>
    <t>FB000223</t>
  </si>
  <si>
    <t>FB000224</t>
  </si>
  <si>
    <t>FB000225</t>
  </si>
  <si>
    <t>FB000226</t>
  </si>
  <si>
    <t>FB000227</t>
  </si>
  <si>
    <t>FB000228</t>
  </si>
  <si>
    <t>FB000229</t>
  </si>
  <si>
    <t>FB000230</t>
  </si>
  <si>
    <t>FB000231</t>
  </si>
  <si>
    <t>FB000232</t>
  </si>
  <si>
    <t>FB000233</t>
  </si>
  <si>
    <t>FB000234</t>
  </si>
  <si>
    <t>FB000235</t>
  </si>
  <si>
    <t>FB000236</t>
  </si>
  <si>
    <t>FB000237</t>
  </si>
  <si>
    <t>FB000238</t>
  </si>
  <si>
    <t>FB000239</t>
  </si>
  <si>
    <t>FB000240</t>
  </si>
  <si>
    <t>FB000241</t>
  </si>
  <si>
    <t>FB000242</t>
  </si>
  <si>
    <t>FB000243</t>
  </si>
  <si>
    <t>FB000244</t>
  </si>
  <si>
    <t>FB000245</t>
  </si>
  <si>
    <t>FB000246</t>
  </si>
  <si>
    <t>FB000247</t>
  </si>
  <si>
    <t>FB000248</t>
  </si>
  <si>
    <t>FB000249</t>
  </si>
  <si>
    <t>FB000250</t>
  </si>
  <si>
    <t>FB000251</t>
  </si>
  <si>
    <t>FB000252</t>
  </si>
  <si>
    <t>FB000253</t>
  </si>
  <si>
    <t>FB000254</t>
  </si>
  <si>
    <t>FB000255</t>
  </si>
  <si>
    <t>FB000256</t>
  </si>
  <si>
    <t>FB000257</t>
  </si>
  <si>
    <t>FB000258</t>
  </si>
  <si>
    <t>FB000259</t>
  </si>
  <si>
    <t>FB000260</t>
  </si>
  <si>
    <t>FB000261</t>
  </si>
  <si>
    <t>FB000262</t>
  </si>
  <si>
    <t>FB000263</t>
  </si>
  <si>
    <t>FB000264</t>
  </si>
  <si>
    <t>FB000265</t>
  </si>
  <si>
    <t>FB000266</t>
  </si>
  <si>
    <t>Wrong Item Sent</t>
  </si>
  <si>
    <t>FB000267</t>
  </si>
  <si>
    <t>FB000268</t>
  </si>
  <si>
    <t>FB000269</t>
  </si>
  <si>
    <t>FB000270</t>
  </si>
  <si>
    <t>FB000271</t>
  </si>
  <si>
    <t>FB000272</t>
  </si>
  <si>
    <t>FB000273</t>
  </si>
  <si>
    <t>FB000274</t>
  </si>
  <si>
    <t>FB000275</t>
  </si>
  <si>
    <t>FB000276</t>
  </si>
  <si>
    <t>FB000277</t>
  </si>
  <si>
    <t>FB000278</t>
  </si>
  <si>
    <t>FB000279</t>
  </si>
  <si>
    <t>FB000280</t>
  </si>
  <si>
    <t>FB000281</t>
  </si>
  <si>
    <t>FB000282</t>
  </si>
  <si>
    <t>FB000283</t>
  </si>
  <si>
    <t>FB000284</t>
  </si>
  <si>
    <t>FB000285</t>
  </si>
  <si>
    <t>FB000286</t>
  </si>
  <si>
    <t>FB000287</t>
  </si>
  <si>
    <t>FB000288</t>
  </si>
  <si>
    <t>FB000289</t>
  </si>
  <si>
    <t>FB000290</t>
  </si>
  <si>
    <t>FB000291</t>
  </si>
  <si>
    <t>FB000292</t>
  </si>
  <si>
    <t>FB000293</t>
  </si>
  <si>
    <t>FB000294</t>
  </si>
  <si>
    <t>FB000295</t>
  </si>
  <si>
    <t>FB000296</t>
  </si>
  <si>
    <t>FB000297</t>
  </si>
  <si>
    <t>FB000298</t>
  </si>
  <si>
    <t>FB000299</t>
  </si>
  <si>
    <t>FB000300</t>
  </si>
  <si>
    <t>FB000301</t>
  </si>
  <si>
    <t>FB000302</t>
  </si>
  <si>
    <t>FB000303</t>
  </si>
  <si>
    <t>FB000304</t>
  </si>
  <si>
    <t>FB000305</t>
  </si>
  <si>
    <t>FB000306</t>
  </si>
  <si>
    <t>FB000307</t>
  </si>
  <si>
    <t>FB000308</t>
  </si>
  <si>
    <t>FB000309</t>
  </si>
  <si>
    <t>FB000310</t>
  </si>
  <si>
    <t>FB000311</t>
  </si>
  <si>
    <t>FB000312</t>
  </si>
  <si>
    <t>FB000313</t>
  </si>
  <si>
    <t>FB000314</t>
  </si>
  <si>
    <t>FB000315</t>
  </si>
  <si>
    <t>FB000316</t>
  </si>
  <si>
    <t>FB000317</t>
  </si>
  <si>
    <t>FB000318</t>
  </si>
  <si>
    <t>FB000319</t>
  </si>
  <si>
    <t>FB000320</t>
  </si>
  <si>
    <t>FB000321</t>
  </si>
  <si>
    <t>FB000322</t>
  </si>
  <si>
    <t>FB000323</t>
  </si>
  <si>
    <t>FB000324</t>
  </si>
  <si>
    <t>FB000325</t>
  </si>
  <si>
    <t>FB000326</t>
  </si>
  <si>
    <t>FB000327</t>
  </si>
  <si>
    <t>FB000328</t>
  </si>
  <si>
    <t>FB000329</t>
  </si>
  <si>
    <t>FB000330</t>
  </si>
  <si>
    <t>FB000331</t>
  </si>
  <si>
    <t>FB000332</t>
  </si>
  <si>
    <t>FB000333</t>
  </si>
  <si>
    <t>FB000334</t>
  </si>
  <si>
    <t>FB000335</t>
  </si>
  <si>
    <t>FB000336</t>
  </si>
  <si>
    <t>FB000337</t>
  </si>
  <si>
    <t>FB000338</t>
  </si>
  <si>
    <t>FB000339</t>
  </si>
  <si>
    <t>FB000340</t>
  </si>
  <si>
    <t>FB000341</t>
  </si>
  <si>
    <t>FB000342</t>
  </si>
  <si>
    <t>FB000343</t>
  </si>
  <si>
    <t>FB000344</t>
  </si>
  <si>
    <t>FB000345</t>
  </si>
  <si>
    <t>FB000346</t>
  </si>
  <si>
    <t>FB000347</t>
  </si>
  <si>
    <t>FB000348</t>
  </si>
  <si>
    <t>FB000349</t>
  </si>
  <si>
    <t>FB000350</t>
  </si>
  <si>
    <t>FB000351</t>
  </si>
  <si>
    <t>FB000352</t>
  </si>
  <si>
    <t>FB000353</t>
  </si>
  <si>
    <t>FB000354</t>
  </si>
  <si>
    <t>FB000355</t>
  </si>
  <si>
    <t>FB000356</t>
  </si>
  <si>
    <t>FB000357</t>
  </si>
  <si>
    <t>FB000358</t>
  </si>
  <si>
    <t>FB000359</t>
  </si>
  <si>
    <t>FB000360</t>
  </si>
  <si>
    <t>FB000361</t>
  </si>
  <si>
    <t>FB000362</t>
  </si>
  <si>
    <t>FB000363</t>
  </si>
  <si>
    <t>FB000364</t>
  </si>
  <si>
    <t>FB000365</t>
  </si>
  <si>
    <t>FB000366</t>
  </si>
  <si>
    <t>FB000367</t>
  </si>
  <si>
    <t>FB000368</t>
  </si>
  <si>
    <t>FB000369</t>
  </si>
  <si>
    <t>FB000370</t>
  </si>
  <si>
    <t>FB000371</t>
  </si>
  <si>
    <t>FB000372</t>
  </si>
  <si>
    <t>FB000373</t>
  </si>
  <si>
    <t>FB000374</t>
  </si>
  <si>
    <t>FB000375</t>
  </si>
  <si>
    <t>FB000376</t>
  </si>
  <si>
    <t>FB000377</t>
  </si>
  <si>
    <t>FB000378</t>
  </si>
  <si>
    <t>FB000379</t>
  </si>
  <si>
    <t>FB000380</t>
  </si>
  <si>
    <t>FB000381</t>
  </si>
  <si>
    <t>FB000382</t>
  </si>
  <si>
    <t>FB000383</t>
  </si>
  <si>
    <t>FB000384</t>
  </si>
  <si>
    <t>FB000385</t>
  </si>
  <si>
    <t>FB000386</t>
  </si>
  <si>
    <t>FB000387</t>
  </si>
  <si>
    <t>FB000388</t>
  </si>
  <si>
    <t>FB000389</t>
  </si>
  <si>
    <t>FB000390</t>
  </si>
  <si>
    <t>FB000391</t>
  </si>
  <si>
    <t>FB000392</t>
  </si>
  <si>
    <t>FB000393</t>
  </si>
  <si>
    <t>FB000394</t>
  </si>
  <si>
    <t>FB000395</t>
  </si>
  <si>
    <t>FB000396</t>
  </si>
  <si>
    <t>FB000397</t>
  </si>
  <si>
    <t>FB000398</t>
  </si>
  <si>
    <t>FB000399</t>
  </si>
  <si>
    <t>FB000400</t>
  </si>
  <si>
    <t>FB000401</t>
  </si>
  <si>
    <t>FB000402</t>
  </si>
  <si>
    <t>FB000403</t>
  </si>
  <si>
    <t>FB000404</t>
  </si>
  <si>
    <t>FB000405</t>
  </si>
  <si>
    <t>FB000406</t>
  </si>
  <si>
    <t>FB000407</t>
  </si>
  <si>
    <t>FB000408</t>
  </si>
  <si>
    <t>FB000409</t>
  </si>
  <si>
    <t>FB000410</t>
  </si>
  <si>
    <t>FB000411</t>
  </si>
  <si>
    <t>FB000412</t>
  </si>
  <si>
    <t>FB000413</t>
  </si>
  <si>
    <t>FB000414</t>
  </si>
  <si>
    <t>FB000415</t>
  </si>
  <si>
    <t>FB000416</t>
  </si>
  <si>
    <t>FB000417</t>
  </si>
  <si>
    <t>FB000418</t>
  </si>
  <si>
    <t>FB000419</t>
  </si>
  <si>
    <t>FB000420</t>
  </si>
  <si>
    <t>FB000421</t>
  </si>
  <si>
    <t>FB000422</t>
  </si>
  <si>
    <t>FB000423</t>
  </si>
  <si>
    <t>FB000424</t>
  </si>
  <si>
    <t>FB000425</t>
  </si>
  <si>
    <t>FB000426</t>
  </si>
  <si>
    <t>FB000427</t>
  </si>
  <si>
    <t>FB000428</t>
  </si>
  <si>
    <t>FB000429</t>
  </si>
  <si>
    <t>FB000430</t>
  </si>
  <si>
    <t>FB000431</t>
  </si>
  <si>
    <t>FB000432</t>
  </si>
  <si>
    <t>FB000433</t>
  </si>
  <si>
    <t>FB000434</t>
  </si>
  <si>
    <t>FB000435</t>
  </si>
  <si>
    <t>FB000436</t>
  </si>
  <si>
    <t>FB000437</t>
  </si>
  <si>
    <t>FB000438</t>
  </si>
  <si>
    <t>FB000439</t>
  </si>
  <si>
    <t>FB000440</t>
  </si>
  <si>
    <t>FB000441</t>
  </si>
  <si>
    <t>FB000442</t>
  </si>
  <si>
    <t>FB000443</t>
  </si>
  <si>
    <t>FB000444</t>
  </si>
  <si>
    <t>FB000445</t>
  </si>
  <si>
    <t>FB000446</t>
  </si>
  <si>
    <t>FB000447</t>
  </si>
  <si>
    <t>FB000448</t>
  </si>
  <si>
    <t>FB000449</t>
  </si>
  <si>
    <t>FB000450</t>
  </si>
  <si>
    <t>FB000451</t>
  </si>
  <si>
    <t>FB000452</t>
  </si>
  <si>
    <t>FB000453</t>
  </si>
  <si>
    <t>FB000454</t>
  </si>
  <si>
    <t>FB000455</t>
  </si>
  <si>
    <t>FB000456</t>
  </si>
  <si>
    <t>FB000457</t>
  </si>
  <si>
    <t>FB000458</t>
  </si>
  <si>
    <t>FB000459</t>
  </si>
  <si>
    <t>FB000460</t>
  </si>
  <si>
    <t>FB000461</t>
  </si>
  <si>
    <t>FB000462</t>
  </si>
  <si>
    <t>FB000463</t>
  </si>
  <si>
    <t>FB000464</t>
  </si>
  <si>
    <t>FB000465</t>
  </si>
  <si>
    <t>FB000466</t>
  </si>
  <si>
    <t>FB000467</t>
  </si>
  <si>
    <t>FB000468</t>
  </si>
  <si>
    <t>FB000469</t>
  </si>
  <si>
    <t>FB000470</t>
  </si>
  <si>
    <t>FB000471</t>
  </si>
  <si>
    <t>FB000472</t>
  </si>
  <si>
    <t>FB000473</t>
  </si>
  <si>
    <t>FB000474</t>
  </si>
  <si>
    <t>FB000475</t>
  </si>
  <si>
    <t>FB000476</t>
  </si>
  <si>
    <t>FB000477</t>
  </si>
  <si>
    <t>FB000478</t>
  </si>
  <si>
    <t>FB000479</t>
  </si>
  <si>
    <t>FB000480</t>
  </si>
  <si>
    <t>FB000481</t>
  </si>
  <si>
    <t>FB000482</t>
  </si>
  <si>
    <t>FB000483</t>
  </si>
  <si>
    <t>FB000484</t>
  </si>
  <si>
    <t>FB000485</t>
  </si>
  <si>
    <t>FB000486</t>
  </si>
  <si>
    <t>FB000487</t>
  </si>
  <si>
    <t>FB000488</t>
  </si>
  <si>
    <t>FB000489</t>
  </si>
  <si>
    <t>FB000490</t>
  </si>
  <si>
    <t>FB000491</t>
  </si>
  <si>
    <t>FB000492</t>
  </si>
  <si>
    <t>FB000493</t>
  </si>
  <si>
    <t>FB000494</t>
  </si>
  <si>
    <t>FB000495</t>
  </si>
  <si>
    <t>FB000496</t>
  </si>
  <si>
    <t>FB000497</t>
  </si>
  <si>
    <t>FB000498</t>
  </si>
  <si>
    <t>FB000499</t>
  </si>
  <si>
    <t>FB000500</t>
  </si>
  <si>
    <t>FB000501</t>
  </si>
  <si>
    <t>FB000502</t>
  </si>
  <si>
    <t>FB000503</t>
  </si>
  <si>
    <t>FB000504</t>
  </si>
  <si>
    <t>FB000505</t>
  </si>
  <si>
    <t>FB000506</t>
  </si>
  <si>
    <t>FB000507</t>
  </si>
  <si>
    <t>FB000508</t>
  </si>
  <si>
    <t>FB000509</t>
  </si>
  <si>
    <t>FB000510</t>
  </si>
  <si>
    <t>FB000511</t>
  </si>
  <si>
    <t>FB000512</t>
  </si>
  <si>
    <t>FB000513</t>
  </si>
  <si>
    <t>FB000514</t>
  </si>
  <si>
    <t>FB000515</t>
  </si>
  <si>
    <t>FB000516</t>
  </si>
  <si>
    <t>FB000517</t>
  </si>
  <si>
    <t>FB000518</t>
  </si>
  <si>
    <t>FB000519</t>
  </si>
  <si>
    <t>FB000520</t>
  </si>
  <si>
    <t>FB000521</t>
  </si>
  <si>
    <t>FB000522</t>
  </si>
  <si>
    <t>FB000523</t>
  </si>
  <si>
    <t>FB000524</t>
  </si>
  <si>
    <t>FB000525</t>
  </si>
  <si>
    <t>FB000526</t>
  </si>
  <si>
    <t>FB000527</t>
  </si>
  <si>
    <t>FB000528</t>
  </si>
  <si>
    <t>FB000529</t>
  </si>
  <si>
    <t>FB000530</t>
  </si>
  <si>
    <t>FB000531</t>
  </si>
  <si>
    <t>FB000532</t>
  </si>
  <si>
    <t>FB000533</t>
  </si>
  <si>
    <t>FB000534</t>
  </si>
  <si>
    <t>FB000535</t>
  </si>
  <si>
    <t>FB000536</t>
  </si>
  <si>
    <t>FB000537</t>
  </si>
  <si>
    <t>FB000538</t>
  </si>
  <si>
    <t>FB000539</t>
  </si>
  <si>
    <t>FB000540</t>
  </si>
  <si>
    <t>FB000541</t>
  </si>
  <si>
    <t>FB000542</t>
  </si>
  <si>
    <t>FB000543</t>
  </si>
  <si>
    <t>FB000544</t>
  </si>
  <si>
    <t>FB000545</t>
  </si>
  <si>
    <t>FB000546</t>
  </si>
  <si>
    <t>FB000547</t>
  </si>
  <si>
    <t>FB000548</t>
  </si>
  <si>
    <t>FB000549</t>
  </si>
  <si>
    <t>FB000550</t>
  </si>
  <si>
    <t>FB000551</t>
  </si>
  <si>
    <t>FB000552</t>
  </si>
  <si>
    <t>FB000553</t>
  </si>
  <si>
    <t>FB000554</t>
  </si>
  <si>
    <t>FB000555</t>
  </si>
  <si>
    <t>FB000556</t>
  </si>
  <si>
    <t>FB000557</t>
  </si>
  <si>
    <t>FB000558</t>
  </si>
  <si>
    <t>FB000559</t>
  </si>
  <si>
    <t>FB000560</t>
  </si>
  <si>
    <t>FB000561</t>
  </si>
  <si>
    <t>FB000562</t>
  </si>
  <si>
    <t>FB000563</t>
  </si>
  <si>
    <t>FB000564</t>
  </si>
  <si>
    <t>FB000565</t>
  </si>
  <si>
    <t>FB000566</t>
  </si>
  <si>
    <t>FB000567</t>
  </si>
  <si>
    <t>FB000568</t>
  </si>
  <si>
    <t>FB000569</t>
  </si>
  <si>
    <t>FB000570</t>
  </si>
  <si>
    <t>FB000571</t>
  </si>
  <si>
    <t>FB000572</t>
  </si>
  <si>
    <t>FB000573</t>
  </si>
  <si>
    <t>FB000574</t>
  </si>
  <si>
    <t>FB000575</t>
  </si>
  <si>
    <t>FB000576</t>
  </si>
  <si>
    <t>FB000577</t>
  </si>
  <si>
    <t>FB000578</t>
  </si>
  <si>
    <t>FB000579</t>
  </si>
  <si>
    <t>FB000580</t>
  </si>
  <si>
    <t>FB000581</t>
  </si>
  <si>
    <t>FB000582</t>
  </si>
  <si>
    <t>FB000583</t>
  </si>
  <si>
    <t>FB000584</t>
  </si>
  <si>
    <t>FB000585</t>
  </si>
  <si>
    <t>FB000586</t>
  </si>
  <si>
    <t>FB000587</t>
  </si>
  <si>
    <t>FB000588</t>
  </si>
  <si>
    <t>FB000589</t>
  </si>
  <si>
    <t>FB000590</t>
  </si>
  <si>
    <t>FB000591</t>
  </si>
  <si>
    <t>FB000592</t>
  </si>
  <si>
    <t>FB000593</t>
  </si>
  <si>
    <t>FB000594</t>
  </si>
  <si>
    <t>FB000595</t>
  </si>
  <si>
    <t>FB000596</t>
  </si>
  <si>
    <t>FB000597</t>
  </si>
  <si>
    <t>FB000598</t>
  </si>
  <si>
    <t>FB000599</t>
  </si>
  <si>
    <t>FB000600</t>
  </si>
  <si>
    <t>FB000601</t>
  </si>
  <si>
    <t>FB000602</t>
  </si>
  <si>
    <t>FB000603</t>
  </si>
  <si>
    <t>FB000604</t>
  </si>
  <si>
    <t>FB000605</t>
  </si>
  <si>
    <t>FB000606</t>
  </si>
  <si>
    <t>FB000607</t>
  </si>
  <si>
    <t>FB000608</t>
  </si>
  <si>
    <t>FB000609</t>
  </si>
  <si>
    <t>FB000610</t>
  </si>
  <si>
    <t>FB000611</t>
  </si>
  <si>
    <t>FB000612</t>
  </si>
  <si>
    <t>FB000613</t>
  </si>
  <si>
    <t>FB000614</t>
  </si>
  <si>
    <t>FB000615</t>
  </si>
  <si>
    <t>FB000616</t>
  </si>
  <si>
    <t>FB000617</t>
  </si>
  <si>
    <t>FB000618</t>
  </si>
  <si>
    <t>FB000619</t>
  </si>
  <si>
    <t>FB000620</t>
  </si>
  <si>
    <t>FB000621</t>
  </si>
  <si>
    <t>FB000622</t>
  </si>
  <si>
    <t>FB000623</t>
  </si>
  <si>
    <t>FB000624</t>
  </si>
  <si>
    <t>FB000625</t>
  </si>
  <si>
    <t>FB000626</t>
  </si>
  <si>
    <t>FB000627</t>
  </si>
  <si>
    <t>FB000628</t>
  </si>
  <si>
    <t>FB000629</t>
  </si>
  <si>
    <t>FB000630</t>
  </si>
  <si>
    <t>FB000631</t>
  </si>
  <si>
    <t>FB000632</t>
  </si>
  <si>
    <t>FB000633</t>
  </si>
  <si>
    <t>FB000634</t>
  </si>
  <si>
    <t>FB000635</t>
  </si>
  <si>
    <t>FB000636</t>
  </si>
  <si>
    <t>FB000637</t>
  </si>
  <si>
    <t>FB000638</t>
  </si>
  <si>
    <t>FB000639</t>
  </si>
  <si>
    <t>FB000640</t>
  </si>
  <si>
    <t>FB000641</t>
  </si>
  <si>
    <t>FB000642</t>
  </si>
  <si>
    <t>FB000643</t>
  </si>
  <si>
    <t>FB000644</t>
  </si>
  <si>
    <t>FB000645</t>
  </si>
  <si>
    <t>FB000646</t>
  </si>
  <si>
    <t>FB000647</t>
  </si>
  <si>
    <t>FB000648</t>
  </si>
  <si>
    <t>FB000649</t>
  </si>
  <si>
    <t>FB000650</t>
  </si>
  <si>
    <t>FB000651</t>
  </si>
  <si>
    <t>FB000652</t>
  </si>
  <si>
    <t>FB000653</t>
  </si>
  <si>
    <t>FB000654</t>
  </si>
  <si>
    <t>FB000655</t>
  </si>
  <si>
    <t>FB000656</t>
  </si>
  <si>
    <t>FB000657</t>
  </si>
  <si>
    <t>FB000658</t>
  </si>
  <si>
    <t>FB000659</t>
  </si>
  <si>
    <t>FB000660</t>
  </si>
  <si>
    <t>FB000661</t>
  </si>
  <si>
    <t>FB000662</t>
  </si>
  <si>
    <t>FB000663</t>
  </si>
  <si>
    <t>FB000664</t>
  </si>
  <si>
    <t>FB000665</t>
  </si>
  <si>
    <t>FB000666</t>
  </si>
  <si>
    <t>FB000667</t>
  </si>
  <si>
    <t>FB000668</t>
  </si>
  <si>
    <t>FB000669</t>
  </si>
  <si>
    <t>FB000670</t>
  </si>
  <si>
    <t>FB000671</t>
  </si>
  <si>
    <t>FB000672</t>
  </si>
  <si>
    <t>FB000673</t>
  </si>
  <si>
    <t>FB000674</t>
  </si>
  <si>
    <t>FB000675</t>
  </si>
  <si>
    <t>FB000676</t>
  </si>
  <si>
    <t>FB000677</t>
  </si>
  <si>
    <t>FB000678</t>
  </si>
  <si>
    <t>FB000679</t>
  </si>
  <si>
    <t>FB000680</t>
  </si>
  <si>
    <t>FB000681</t>
  </si>
  <si>
    <t>FB000682</t>
  </si>
  <si>
    <t>FB000683</t>
  </si>
  <si>
    <t>FB000684</t>
  </si>
  <si>
    <t>FB000685</t>
  </si>
  <si>
    <t>FB000686</t>
  </si>
  <si>
    <t>FB000687</t>
  </si>
  <si>
    <t>FB000688</t>
  </si>
  <si>
    <t>FB000689</t>
  </si>
  <si>
    <t>FB000690</t>
  </si>
  <si>
    <t>FB000691</t>
  </si>
  <si>
    <t>FB000692</t>
  </si>
  <si>
    <t>FB000693</t>
  </si>
  <si>
    <t>FB000694</t>
  </si>
  <si>
    <t>FB000695</t>
  </si>
  <si>
    <t>FB000696</t>
  </si>
  <si>
    <t>FB000697</t>
  </si>
  <si>
    <t>FB000698</t>
  </si>
  <si>
    <t>FB000699</t>
  </si>
  <si>
    <t>FB000700</t>
  </si>
  <si>
    <t>FB000701</t>
  </si>
  <si>
    <t>FB000702</t>
  </si>
  <si>
    <t>FB000703</t>
  </si>
  <si>
    <t>FB000704</t>
  </si>
  <si>
    <t>FB000705</t>
  </si>
  <si>
    <t>FB000706</t>
  </si>
  <si>
    <t>FB000707</t>
  </si>
  <si>
    <t>FB000708</t>
  </si>
  <si>
    <t>FB000709</t>
  </si>
  <si>
    <t>FB000710</t>
  </si>
  <si>
    <t>FB000711</t>
  </si>
  <si>
    <t>FB000712</t>
  </si>
  <si>
    <t>FB000713</t>
  </si>
  <si>
    <t>FB000714</t>
  </si>
  <si>
    <t>FB000715</t>
  </si>
  <si>
    <t>FB000716</t>
  </si>
  <si>
    <t>FB000717</t>
  </si>
  <si>
    <t>FB000718</t>
  </si>
  <si>
    <t>FB000719</t>
  </si>
  <si>
    <t>FB000720</t>
  </si>
  <si>
    <t>FB000721</t>
  </si>
  <si>
    <t>FB000722</t>
  </si>
  <si>
    <t>FB000723</t>
  </si>
  <si>
    <t>FB000724</t>
  </si>
  <si>
    <t>FB000725</t>
  </si>
  <si>
    <t>FB000726</t>
  </si>
  <si>
    <t>FB000727</t>
  </si>
  <si>
    <t>FB000728</t>
  </si>
  <si>
    <t>FB000729</t>
  </si>
  <si>
    <t>FB000730</t>
  </si>
  <si>
    <t>FB000731</t>
  </si>
  <si>
    <t>FB000732</t>
  </si>
  <si>
    <t>FB000733</t>
  </si>
  <si>
    <t>FB000734</t>
  </si>
  <si>
    <t>FB000735</t>
  </si>
  <si>
    <t>FB000736</t>
  </si>
  <si>
    <t>FB000737</t>
  </si>
  <si>
    <t>FB000738</t>
  </si>
  <si>
    <t>FB000739</t>
  </si>
  <si>
    <t>FB000740</t>
  </si>
  <si>
    <t>FB000741</t>
  </si>
  <si>
    <t>FB000742</t>
  </si>
  <si>
    <t>FB000743</t>
  </si>
  <si>
    <t>FB000744</t>
  </si>
  <si>
    <t>FB000745</t>
  </si>
  <si>
    <t>FB000746</t>
  </si>
  <si>
    <t>FB000747</t>
  </si>
  <si>
    <t>FB000748</t>
  </si>
  <si>
    <t>FB000749</t>
  </si>
  <si>
    <t>FB000750</t>
  </si>
  <si>
    <t>FB000751</t>
  </si>
  <si>
    <t>FB000752</t>
  </si>
  <si>
    <t>FB000753</t>
  </si>
  <si>
    <t>FB000754</t>
  </si>
  <si>
    <t>FB000755</t>
  </si>
  <si>
    <t>FB000756</t>
  </si>
  <si>
    <t>FB000757</t>
  </si>
  <si>
    <t>FB000758</t>
  </si>
  <si>
    <t>FB000759</t>
  </si>
  <si>
    <t>FB000760</t>
  </si>
  <si>
    <t>FB000761</t>
  </si>
  <si>
    <t>FB000762</t>
  </si>
  <si>
    <t>FB000763</t>
  </si>
  <si>
    <t>FB000764</t>
  </si>
  <si>
    <t>FB000765</t>
  </si>
  <si>
    <t>FB000766</t>
  </si>
  <si>
    <t>FB000767</t>
  </si>
  <si>
    <t>FB000768</t>
  </si>
  <si>
    <t>FB000769</t>
  </si>
  <si>
    <t>FB000770</t>
  </si>
  <si>
    <t>FB000771</t>
  </si>
  <si>
    <t>FB000772</t>
  </si>
  <si>
    <t>FB000773</t>
  </si>
  <si>
    <t>FB000774</t>
  </si>
  <si>
    <t>FB000775</t>
  </si>
  <si>
    <t>FB000776</t>
  </si>
  <si>
    <t>FB000777</t>
  </si>
  <si>
    <t>FB000778</t>
  </si>
  <si>
    <t>FB000779</t>
  </si>
  <si>
    <t>FB000780</t>
  </si>
  <si>
    <t>FB000781</t>
  </si>
  <si>
    <t>FB000782</t>
  </si>
  <si>
    <t>FB000783</t>
  </si>
  <si>
    <t>FB000784</t>
  </si>
  <si>
    <t>FB000785</t>
  </si>
  <si>
    <t>FB000786</t>
  </si>
  <si>
    <t>FB000787</t>
  </si>
  <si>
    <t>FB000788</t>
  </si>
  <si>
    <t>FB000789</t>
  </si>
  <si>
    <t>FB000790</t>
  </si>
  <si>
    <t>FB000791</t>
  </si>
  <si>
    <t>FB000792</t>
  </si>
  <si>
    <t>FB000793</t>
  </si>
  <si>
    <t>FB000794</t>
  </si>
  <si>
    <t>FB000795</t>
  </si>
  <si>
    <t>FB000796</t>
  </si>
  <si>
    <t>FB000797</t>
  </si>
  <si>
    <t>FB000798</t>
  </si>
  <si>
    <t>FB000799</t>
  </si>
  <si>
    <t>FB000800</t>
  </si>
  <si>
    <t>FB000801</t>
  </si>
  <si>
    <t>FB000802</t>
  </si>
  <si>
    <t>FB000803</t>
  </si>
  <si>
    <t>FB000804</t>
  </si>
  <si>
    <t>FB000805</t>
  </si>
  <si>
    <t>FB000806</t>
  </si>
  <si>
    <t>FB000807</t>
  </si>
  <si>
    <t>FB000808</t>
  </si>
  <si>
    <t>FB000809</t>
  </si>
  <si>
    <t>FB000810</t>
  </si>
  <si>
    <t>FB000811</t>
  </si>
  <si>
    <t>FB000812</t>
  </si>
  <si>
    <t>FB000813</t>
  </si>
  <si>
    <t>FB000814</t>
  </si>
  <si>
    <t>FB000815</t>
  </si>
  <si>
    <t>FB000816</t>
  </si>
  <si>
    <t>FB000817</t>
  </si>
  <si>
    <t>FB000818</t>
  </si>
  <si>
    <t>FB000819</t>
  </si>
  <si>
    <t>FB000820</t>
  </si>
  <si>
    <t>FB000821</t>
  </si>
  <si>
    <t>FB000822</t>
  </si>
  <si>
    <t>FB000823</t>
  </si>
  <si>
    <t>FB000824</t>
  </si>
  <si>
    <t>FB000825</t>
  </si>
  <si>
    <t>FB000826</t>
  </si>
  <si>
    <t>FB000827</t>
  </si>
  <si>
    <t>FB000828</t>
  </si>
  <si>
    <t>FB000829</t>
  </si>
  <si>
    <t>FB000830</t>
  </si>
  <si>
    <t>FB000831</t>
  </si>
  <si>
    <t>FB000832</t>
  </si>
  <si>
    <t>FB000833</t>
  </si>
  <si>
    <t>FB000834</t>
  </si>
  <si>
    <t>FB000835</t>
  </si>
  <si>
    <t>FB000836</t>
  </si>
  <si>
    <t>FB000837</t>
  </si>
  <si>
    <t>FB000838</t>
  </si>
  <si>
    <t>FB000839</t>
  </si>
  <si>
    <t>FB000840</t>
  </si>
  <si>
    <t>FB000841</t>
  </si>
  <si>
    <t>FB000842</t>
  </si>
  <si>
    <t>FB000843</t>
  </si>
  <si>
    <t>FB000844</t>
  </si>
  <si>
    <t>FB000845</t>
  </si>
  <si>
    <t>FB000846</t>
  </si>
  <si>
    <t>FB000847</t>
  </si>
  <si>
    <t>FB000848</t>
  </si>
  <si>
    <t>FB000849</t>
  </si>
  <si>
    <t>FB000850</t>
  </si>
  <si>
    <t>FB000851</t>
  </si>
  <si>
    <t>FB000852</t>
  </si>
  <si>
    <t>FB000853</t>
  </si>
  <si>
    <t>FB000854</t>
  </si>
  <si>
    <t>FB000855</t>
  </si>
  <si>
    <t>FB000856</t>
  </si>
  <si>
    <t>FB000857</t>
  </si>
  <si>
    <t>FB000858</t>
  </si>
  <si>
    <t>FB000859</t>
  </si>
  <si>
    <t>FB000860</t>
  </si>
  <si>
    <t>FB000861</t>
  </si>
  <si>
    <t>FB000862</t>
  </si>
  <si>
    <t>FB000863</t>
  </si>
  <si>
    <t>FB000864</t>
  </si>
  <si>
    <t>FB000865</t>
  </si>
  <si>
    <t>FB000866</t>
  </si>
  <si>
    <t>FB000867</t>
  </si>
  <si>
    <t>FB000868</t>
  </si>
  <si>
    <t>FB000869</t>
  </si>
  <si>
    <t>FB000870</t>
  </si>
  <si>
    <t>FB000871</t>
  </si>
  <si>
    <t>FB000872</t>
  </si>
  <si>
    <t>FB000873</t>
  </si>
  <si>
    <t>FB000874</t>
  </si>
  <si>
    <t>FB000875</t>
  </si>
  <si>
    <t>FB000876</t>
  </si>
  <si>
    <t>FB000877</t>
  </si>
  <si>
    <t>FB000878</t>
  </si>
  <si>
    <t>FB000879</t>
  </si>
  <si>
    <t>FB000880</t>
  </si>
  <si>
    <t>FB000881</t>
  </si>
  <si>
    <t>FB000882</t>
  </si>
  <si>
    <t>FB000883</t>
  </si>
  <si>
    <t>FB000884</t>
  </si>
  <si>
    <t>FB000885</t>
  </si>
  <si>
    <t>FB000886</t>
  </si>
  <si>
    <t>FB000887</t>
  </si>
  <si>
    <t>FB000888</t>
  </si>
  <si>
    <t>FB000889</t>
  </si>
  <si>
    <t>FB000890</t>
  </si>
  <si>
    <t>FB000891</t>
  </si>
  <si>
    <t>FB000892</t>
  </si>
  <si>
    <t>FB000893</t>
  </si>
  <si>
    <t>FB000894</t>
  </si>
  <si>
    <t>FB000895</t>
  </si>
  <si>
    <t>FB000896</t>
  </si>
  <si>
    <t>FB000897</t>
  </si>
  <si>
    <t>FB000898</t>
  </si>
  <si>
    <t>FB000899</t>
  </si>
  <si>
    <t>FB000900</t>
  </si>
  <si>
    <t>FB000901</t>
  </si>
  <si>
    <t>FB000902</t>
  </si>
  <si>
    <t>FB000903</t>
  </si>
  <si>
    <t>FB000904</t>
  </si>
  <si>
    <t>FB000905</t>
  </si>
  <si>
    <t>FB000906</t>
  </si>
  <si>
    <t>FB000907</t>
  </si>
  <si>
    <t>FB000908</t>
  </si>
  <si>
    <t>FB000909</t>
  </si>
  <si>
    <t>FB000910</t>
  </si>
  <si>
    <t>FB000911</t>
  </si>
  <si>
    <t>FB000912</t>
  </si>
  <si>
    <t>FB000913</t>
  </si>
  <si>
    <t>FB000914</t>
  </si>
  <si>
    <t>FB000915</t>
  </si>
  <si>
    <t>FB000916</t>
  </si>
  <si>
    <t>FB000917</t>
  </si>
  <si>
    <t>FB000918</t>
  </si>
  <si>
    <t>FB000919</t>
  </si>
  <si>
    <t>FB000920</t>
  </si>
  <si>
    <t>FB000921</t>
  </si>
  <si>
    <t>FB000922</t>
  </si>
  <si>
    <t>FB000923</t>
  </si>
  <si>
    <t>FB000924</t>
  </si>
  <si>
    <t>FB000925</t>
  </si>
  <si>
    <t>FB000926</t>
  </si>
  <si>
    <t>FB000927</t>
  </si>
  <si>
    <t>FB000928</t>
  </si>
  <si>
    <t>FB000929</t>
  </si>
  <si>
    <t>FB000930</t>
  </si>
  <si>
    <t>FB000931</t>
  </si>
  <si>
    <t>FB000932</t>
  </si>
  <si>
    <t>FB000933</t>
  </si>
  <si>
    <t>FB000934</t>
  </si>
  <si>
    <t>FB000935</t>
  </si>
  <si>
    <t>FB000936</t>
  </si>
  <si>
    <t>FB000937</t>
  </si>
  <si>
    <t>FB000938</t>
  </si>
  <si>
    <t>FB000939</t>
  </si>
  <si>
    <t>FB000940</t>
  </si>
  <si>
    <t>FB000941</t>
  </si>
  <si>
    <t>FB000942</t>
  </si>
  <si>
    <t>FB000943</t>
  </si>
  <si>
    <t>FB000944</t>
  </si>
  <si>
    <t>FB000945</t>
  </si>
  <si>
    <t>FB000946</t>
  </si>
  <si>
    <t>FB000947</t>
  </si>
  <si>
    <t>FB000948</t>
  </si>
  <si>
    <t>FB000949</t>
  </si>
  <si>
    <t>FB000950</t>
  </si>
  <si>
    <t>FB000951</t>
  </si>
  <si>
    <t>FB000952</t>
  </si>
  <si>
    <t>FB000953</t>
  </si>
  <si>
    <t>FB000954</t>
  </si>
  <si>
    <t>FB000955</t>
  </si>
  <si>
    <t>FB000956</t>
  </si>
  <si>
    <t>FB000957</t>
  </si>
  <si>
    <t>FB000958</t>
  </si>
  <si>
    <t>FB000959</t>
  </si>
  <si>
    <t>FB000960</t>
  </si>
  <si>
    <t>FB000961</t>
  </si>
  <si>
    <t>FB000962</t>
  </si>
  <si>
    <t>FB000963</t>
  </si>
  <si>
    <t>FB000964</t>
  </si>
  <si>
    <t>FB000965</t>
  </si>
  <si>
    <t>FB000966</t>
  </si>
  <si>
    <t>FB000967</t>
  </si>
  <si>
    <t>FB000968</t>
  </si>
  <si>
    <t>FB000969</t>
  </si>
  <si>
    <t>FB000970</t>
  </si>
  <si>
    <t>FB000971</t>
  </si>
  <si>
    <t>FB000972</t>
  </si>
  <si>
    <t>FB000973</t>
  </si>
  <si>
    <t>FB000974</t>
  </si>
  <si>
    <t>FB000975</t>
  </si>
  <si>
    <t>FB000976</t>
  </si>
  <si>
    <t>FB000977</t>
  </si>
  <si>
    <t>FB000978</t>
  </si>
  <si>
    <t>FB000979</t>
  </si>
  <si>
    <t>FB000980</t>
  </si>
  <si>
    <t>FB000981</t>
  </si>
  <si>
    <t>FB000982</t>
  </si>
  <si>
    <t>FB000983</t>
  </si>
  <si>
    <t>FB000984</t>
  </si>
  <si>
    <t>FB000985</t>
  </si>
  <si>
    <t>FB000986</t>
  </si>
  <si>
    <t>FB000987</t>
  </si>
  <si>
    <t>FB000988</t>
  </si>
  <si>
    <t>FB000989</t>
  </si>
  <si>
    <t>FB000990</t>
  </si>
  <si>
    <t>FB000991</t>
  </si>
  <si>
    <t>FB000992</t>
  </si>
  <si>
    <t>FB000993</t>
  </si>
  <si>
    <t>FB000994</t>
  </si>
  <si>
    <t>FB000995</t>
  </si>
  <si>
    <t>FB000996</t>
  </si>
  <si>
    <t>FB000997</t>
  </si>
  <si>
    <t>FB000998</t>
  </si>
  <si>
    <t>FB000999</t>
  </si>
  <si>
    <t>FB001000</t>
  </si>
  <si>
    <t>FB001001</t>
  </si>
  <si>
    <t>FB001002</t>
  </si>
  <si>
    <t>FB001003</t>
  </si>
  <si>
    <t>FB001004</t>
  </si>
  <si>
    <t>FB001005</t>
  </si>
  <si>
    <t>FB001006</t>
  </si>
  <si>
    <t>FB001007</t>
  </si>
  <si>
    <t>FB001008</t>
  </si>
  <si>
    <t>FB001009</t>
  </si>
  <si>
    <t>FB001010</t>
  </si>
  <si>
    <t>FB001011</t>
  </si>
  <si>
    <t>FB001012</t>
  </si>
  <si>
    <t>FB001013</t>
  </si>
  <si>
    <t>FB001014</t>
  </si>
  <si>
    <t>FB001015</t>
  </si>
  <si>
    <t>FB001016</t>
  </si>
  <si>
    <t>FB001017</t>
  </si>
  <si>
    <t>FB001018</t>
  </si>
  <si>
    <t>FB001019</t>
  </si>
  <si>
    <t>FB001020</t>
  </si>
  <si>
    <t>FB001021</t>
  </si>
  <si>
    <t>FB001022</t>
  </si>
  <si>
    <t>FB001023</t>
  </si>
  <si>
    <t>FB001024</t>
  </si>
  <si>
    <t>FB001025</t>
  </si>
  <si>
    <t>FB001026</t>
  </si>
  <si>
    <t>FB001027</t>
  </si>
  <si>
    <t>FB001028</t>
  </si>
  <si>
    <t>FB001029</t>
  </si>
  <si>
    <t>FB001030</t>
  </si>
  <si>
    <t>FB001031</t>
  </si>
  <si>
    <t>FB001032</t>
  </si>
  <si>
    <t>FB001033</t>
  </si>
  <si>
    <t>FB001034</t>
  </si>
  <si>
    <t>FB001035</t>
  </si>
  <si>
    <t>FB001036</t>
  </si>
  <si>
    <t>FB001037</t>
  </si>
  <si>
    <t>FB001038</t>
  </si>
  <si>
    <t>FB001039</t>
  </si>
  <si>
    <t>FB001040</t>
  </si>
  <si>
    <t>FB001041</t>
  </si>
  <si>
    <t>FB001042</t>
  </si>
  <si>
    <t>FB001043</t>
  </si>
  <si>
    <t>FB001044</t>
  </si>
  <si>
    <t>FB001045</t>
  </si>
  <si>
    <t>FB001046</t>
  </si>
  <si>
    <t>FB001047</t>
  </si>
  <si>
    <t>FB001048</t>
  </si>
  <si>
    <t>FB001049</t>
  </si>
  <si>
    <t>FB001050</t>
  </si>
  <si>
    <t>FB001051</t>
  </si>
  <si>
    <t>FB001052</t>
  </si>
  <si>
    <t>FB001053</t>
  </si>
  <si>
    <t>FB001054</t>
  </si>
  <si>
    <t>FB001055</t>
  </si>
  <si>
    <t>FB001056</t>
  </si>
  <si>
    <t>FB001057</t>
  </si>
  <si>
    <t>FB001058</t>
  </si>
  <si>
    <t>FB001059</t>
  </si>
  <si>
    <t>FB001060</t>
  </si>
  <si>
    <t>FB001061</t>
  </si>
  <si>
    <t>FB001062</t>
  </si>
  <si>
    <t>FB001063</t>
  </si>
  <si>
    <t>FB001064</t>
  </si>
  <si>
    <t>FB001065</t>
  </si>
  <si>
    <t>FB001066</t>
  </si>
  <si>
    <t>FB001067</t>
  </si>
  <si>
    <t>FB001068</t>
  </si>
  <si>
    <t>FB001069</t>
  </si>
  <si>
    <t>FB001070</t>
  </si>
  <si>
    <t>FB001071</t>
  </si>
  <si>
    <t>FB001072</t>
  </si>
  <si>
    <t>FB001073</t>
  </si>
  <si>
    <t>FB001074</t>
  </si>
  <si>
    <t>FB001075</t>
  </si>
  <si>
    <t>FB001076</t>
  </si>
  <si>
    <t>FB001077</t>
  </si>
  <si>
    <t>FB001078</t>
  </si>
  <si>
    <t>FB001079</t>
  </si>
  <si>
    <t>FB001080</t>
  </si>
  <si>
    <t>FB001081</t>
  </si>
  <si>
    <t>FB001082</t>
  </si>
  <si>
    <t>FB001083</t>
  </si>
  <si>
    <t>FB001084</t>
  </si>
  <si>
    <t>FB001085</t>
  </si>
  <si>
    <t>FB001086</t>
  </si>
  <si>
    <t>FB001087</t>
  </si>
  <si>
    <t>FB001088</t>
  </si>
  <si>
    <t>FB001089</t>
  </si>
  <si>
    <t>FB001090</t>
  </si>
  <si>
    <t>FB001091</t>
  </si>
  <si>
    <t>FB001092</t>
  </si>
  <si>
    <t>FB001093</t>
  </si>
  <si>
    <t>FB001094</t>
  </si>
  <si>
    <t>FB001095</t>
  </si>
  <si>
    <t>FB001096</t>
  </si>
  <si>
    <t>FB001097</t>
  </si>
  <si>
    <t>FB001098</t>
  </si>
  <si>
    <t>FB001099</t>
  </si>
  <si>
    <t>FB001100</t>
  </si>
  <si>
    <t>FB001101</t>
  </si>
  <si>
    <t>FB001102</t>
  </si>
  <si>
    <t>FB001103</t>
  </si>
  <si>
    <t>FB001104</t>
  </si>
  <si>
    <t>FB001105</t>
  </si>
  <si>
    <t>FB001106</t>
  </si>
  <si>
    <t>FB001107</t>
  </si>
  <si>
    <t>FB001108</t>
  </si>
  <si>
    <t>FB001109</t>
  </si>
  <si>
    <t>FB001110</t>
  </si>
  <si>
    <t>FB001111</t>
  </si>
  <si>
    <t>FB001112</t>
  </si>
  <si>
    <t>FB001113</t>
  </si>
  <si>
    <t>FB001114</t>
  </si>
  <si>
    <t>FB001115</t>
  </si>
  <si>
    <t>FB001116</t>
  </si>
  <si>
    <t>FB001117</t>
  </si>
  <si>
    <t>FB001118</t>
  </si>
  <si>
    <t>FB001119</t>
  </si>
  <si>
    <t>FB001120</t>
  </si>
  <si>
    <t>FB001121</t>
  </si>
  <si>
    <t>FB001122</t>
  </si>
  <si>
    <t>FB001123</t>
  </si>
  <si>
    <t>FB001124</t>
  </si>
  <si>
    <t>FB001125</t>
  </si>
  <si>
    <t>FB001126</t>
  </si>
  <si>
    <t>FB001127</t>
  </si>
  <si>
    <t>FB001128</t>
  </si>
  <si>
    <t>FB001129</t>
  </si>
  <si>
    <t>FB001130</t>
  </si>
  <si>
    <t>FB001131</t>
  </si>
  <si>
    <t>FB001132</t>
  </si>
  <si>
    <t>FB001133</t>
  </si>
  <si>
    <t>FB001134</t>
  </si>
  <si>
    <t>FB001135</t>
  </si>
  <si>
    <t>FB001136</t>
  </si>
  <si>
    <t>FB001137</t>
  </si>
  <si>
    <t>FB001138</t>
  </si>
  <si>
    <t>FB001139</t>
  </si>
  <si>
    <t>FB001140</t>
  </si>
  <si>
    <t>FB001141</t>
  </si>
  <si>
    <t>FB001142</t>
  </si>
  <si>
    <t>FB001143</t>
  </si>
  <si>
    <t>FB001144</t>
  </si>
  <si>
    <t>FB001145</t>
  </si>
  <si>
    <t>FB001146</t>
  </si>
  <si>
    <t>FB001147</t>
  </si>
  <si>
    <t>FB001148</t>
  </si>
  <si>
    <t>FB001149</t>
  </si>
  <si>
    <t>FB001150</t>
  </si>
  <si>
    <t>FB001151</t>
  </si>
  <si>
    <t>FB001152</t>
  </si>
  <si>
    <t>FB001153</t>
  </si>
  <si>
    <t>FB001154</t>
  </si>
  <si>
    <t>FB001155</t>
  </si>
  <si>
    <t>FB001156</t>
  </si>
  <si>
    <t>FB001157</t>
  </si>
  <si>
    <t>FB001158</t>
  </si>
  <si>
    <t>FB001159</t>
  </si>
  <si>
    <t>FB001160</t>
  </si>
  <si>
    <t>FB001161</t>
  </si>
  <si>
    <t>FB001162</t>
  </si>
  <si>
    <t>FB001163</t>
  </si>
  <si>
    <t>FB001164</t>
  </si>
  <si>
    <t>FB001165</t>
  </si>
  <si>
    <t>FB001166</t>
  </si>
  <si>
    <t>FB001167</t>
  </si>
  <si>
    <t>FB001168</t>
  </si>
  <si>
    <t>FB001169</t>
  </si>
  <si>
    <t>FB001170</t>
  </si>
  <si>
    <t>FB001171</t>
  </si>
  <si>
    <t>FB001172</t>
  </si>
  <si>
    <t>FB001173</t>
  </si>
  <si>
    <t>FB001174</t>
  </si>
  <si>
    <t>FB001175</t>
  </si>
  <si>
    <t>FB001176</t>
  </si>
  <si>
    <t>FB001177</t>
  </si>
  <si>
    <t>FB001178</t>
  </si>
  <si>
    <t>FB001179</t>
  </si>
  <si>
    <t>FB001180</t>
  </si>
  <si>
    <t>FB001181</t>
  </si>
  <si>
    <t>FB001182</t>
  </si>
  <si>
    <t>FB001183</t>
  </si>
  <si>
    <t>FB001184</t>
  </si>
  <si>
    <t>FB001185</t>
  </si>
  <si>
    <t>FB001186</t>
  </si>
  <si>
    <t>FB001187</t>
  </si>
  <si>
    <t>FB001188</t>
  </si>
  <si>
    <t>FB001189</t>
  </si>
  <si>
    <t>FB001190</t>
  </si>
  <si>
    <t>FB001191</t>
  </si>
  <si>
    <t>FB001192</t>
  </si>
  <si>
    <t>FB001193</t>
  </si>
  <si>
    <t>FB001194</t>
  </si>
  <si>
    <t>FB001195</t>
  </si>
  <si>
    <t>FB001196</t>
  </si>
  <si>
    <t>FB001197</t>
  </si>
  <si>
    <t>FB001198</t>
  </si>
  <si>
    <t>FB001199</t>
  </si>
  <si>
    <t>FB001200</t>
  </si>
  <si>
    <t>FB001201</t>
  </si>
  <si>
    <t>FB001202</t>
  </si>
  <si>
    <t>FB001203</t>
  </si>
  <si>
    <t>FB001204</t>
  </si>
  <si>
    <t>FB001205</t>
  </si>
  <si>
    <t>FB001206</t>
  </si>
  <si>
    <t>FB001207</t>
  </si>
  <si>
    <t>FB001208</t>
  </si>
  <si>
    <t>FB001209</t>
  </si>
  <si>
    <t>FB001210</t>
  </si>
  <si>
    <t>FB001211</t>
  </si>
  <si>
    <t>FB001212</t>
  </si>
  <si>
    <t>FB001213</t>
  </si>
  <si>
    <t>FB001214</t>
  </si>
  <si>
    <t>FB001215</t>
  </si>
  <si>
    <t>FB001216</t>
  </si>
  <si>
    <t>FB001217</t>
  </si>
  <si>
    <t>FB001218</t>
  </si>
  <si>
    <t>FB001219</t>
  </si>
  <si>
    <t>FB001220</t>
  </si>
  <si>
    <t>FB001221</t>
  </si>
  <si>
    <t>FB001222</t>
  </si>
  <si>
    <t>FB001223</t>
  </si>
  <si>
    <t>FB001224</t>
  </si>
  <si>
    <t>FB001225</t>
  </si>
  <si>
    <t>FB001226</t>
  </si>
  <si>
    <t>FB001227</t>
  </si>
  <si>
    <t>FB001228</t>
  </si>
  <si>
    <t>FB001229</t>
  </si>
  <si>
    <t>FB001230</t>
  </si>
  <si>
    <t>FB001231</t>
  </si>
  <si>
    <t>FB001232</t>
  </si>
  <si>
    <t>FB001233</t>
  </si>
  <si>
    <t>FB001234</t>
  </si>
  <si>
    <t>FB001235</t>
  </si>
  <si>
    <t>FB001236</t>
  </si>
  <si>
    <t>FB001237</t>
  </si>
  <si>
    <t>FB001238</t>
  </si>
  <si>
    <t>FB001239</t>
  </si>
  <si>
    <t>FB001240</t>
  </si>
  <si>
    <t>FB001241</t>
  </si>
  <si>
    <t>FB001242</t>
  </si>
  <si>
    <t>FB001243</t>
  </si>
  <si>
    <t>FB001244</t>
  </si>
  <si>
    <t>FB001245</t>
  </si>
  <si>
    <t>FB001246</t>
  </si>
  <si>
    <t>FB001247</t>
  </si>
  <si>
    <t>FB001248</t>
  </si>
  <si>
    <t>FB001249</t>
  </si>
  <si>
    <t>FB001250</t>
  </si>
  <si>
    <t>FB001251</t>
  </si>
  <si>
    <t>FB001252</t>
  </si>
  <si>
    <t>FB001253</t>
  </si>
  <si>
    <t>FB001254</t>
  </si>
  <si>
    <t>FB001255</t>
  </si>
  <si>
    <t>FB001256</t>
  </si>
  <si>
    <t>FB001257</t>
  </si>
  <si>
    <t>FB001258</t>
  </si>
  <si>
    <t>FB001259</t>
  </si>
  <si>
    <t>FB001260</t>
  </si>
  <si>
    <t>FB001261</t>
  </si>
  <si>
    <t>FB001262</t>
  </si>
  <si>
    <t>FB001263</t>
  </si>
  <si>
    <t>FB001264</t>
  </si>
  <si>
    <t>FB001265</t>
  </si>
  <si>
    <t>FB001266</t>
  </si>
  <si>
    <t>FB001267</t>
  </si>
  <si>
    <t>FB001268</t>
  </si>
  <si>
    <t>FB001269</t>
  </si>
  <si>
    <t>FB001270</t>
  </si>
  <si>
    <t>FB001271</t>
  </si>
  <si>
    <t>FB001272</t>
  </si>
  <si>
    <t>FB001273</t>
  </si>
  <si>
    <t>FB001274</t>
  </si>
  <si>
    <t>FB001275</t>
  </si>
  <si>
    <t>FB001276</t>
  </si>
  <si>
    <t>FB001277</t>
  </si>
  <si>
    <t>FB001278</t>
  </si>
  <si>
    <t>FB001279</t>
  </si>
  <si>
    <t>FB001280</t>
  </si>
  <si>
    <t>FB001281</t>
  </si>
  <si>
    <t>FB001282</t>
  </si>
  <si>
    <t>FB001283</t>
  </si>
  <si>
    <t>FB001284</t>
  </si>
  <si>
    <t>FB001285</t>
  </si>
  <si>
    <t>FB001286</t>
  </si>
  <si>
    <t>FB001287</t>
  </si>
  <si>
    <t>FB001288</t>
  </si>
  <si>
    <t>FB001289</t>
  </si>
  <si>
    <t>FB001290</t>
  </si>
  <si>
    <t>FB001291</t>
  </si>
  <si>
    <t>FB001292</t>
  </si>
  <si>
    <t>FB001293</t>
  </si>
  <si>
    <t>FB001294</t>
  </si>
  <si>
    <t>FB001295</t>
  </si>
  <si>
    <t>FB001296</t>
  </si>
  <si>
    <t>FB001297</t>
  </si>
  <si>
    <t>FB001298</t>
  </si>
  <si>
    <t>FB001299</t>
  </si>
  <si>
    <t>FB001300</t>
  </si>
  <si>
    <t>FB001301</t>
  </si>
  <si>
    <t>FB001302</t>
  </si>
  <si>
    <t>FB001303</t>
  </si>
  <si>
    <t>FB001304</t>
  </si>
  <si>
    <t>FB001305</t>
  </si>
  <si>
    <t>FB001306</t>
  </si>
  <si>
    <t>FB001307</t>
  </si>
  <si>
    <t>FB001308</t>
  </si>
  <si>
    <t>FB001309</t>
  </si>
  <si>
    <t>FB001310</t>
  </si>
  <si>
    <t>FB001311</t>
  </si>
  <si>
    <t>FB001312</t>
  </si>
  <si>
    <t>FB001313</t>
  </si>
  <si>
    <t>FB001314</t>
  </si>
  <si>
    <t>FB001315</t>
  </si>
  <si>
    <t>FB001316</t>
  </si>
  <si>
    <t>FB001317</t>
  </si>
  <si>
    <t>FB001318</t>
  </si>
  <si>
    <t>FB001319</t>
  </si>
  <si>
    <t>FB001320</t>
  </si>
  <si>
    <t>FB001321</t>
  </si>
  <si>
    <t>FB001322</t>
  </si>
  <si>
    <t>FB001323</t>
  </si>
  <si>
    <t>FB001324</t>
  </si>
  <si>
    <t>FB001325</t>
  </si>
  <si>
    <t>FB001326</t>
  </si>
  <si>
    <t>FB001327</t>
  </si>
  <si>
    <t>FB001328</t>
  </si>
  <si>
    <t>FB001329</t>
  </si>
  <si>
    <t>FB001330</t>
  </si>
  <si>
    <t>FB001331</t>
  </si>
  <si>
    <t>FB001332</t>
  </si>
  <si>
    <t>FB001333</t>
  </si>
  <si>
    <t>FB001334</t>
  </si>
  <si>
    <t>FB001335</t>
  </si>
  <si>
    <t>FB001336</t>
  </si>
  <si>
    <t>FB001337</t>
  </si>
  <si>
    <t>FB001338</t>
  </si>
  <si>
    <t>FB001339</t>
  </si>
  <si>
    <t>FB001340</t>
  </si>
  <si>
    <t>FB001341</t>
  </si>
  <si>
    <t>FB001342</t>
  </si>
  <si>
    <t>FB001343</t>
  </si>
  <si>
    <t>FB001344</t>
  </si>
  <si>
    <t>FB001345</t>
  </si>
  <si>
    <t>FB001346</t>
  </si>
  <si>
    <t>FB001347</t>
  </si>
  <si>
    <t>FB001348</t>
  </si>
  <si>
    <t>FB001349</t>
  </si>
  <si>
    <t>FB001350</t>
  </si>
  <si>
    <t>FB001351</t>
  </si>
  <si>
    <t>FB001352</t>
  </si>
  <si>
    <t>FB001353</t>
  </si>
  <si>
    <t>FB001354</t>
  </si>
  <si>
    <t>FB001355</t>
  </si>
  <si>
    <t>FB001356</t>
  </si>
  <si>
    <t>FB001357</t>
  </si>
  <si>
    <t>FB001358</t>
  </si>
  <si>
    <t>FB001359</t>
  </si>
  <si>
    <t>FB001360</t>
  </si>
  <si>
    <t>FB001361</t>
  </si>
  <si>
    <t>FB001362</t>
  </si>
  <si>
    <t>FB001363</t>
  </si>
  <si>
    <t>FB001364</t>
  </si>
  <si>
    <t>FB001365</t>
  </si>
  <si>
    <t>FB001366</t>
  </si>
  <si>
    <t>FB001367</t>
  </si>
  <si>
    <t>FB001368</t>
  </si>
  <si>
    <t>FB001369</t>
  </si>
  <si>
    <t>FB001370</t>
  </si>
  <si>
    <t>FB001371</t>
  </si>
  <si>
    <t>FB001372</t>
  </si>
  <si>
    <t>FB001373</t>
  </si>
  <si>
    <t>FB001374</t>
  </si>
  <si>
    <t>FB001375</t>
  </si>
  <si>
    <t>FB001376</t>
  </si>
  <si>
    <t>FB001377</t>
  </si>
  <si>
    <t>FB001378</t>
  </si>
  <si>
    <t>FB001379</t>
  </si>
  <si>
    <t>FB001380</t>
  </si>
  <si>
    <t>FB001381</t>
  </si>
  <si>
    <t>FB001382</t>
  </si>
  <si>
    <t>FB001383</t>
  </si>
  <si>
    <t>FB001384</t>
  </si>
  <si>
    <t>FB001385</t>
  </si>
  <si>
    <t>FB001386</t>
  </si>
  <si>
    <t>FB001387</t>
  </si>
  <si>
    <t>FB001388</t>
  </si>
  <si>
    <t>FB001389</t>
  </si>
  <si>
    <t>FB001390</t>
  </si>
  <si>
    <t>FB001391</t>
  </si>
  <si>
    <t>FB001392</t>
  </si>
  <si>
    <t>FB001393</t>
  </si>
  <si>
    <t>FB001394</t>
  </si>
  <si>
    <t>FB001395</t>
  </si>
  <si>
    <t>FB001396</t>
  </si>
  <si>
    <t>FB001397</t>
  </si>
  <si>
    <t>FB001398</t>
  </si>
  <si>
    <t>FB001399</t>
  </si>
  <si>
    <t>FB001400</t>
  </si>
  <si>
    <t>FB001401</t>
  </si>
  <si>
    <t>FB001402</t>
  </si>
  <si>
    <t>FB001403</t>
  </si>
  <si>
    <t>FB001404</t>
  </si>
  <si>
    <t>FB001405</t>
  </si>
  <si>
    <t>FB001406</t>
  </si>
  <si>
    <t>FB001407</t>
  </si>
  <si>
    <t>FB001408</t>
  </si>
  <si>
    <t>FB001409</t>
  </si>
  <si>
    <t>FB001410</t>
  </si>
  <si>
    <t>FB001411</t>
  </si>
  <si>
    <t>FB001412</t>
  </si>
  <si>
    <t>FB001413</t>
  </si>
  <si>
    <t>FB001414</t>
  </si>
  <si>
    <t>FB001415</t>
  </si>
  <si>
    <t>FB001416</t>
  </si>
  <si>
    <t>FB001417</t>
  </si>
  <si>
    <t>FB001418</t>
  </si>
  <si>
    <t>FB001419</t>
  </si>
  <si>
    <t>FB001420</t>
  </si>
  <si>
    <t>FB001421</t>
  </si>
  <si>
    <t>FB001422</t>
  </si>
  <si>
    <t>FB001423</t>
  </si>
  <si>
    <t>FB001424</t>
  </si>
  <si>
    <t>FB001425</t>
  </si>
  <si>
    <t>FB001426</t>
  </si>
  <si>
    <t>FB001427</t>
  </si>
  <si>
    <t>FB001428</t>
  </si>
  <si>
    <t>FB001429</t>
  </si>
  <si>
    <t>FB001430</t>
  </si>
  <si>
    <t>FB001431</t>
  </si>
  <si>
    <t>FB001432</t>
  </si>
  <si>
    <t>FB001433</t>
  </si>
  <si>
    <t>FB001434</t>
  </si>
  <si>
    <t>FB001435</t>
  </si>
  <si>
    <t>FB001436</t>
  </si>
  <si>
    <t>FB001437</t>
  </si>
  <si>
    <t>FB001438</t>
  </si>
  <si>
    <t>FB001439</t>
  </si>
  <si>
    <t>FB001440</t>
  </si>
  <si>
    <t>FB001441</t>
  </si>
  <si>
    <t>FB001442</t>
  </si>
  <si>
    <t>FB001443</t>
  </si>
  <si>
    <t>FB001444</t>
  </si>
  <si>
    <t>FB001445</t>
  </si>
  <si>
    <t>FB001446</t>
  </si>
  <si>
    <t>FB001447</t>
  </si>
  <si>
    <t>FB001448</t>
  </si>
  <si>
    <t>FB001449</t>
  </si>
  <si>
    <t>FB001450</t>
  </si>
  <si>
    <t>FB001451</t>
  </si>
  <si>
    <t>FB001452</t>
  </si>
  <si>
    <t>FB001453</t>
  </si>
  <si>
    <t>FB001454</t>
  </si>
  <si>
    <t>FB001455</t>
  </si>
  <si>
    <t>FB001456</t>
  </si>
  <si>
    <t>FB001457</t>
  </si>
  <si>
    <t>FB001458</t>
  </si>
  <si>
    <t>FB001459</t>
  </si>
  <si>
    <t>FB001460</t>
  </si>
  <si>
    <t>FB001461</t>
  </si>
  <si>
    <t>FB001462</t>
  </si>
  <si>
    <t>FB001463</t>
  </si>
  <si>
    <t>FB001464</t>
  </si>
  <si>
    <t>FB001465</t>
  </si>
  <si>
    <t>FB001466</t>
  </si>
  <si>
    <t>FB001467</t>
  </si>
  <si>
    <t>FB001468</t>
  </si>
  <si>
    <t>FB001469</t>
  </si>
  <si>
    <t>FB001470</t>
  </si>
  <si>
    <t>FB001471</t>
  </si>
  <si>
    <t>FB001472</t>
  </si>
  <si>
    <t>FB001473</t>
  </si>
  <si>
    <t>FB001474</t>
  </si>
  <si>
    <t>FB001475</t>
  </si>
  <si>
    <t>FB001476</t>
  </si>
  <si>
    <t>FB001477</t>
  </si>
  <si>
    <t>FB001478</t>
  </si>
  <si>
    <t>FB001479</t>
  </si>
  <si>
    <t>FB001480</t>
  </si>
  <si>
    <t>FB001481</t>
  </si>
  <si>
    <t>FB001482</t>
  </si>
  <si>
    <t>FB001483</t>
  </si>
  <si>
    <t>FB001484</t>
  </si>
  <si>
    <t>FB001485</t>
  </si>
  <si>
    <t>FB001486</t>
  </si>
  <si>
    <t>FB001487</t>
  </si>
  <si>
    <t>FB001488</t>
  </si>
  <si>
    <t>FB001489</t>
  </si>
  <si>
    <t>FB001490</t>
  </si>
  <si>
    <t>FB001491</t>
  </si>
  <si>
    <t>FB001492</t>
  </si>
  <si>
    <t>FB001493</t>
  </si>
  <si>
    <t>FB001494</t>
  </si>
  <si>
    <t>FB001495</t>
  </si>
  <si>
    <t>FB001496</t>
  </si>
  <si>
    <t>FB001497</t>
  </si>
  <si>
    <t>FB001498</t>
  </si>
  <si>
    <t>FB001499</t>
  </si>
  <si>
    <t>FB001500</t>
  </si>
  <si>
    <t>FB001501</t>
  </si>
  <si>
    <t>FB001502</t>
  </si>
  <si>
    <t>FB001503</t>
  </si>
  <si>
    <t>FB001504</t>
  </si>
  <si>
    <t>FB001505</t>
  </si>
  <si>
    <t>FB001506</t>
  </si>
  <si>
    <t>FB001507</t>
  </si>
  <si>
    <t>FB001508</t>
  </si>
  <si>
    <t>FB001509</t>
  </si>
  <si>
    <t>FB001510</t>
  </si>
  <si>
    <t>FB001511</t>
  </si>
  <si>
    <t>FB001512</t>
  </si>
  <si>
    <t>FB001513</t>
  </si>
  <si>
    <t>FB001514</t>
  </si>
  <si>
    <t>FB001515</t>
  </si>
  <si>
    <t>FB001516</t>
  </si>
  <si>
    <t>FB001517</t>
  </si>
  <si>
    <t>FB001518</t>
  </si>
  <si>
    <t>FB001519</t>
  </si>
  <si>
    <t>FB001520</t>
  </si>
  <si>
    <t>FB001521</t>
  </si>
  <si>
    <t>FB001522</t>
  </si>
  <si>
    <t>FB001523</t>
  </si>
  <si>
    <t>FB001524</t>
  </si>
  <si>
    <t>FB001525</t>
  </si>
  <si>
    <t>FB001526</t>
  </si>
  <si>
    <t>FB001527</t>
  </si>
  <si>
    <t>FB001528</t>
  </si>
  <si>
    <t>FB001529</t>
  </si>
  <si>
    <t>FB001530</t>
  </si>
  <si>
    <t>FB001531</t>
  </si>
  <si>
    <t>FB001532</t>
  </si>
  <si>
    <t>FB001533</t>
  </si>
  <si>
    <t>FB001534</t>
  </si>
  <si>
    <t>FB001535</t>
  </si>
  <si>
    <t>FB001536</t>
  </si>
  <si>
    <t>FB001537</t>
  </si>
  <si>
    <t>FB001538</t>
  </si>
  <si>
    <t>FB001539</t>
  </si>
  <si>
    <t>FB001540</t>
  </si>
  <si>
    <t>FB001541</t>
  </si>
  <si>
    <t>FB001542</t>
  </si>
  <si>
    <t>FB001543</t>
  </si>
  <si>
    <t>FB001544</t>
  </si>
  <si>
    <t>FB001545</t>
  </si>
  <si>
    <t>FB001546</t>
  </si>
  <si>
    <t>FB001547</t>
  </si>
  <si>
    <t>FB001548</t>
  </si>
  <si>
    <t>FB001549</t>
  </si>
  <si>
    <t>FB001550</t>
  </si>
  <si>
    <t>FB001551</t>
  </si>
  <si>
    <t>FB001552</t>
  </si>
  <si>
    <t>FB001553</t>
  </si>
  <si>
    <t>FB001554</t>
  </si>
  <si>
    <t>FB001555</t>
  </si>
  <si>
    <t>FB001556</t>
  </si>
  <si>
    <t>FB001557</t>
  </si>
  <si>
    <t>FB001558</t>
  </si>
  <si>
    <t>FB001559</t>
  </si>
  <si>
    <t>FB001560</t>
  </si>
  <si>
    <t>FB001561</t>
  </si>
  <si>
    <t>FB001562</t>
  </si>
  <si>
    <t>FB001563</t>
  </si>
  <si>
    <t>FB001564</t>
  </si>
  <si>
    <t>FB001565</t>
  </si>
  <si>
    <t>FB001566</t>
  </si>
  <si>
    <t>FB001567</t>
  </si>
  <si>
    <t>FB001568</t>
  </si>
  <si>
    <t>FB001569</t>
  </si>
  <si>
    <t>FB001570</t>
  </si>
  <si>
    <t>FB001571</t>
  </si>
  <si>
    <t>FB001572</t>
  </si>
  <si>
    <t>FB001573</t>
  </si>
  <si>
    <t>FB001574</t>
  </si>
  <si>
    <t>FB001575</t>
  </si>
  <si>
    <t>FB001576</t>
  </si>
  <si>
    <t>FB001577</t>
  </si>
  <si>
    <t>FB001578</t>
  </si>
  <si>
    <t>FB001579</t>
  </si>
  <si>
    <t>FB001580</t>
  </si>
  <si>
    <t>FB001581</t>
  </si>
  <si>
    <t>FB001582</t>
  </si>
  <si>
    <t>FB001583</t>
  </si>
  <si>
    <t>FB001584</t>
  </si>
  <si>
    <t>FB001585</t>
  </si>
  <si>
    <t>FB001586</t>
  </si>
  <si>
    <t>FB001587</t>
  </si>
  <si>
    <t>FB001588</t>
  </si>
  <si>
    <t>FB001589</t>
  </si>
  <si>
    <t>FB001590</t>
  </si>
  <si>
    <t>FB001591</t>
  </si>
  <si>
    <t>FB001592</t>
  </si>
  <si>
    <t>FB001593</t>
  </si>
  <si>
    <t>FB001594</t>
  </si>
  <si>
    <t>FB001595</t>
  </si>
  <si>
    <t>FB001596</t>
  </si>
  <si>
    <t>FB001597</t>
  </si>
  <si>
    <t>FB001598</t>
  </si>
  <si>
    <t>FB001599</t>
  </si>
  <si>
    <t>FB001600</t>
  </si>
  <si>
    <t>FB001601</t>
  </si>
  <si>
    <t>FB001602</t>
  </si>
  <si>
    <t>FB001603</t>
  </si>
  <si>
    <t>FB001604</t>
  </si>
  <si>
    <t>FB001605</t>
  </si>
  <si>
    <t>FB001606</t>
  </si>
  <si>
    <t>FB001607</t>
  </si>
  <si>
    <t>FB001608</t>
  </si>
  <si>
    <t>FB001609</t>
  </si>
  <si>
    <t>FB001610</t>
  </si>
  <si>
    <t>FB001611</t>
  </si>
  <si>
    <t>FB001612</t>
  </si>
  <si>
    <t>FB001613</t>
  </si>
  <si>
    <t>FB001614</t>
  </si>
  <si>
    <t>FB001615</t>
  </si>
  <si>
    <t>FB001616</t>
  </si>
  <si>
    <t>FB001617</t>
  </si>
  <si>
    <t>FB001618</t>
  </si>
  <si>
    <t>FB001619</t>
  </si>
  <si>
    <t>FB001620</t>
  </si>
  <si>
    <t>FB001621</t>
  </si>
  <si>
    <t>FB001622</t>
  </si>
  <si>
    <t>FB001623</t>
  </si>
  <si>
    <t>FB001624</t>
  </si>
  <si>
    <t>FB001625</t>
  </si>
  <si>
    <t>FB001626</t>
  </si>
  <si>
    <t>FB001627</t>
  </si>
  <si>
    <t>FB001628</t>
  </si>
  <si>
    <t>FB001629</t>
  </si>
  <si>
    <t>FB001630</t>
  </si>
  <si>
    <t>FB001631</t>
  </si>
  <si>
    <t>FB001632</t>
  </si>
  <si>
    <t>FB001633</t>
  </si>
  <si>
    <t>FB001634</t>
  </si>
  <si>
    <t>FB001635</t>
  </si>
  <si>
    <t>FB001636</t>
  </si>
  <si>
    <t>FB001637</t>
  </si>
  <si>
    <t>FB001638</t>
  </si>
  <si>
    <t>FB001639</t>
  </si>
  <si>
    <t>FB001640</t>
  </si>
  <si>
    <t>FB001641</t>
  </si>
  <si>
    <t>FB001642</t>
  </si>
  <si>
    <t>FB001643</t>
  </si>
  <si>
    <t>FB001644</t>
  </si>
  <si>
    <t>FB001645</t>
  </si>
  <si>
    <t>FB001646</t>
  </si>
  <si>
    <t>FB001647</t>
  </si>
  <si>
    <t>FB001648</t>
  </si>
  <si>
    <t>FB001649</t>
  </si>
  <si>
    <t>FB001650</t>
  </si>
  <si>
    <t>FB001651</t>
  </si>
  <si>
    <t>FB001652</t>
  </si>
  <si>
    <t>FB001653</t>
  </si>
  <si>
    <t>FB001654</t>
  </si>
  <si>
    <t>FB001655</t>
  </si>
  <si>
    <t>FB001656</t>
  </si>
  <si>
    <t>FB001657</t>
  </si>
  <si>
    <t>FB001658</t>
  </si>
  <si>
    <t>FB001659</t>
  </si>
  <si>
    <t>FB001660</t>
  </si>
  <si>
    <t>FB001661</t>
  </si>
  <si>
    <t>FB001662</t>
  </si>
  <si>
    <t>FB001663</t>
  </si>
  <si>
    <t>FB001664</t>
  </si>
  <si>
    <t>FB001665</t>
  </si>
  <si>
    <t>FB001666</t>
  </si>
  <si>
    <t>FB001667</t>
  </si>
  <si>
    <t>FB001668</t>
  </si>
  <si>
    <t>FB001669</t>
  </si>
  <si>
    <t>FB001670</t>
  </si>
  <si>
    <t>FB001671</t>
  </si>
  <si>
    <t>FB001672</t>
  </si>
  <si>
    <t>FB001673</t>
  </si>
  <si>
    <t>FB001674</t>
  </si>
  <si>
    <t>FB001675</t>
  </si>
  <si>
    <t>FB001676</t>
  </si>
  <si>
    <t>FB001677</t>
  </si>
  <si>
    <t>FB001678</t>
  </si>
  <si>
    <t>FB001679</t>
  </si>
  <si>
    <t>FB001680</t>
  </si>
  <si>
    <t>FB001681</t>
  </si>
  <si>
    <t>FB001682</t>
  </si>
  <si>
    <t>FB001683</t>
  </si>
  <si>
    <t>FB001684</t>
  </si>
  <si>
    <t>FB001685</t>
  </si>
  <si>
    <t>FB001686</t>
  </si>
  <si>
    <t>FB001687</t>
  </si>
  <si>
    <t>FB001688</t>
  </si>
  <si>
    <t>FB001689</t>
  </si>
  <si>
    <t>FB001690</t>
  </si>
  <si>
    <t>FB001691</t>
  </si>
  <si>
    <t>FB001692</t>
  </si>
  <si>
    <t>FB001693</t>
  </si>
  <si>
    <t>FB001694</t>
  </si>
  <si>
    <t>FB001695</t>
  </si>
  <si>
    <t>FB001696</t>
  </si>
  <si>
    <t>FB001697</t>
  </si>
  <si>
    <t>FB001698</t>
  </si>
  <si>
    <t>FB001699</t>
  </si>
  <si>
    <t>FB001700</t>
  </si>
  <si>
    <t>FB001701</t>
  </si>
  <si>
    <t>FB001702</t>
  </si>
  <si>
    <t>FB001703</t>
  </si>
  <si>
    <t>FB001704</t>
  </si>
  <si>
    <t>FB001705</t>
  </si>
  <si>
    <t>FB001706</t>
  </si>
  <si>
    <t>FB001707</t>
  </si>
  <si>
    <t>FB001708</t>
  </si>
  <si>
    <t>FB001709</t>
  </si>
  <si>
    <t>FB001710</t>
  </si>
  <si>
    <t>FB001711</t>
  </si>
  <si>
    <t>FB001712</t>
  </si>
  <si>
    <t>FB001713</t>
  </si>
  <si>
    <t>FB001714</t>
  </si>
  <si>
    <t>FB001715</t>
  </si>
  <si>
    <t>FB001716</t>
  </si>
  <si>
    <t>FB001717</t>
  </si>
  <si>
    <t>FB001718</t>
  </si>
  <si>
    <t>FB001719</t>
  </si>
  <si>
    <t>FB001720</t>
  </si>
  <si>
    <t>FB001721</t>
  </si>
  <si>
    <t>FB001722</t>
  </si>
  <si>
    <t>FB001723</t>
  </si>
  <si>
    <t>FB001724</t>
  </si>
  <si>
    <t>FB001725</t>
  </si>
  <si>
    <t>FB001726</t>
  </si>
  <si>
    <t>FB001727</t>
  </si>
  <si>
    <t>FB001728</t>
  </si>
  <si>
    <t>FB001729</t>
  </si>
  <si>
    <t>FB001730</t>
  </si>
  <si>
    <t>FB001731</t>
  </si>
  <si>
    <t>FB001732</t>
  </si>
  <si>
    <t>FB001733</t>
  </si>
  <si>
    <t>FB001734</t>
  </si>
  <si>
    <t>FB001735</t>
  </si>
  <si>
    <t>FB001736</t>
  </si>
  <si>
    <t>FB001737</t>
  </si>
  <si>
    <t>FB001738</t>
  </si>
  <si>
    <t>FB001739</t>
  </si>
  <si>
    <t>FB001740</t>
  </si>
  <si>
    <t>FB001741</t>
  </si>
  <si>
    <t>FB001742</t>
  </si>
  <si>
    <t>FB001743</t>
  </si>
  <si>
    <t>FB001744</t>
  </si>
  <si>
    <t>FB001745</t>
  </si>
  <si>
    <t>FB001746</t>
  </si>
  <si>
    <t>FB001747</t>
  </si>
  <si>
    <t>FB001748</t>
  </si>
  <si>
    <t>FB001749</t>
  </si>
  <si>
    <t>FB001750</t>
  </si>
  <si>
    <t>FB001751</t>
  </si>
  <si>
    <t>FB001752</t>
  </si>
  <si>
    <t>FB001753</t>
  </si>
  <si>
    <t>FB001754</t>
  </si>
  <si>
    <t>FB001755</t>
  </si>
  <si>
    <t>FB001756</t>
  </si>
  <si>
    <t>FB001757</t>
  </si>
  <si>
    <t>FB001758</t>
  </si>
  <si>
    <t>FB001759</t>
  </si>
  <si>
    <t>FB001760</t>
  </si>
  <si>
    <t>FB001761</t>
  </si>
  <si>
    <t>FB001762</t>
  </si>
  <si>
    <t>FB001763</t>
  </si>
  <si>
    <t>FB001764</t>
  </si>
  <si>
    <t>FB001765</t>
  </si>
  <si>
    <t>FB001766</t>
  </si>
  <si>
    <t>FB001767</t>
  </si>
  <si>
    <t>FB001768</t>
  </si>
  <si>
    <t>FB001769</t>
  </si>
  <si>
    <t>FB001770</t>
  </si>
  <si>
    <t>FB001771</t>
  </si>
  <si>
    <t>FB001772</t>
  </si>
  <si>
    <t>FB001773</t>
  </si>
  <si>
    <t>FB001774</t>
  </si>
  <si>
    <t>FB001775</t>
  </si>
  <si>
    <t>FB001776</t>
  </si>
  <si>
    <t>FB001777</t>
  </si>
  <si>
    <t>FB001778</t>
  </si>
  <si>
    <t>FB001779</t>
  </si>
  <si>
    <t>FB001780</t>
  </si>
  <si>
    <t>FB001781</t>
  </si>
  <si>
    <t>FB001782</t>
  </si>
  <si>
    <t>FB001783</t>
  </si>
  <si>
    <t>FB001784</t>
  </si>
  <si>
    <t>FB001785</t>
  </si>
  <si>
    <t>FB001786</t>
  </si>
  <si>
    <t>FB001787</t>
  </si>
  <si>
    <t>FB001788</t>
  </si>
  <si>
    <t>FB001789</t>
  </si>
  <si>
    <t>FB001790</t>
  </si>
  <si>
    <t>FB001791</t>
  </si>
  <si>
    <t>FB001792</t>
  </si>
  <si>
    <t>FB001793</t>
  </si>
  <si>
    <t>FB001794</t>
  </si>
  <si>
    <t>FB001795</t>
  </si>
  <si>
    <t>FB001796</t>
  </si>
  <si>
    <t>FB001797</t>
  </si>
  <si>
    <t>FB001798</t>
  </si>
  <si>
    <t>FB001799</t>
  </si>
  <si>
    <t>FB001800</t>
  </si>
  <si>
    <t>FB001801</t>
  </si>
  <si>
    <t>FB001802</t>
  </si>
  <si>
    <t>FB001803</t>
  </si>
  <si>
    <t>FB001804</t>
  </si>
  <si>
    <t>FB001805</t>
  </si>
  <si>
    <t>FB001806</t>
  </si>
  <si>
    <t>FB001807</t>
  </si>
  <si>
    <t>FB001808</t>
  </si>
  <si>
    <t>FB001809</t>
  </si>
  <si>
    <t>FB001810</t>
  </si>
  <si>
    <t>FB001811</t>
  </si>
  <si>
    <t>FB001812</t>
  </si>
  <si>
    <t>FB001813</t>
  </si>
  <si>
    <t>FB001814</t>
  </si>
  <si>
    <t>FB001815</t>
  </si>
  <si>
    <t>FB001816</t>
  </si>
  <si>
    <t>FB001817</t>
  </si>
  <si>
    <t>FB001818</t>
  </si>
  <si>
    <t>FB001819</t>
  </si>
  <si>
    <t>FB001820</t>
  </si>
  <si>
    <t>FB001821</t>
  </si>
  <si>
    <t>FB001822</t>
  </si>
  <si>
    <t>FB001823</t>
  </si>
  <si>
    <t>FB001824</t>
  </si>
  <si>
    <t>FB001825</t>
  </si>
  <si>
    <t>FB001826</t>
  </si>
  <si>
    <t>FB001827</t>
  </si>
  <si>
    <t>FB001828</t>
  </si>
  <si>
    <t>FB001829</t>
  </si>
  <si>
    <t>FB001830</t>
  </si>
  <si>
    <t>FB001831</t>
  </si>
  <si>
    <t>FB001832</t>
  </si>
  <si>
    <t>FB001833</t>
  </si>
  <si>
    <t>FB001834</t>
  </si>
  <si>
    <t>FB001835</t>
  </si>
  <si>
    <t>FB001836</t>
  </si>
  <si>
    <t>FB001837</t>
  </si>
  <si>
    <t>FB001838</t>
  </si>
  <si>
    <t>FB001839</t>
  </si>
  <si>
    <t>FB001840</t>
  </si>
  <si>
    <t>FB001841</t>
  </si>
  <si>
    <t>FB001842</t>
  </si>
  <si>
    <t>FB001843</t>
  </si>
  <si>
    <t>FB001844</t>
  </si>
  <si>
    <t>FB001845</t>
  </si>
  <si>
    <t>FB001846</t>
  </si>
  <si>
    <t>FB001847</t>
  </si>
  <si>
    <t>FB001848</t>
  </si>
  <si>
    <t>FB001849</t>
  </si>
  <si>
    <t>FB001850</t>
  </si>
  <si>
    <t>FB001851</t>
  </si>
  <si>
    <t>FB001852</t>
  </si>
  <si>
    <t>FB001853</t>
  </si>
  <si>
    <t>FB001854</t>
  </si>
  <si>
    <t>FB001855</t>
  </si>
  <si>
    <t>FB001856</t>
  </si>
  <si>
    <t>FB001857</t>
  </si>
  <si>
    <t>FB001858</t>
  </si>
  <si>
    <t>FB001859</t>
  </si>
  <si>
    <t>FB001860</t>
  </si>
  <si>
    <t>FB001861</t>
  </si>
  <si>
    <t>FB001862</t>
  </si>
  <si>
    <t>FB001863</t>
  </si>
  <si>
    <t>FB001864</t>
  </si>
  <si>
    <t>FB001865</t>
  </si>
  <si>
    <t>FB001866</t>
  </si>
  <si>
    <t>FB001867</t>
  </si>
  <si>
    <t>FB001868</t>
  </si>
  <si>
    <t>FB001869</t>
  </si>
  <si>
    <t>FB001870</t>
  </si>
  <si>
    <t>FB001871</t>
  </si>
  <si>
    <t>FB001872</t>
  </si>
  <si>
    <t>FB001873</t>
  </si>
  <si>
    <t>FB001874</t>
  </si>
  <si>
    <t>FB001875</t>
  </si>
  <si>
    <t>FB001876</t>
  </si>
  <si>
    <t>FB001877</t>
  </si>
  <si>
    <t>FB001878</t>
  </si>
  <si>
    <t>FB001879</t>
  </si>
  <si>
    <t>FB001880</t>
  </si>
  <si>
    <t>FB001881</t>
  </si>
  <si>
    <t>FB001882</t>
  </si>
  <si>
    <t>FB001883</t>
  </si>
  <si>
    <t>FB001884</t>
  </si>
  <si>
    <t>FB001885</t>
  </si>
  <si>
    <t>FB001886</t>
  </si>
  <si>
    <t>FB001887</t>
  </si>
  <si>
    <t>FB001888</t>
  </si>
  <si>
    <t>FB001889</t>
  </si>
  <si>
    <t>FB001890</t>
  </si>
  <si>
    <t>FB001891</t>
  </si>
  <si>
    <t>FB001892</t>
  </si>
  <si>
    <t>FB001893</t>
  </si>
  <si>
    <t>FB001894</t>
  </si>
  <si>
    <t>FB001895</t>
  </si>
  <si>
    <t>FB001896</t>
  </si>
  <si>
    <t>FB001897</t>
  </si>
  <si>
    <t>FB001898</t>
  </si>
  <si>
    <t>FB001899</t>
  </si>
  <si>
    <t>FB001900</t>
  </si>
  <si>
    <t>FB001901</t>
  </si>
  <si>
    <t>FB001902</t>
  </si>
  <si>
    <t>FB001903</t>
  </si>
  <si>
    <t>FB001904</t>
  </si>
  <si>
    <t>FB001905</t>
  </si>
  <si>
    <t>FB001906</t>
  </si>
  <si>
    <t>FB001907</t>
  </si>
  <si>
    <t>FB001908</t>
  </si>
  <si>
    <t>FB001909</t>
  </si>
  <si>
    <t>FB001910</t>
  </si>
  <si>
    <t>FB001911</t>
  </si>
  <si>
    <t>FB001912</t>
  </si>
  <si>
    <t>FB001913</t>
  </si>
  <si>
    <t>FB001914</t>
  </si>
  <si>
    <t>FB001915</t>
  </si>
  <si>
    <t>FB001916</t>
  </si>
  <si>
    <t>FB001917</t>
  </si>
  <si>
    <t>FB001918</t>
  </si>
  <si>
    <t>FB001919</t>
  </si>
  <si>
    <t>FB001920</t>
  </si>
  <si>
    <t>FB001921</t>
  </si>
  <si>
    <t>FB001922</t>
  </si>
  <si>
    <t>FB001923</t>
  </si>
  <si>
    <t>FB001924</t>
  </si>
  <si>
    <t>FB001925</t>
  </si>
  <si>
    <t>FB001926</t>
  </si>
  <si>
    <t>FB001927</t>
  </si>
  <si>
    <t>FB001928</t>
  </si>
  <si>
    <t>FB001929</t>
  </si>
  <si>
    <t>FB001930</t>
  </si>
  <si>
    <t>FB001931</t>
  </si>
  <si>
    <t>FB001932</t>
  </si>
  <si>
    <t>FB001933</t>
  </si>
  <si>
    <t>FB001934</t>
  </si>
  <si>
    <t>FB001935</t>
  </si>
  <si>
    <t>FB001936</t>
  </si>
  <si>
    <t>FB001937</t>
  </si>
  <si>
    <t>FB001938</t>
  </si>
  <si>
    <t>FB001939</t>
  </si>
  <si>
    <t>FB001940</t>
  </si>
  <si>
    <t>FB001941</t>
  </si>
  <si>
    <t>FB001942</t>
  </si>
  <si>
    <t>FB001943</t>
  </si>
  <si>
    <t>FB001944</t>
  </si>
  <si>
    <t>FB001945</t>
  </si>
  <si>
    <t>FB001946</t>
  </si>
  <si>
    <t>FB001947</t>
  </si>
  <si>
    <t>FB001948</t>
  </si>
  <si>
    <t>FB001949</t>
  </si>
  <si>
    <t>FB001950</t>
  </si>
  <si>
    <t>FB001951</t>
  </si>
  <si>
    <t>FB001952</t>
  </si>
  <si>
    <t>FB001953</t>
  </si>
  <si>
    <t>FB001954</t>
  </si>
  <si>
    <t>FB001955</t>
  </si>
  <si>
    <t>FB001956</t>
  </si>
  <si>
    <t>FB001957</t>
  </si>
  <si>
    <t>FB001958</t>
  </si>
  <si>
    <t>FB001959</t>
  </si>
  <si>
    <t>FB001960</t>
  </si>
  <si>
    <t>FB001961</t>
  </si>
  <si>
    <t>FB001962</t>
  </si>
  <si>
    <t>FB001963</t>
  </si>
  <si>
    <t>FB001964</t>
  </si>
  <si>
    <t>FB001965</t>
  </si>
  <si>
    <t>FB001966</t>
  </si>
  <si>
    <t>FB001967</t>
  </si>
  <si>
    <t>FB001968</t>
  </si>
  <si>
    <t>FB001969</t>
  </si>
  <si>
    <t>FB001970</t>
  </si>
  <si>
    <t>FB001971</t>
  </si>
  <si>
    <t>FB001972</t>
  </si>
  <si>
    <t>FB001973</t>
  </si>
  <si>
    <t>FB001974</t>
  </si>
  <si>
    <t>FB001975</t>
  </si>
  <si>
    <t>FB001976</t>
  </si>
  <si>
    <t>FB001977</t>
  </si>
  <si>
    <t>FB001978</t>
  </si>
  <si>
    <t>FB001979</t>
  </si>
  <si>
    <t>FB001980</t>
  </si>
  <si>
    <t>FB001981</t>
  </si>
  <si>
    <t>FB001982</t>
  </si>
  <si>
    <t>FB001983</t>
  </si>
  <si>
    <t>FB001984</t>
  </si>
  <si>
    <t>FB001985</t>
  </si>
  <si>
    <t>FB001986</t>
  </si>
  <si>
    <t>FB001987</t>
  </si>
  <si>
    <t>FB001988</t>
  </si>
  <si>
    <t>FB001989</t>
  </si>
  <si>
    <t>FB001990</t>
  </si>
  <si>
    <t>FB001991</t>
  </si>
  <si>
    <t>FB001992</t>
  </si>
  <si>
    <t>FB001993</t>
  </si>
  <si>
    <t>FB001994</t>
  </si>
  <si>
    <t>FB001995</t>
  </si>
  <si>
    <t>FB001996</t>
  </si>
  <si>
    <t>FB001997</t>
  </si>
  <si>
    <t>FB001998</t>
  </si>
  <si>
    <t>FB001999</t>
  </si>
  <si>
    <t>FB002000</t>
  </si>
  <si>
    <t>FB002001</t>
  </si>
  <si>
    <t>FB002002</t>
  </si>
  <si>
    <t>FB002003</t>
  </si>
  <si>
    <t>FB002004</t>
  </si>
  <si>
    <t>FB002005</t>
  </si>
  <si>
    <t>FB002006</t>
  </si>
  <si>
    <t>FB002007</t>
  </si>
  <si>
    <t>FB002008</t>
  </si>
  <si>
    <t>FB002009</t>
  </si>
  <si>
    <t>FB002010</t>
  </si>
  <si>
    <t>FB002011</t>
  </si>
  <si>
    <t>FB002012</t>
  </si>
  <si>
    <t>FB002013</t>
  </si>
  <si>
    <t>FB002014</t>
  </si>
  <si>
    <t>FB002015</t>
  </si>
  <si>
    <t>FB002016</t>
  </si>
  <si>
    <t>FB002017</t>
  </si>
  <si>
    <t>FB002018</t>
  </si>
  <si>
    <t>FB002019</t>
  </si>
  <si>
    <t>FB002020</t>
  </si>
  <si>
    <t>FB002021</t>
  </si>
  <si>
    <t>FB002022</t>
  </si>
  <si>
    <t>FB002023</t>
  </si>
  <si>
    <t>FB002024</t>
  </si>
  <si>
    <t>FB002025</t>
  </si>
  <si>
    <t>FB002026</t>
  </si>
  <si>
    <t>FB002027</t>
  </si>
  <si>
    <t>FB002028</t>
  </si>
  <si>
    <t>FB002029</t>
  </si>
  <si>
    <t>FB002030</t>
  </si>
  <si>
    <t>FB002031</t>
  </si>
  <si>
    <t>FB002032</t>
  </si>
  <si>
    <t>FB002033</t>
  </si>
  <si>
    <t>FB002034</t>
  </si>
  <si>
    <t>FB002035</t>
  </si>
  <si>
    <t>FB002036</t>
  </si>
  <si>
    <t>FB002037</t>
  </si>
  <si>
    <t>FB002038</t>
  </si>
  <si>
    <t>FB002039</t>
  </si>
  <si>
    <t>FB002040</t>
  </si>
  <si>
    <t>FB002041</t>
  </si>
  <si>
    <t>FB002042</t>
  </si>
  <si>
    <t>FB002043</t>
  </si>
  <si>
    <t>FB002044</t>
  </si>
  <si>
    <t>FB002045</t>
  </si>
  <si>
    <t>FB002046</t>
  </si>
  <si>
    <t>FB002047</t>
  </si>
  <si>
    <t>FB002048</t>
  </si>
  <si>
    <t>FB002049</t>
  </si>
  <si>
    <t>FB002050</t>
  </si>
  <si>
    <t>FB002051</t>
  </si>
  <si>
    <t>FB002052</t>
  </si>
  <si>
    <t>FB002053</t>
  </si>
  <si>
    <t>FB002054</t>
  </si>
  <si>
    <t>FB002055</t>
  </si>
  <si>
    <t>FB002056</t>
  </si>
  <si>
    <t>FB002057</t>
  </si>
  <si>
    <t>FB002058</t>
  </si>
  <si>
    <t>FB002059</t>
  </si>
  <si>
    <t>FB002060</t>
  </si>
  <si>
    <t>FB002061</t>
  </si>
  <si>
    <t>FB002062</t>
  </si>
  <si>
    <t>FB002063</t>
  </si>
  <si>
    <t>FB002064</t>
  </si>
  <si>
    <t>FB002065</t>
  </si>
  <si>
    <t>FB002066</t>
  </si>
  <si>
    <t>FB002067</t>
  </si>
  <si>
    <t>FB002068</t>
  </si>
  <si>
    <t>FB002069</t>
  </si>
  <si>
    <t>FB002070</t>
  </si>
  <si>
    <t>FB002071</t>
  </si>
  <si>
    <t>FB002072</t>
  </si>
  <si>
    <t>FB002073</t>
  </si>
  <si>
    <t>FB002074</t>
  </si>
  <si>
    <t>FB002075</t>
  </si>
  <si>
    <t>FB002076</t>
  </si>
  <si>
    <t>FB002077</t>
  </si>
  <si>
    <t>FB002078</t>
  </si>
  <si>
    <t>FB002079</t>
  </si>
  <si>
    <t>FB002080</t>
  </si>
  <si>
    <t>FB002081</t>
  </si>
  <si>
    <t>FB002082</t>
  </si>
  <si>
    <t>FB002083</t>
  </si>
  <si>
    <t>FB002084</t>
  </si>
  <si>
    <t>FB002085</t>
  </si>
  <si>
    <t>FB002086</t>
  </si>
  <si>
    <t>FB002087</t>
  </si>
  <si>
    <t>FB002088</t>
  </si>
  <si>
    <t>FB002089</t>
  </si>
  <si>
    <t>FB002090</t>
  </si>
  <si>
    <t>FB002091</t>
  </si>
  <si>
    <t>FB002092</t>
  </si>
  <si>
    <t>FB002093</t>
  </si>
  <si>
    <t>FB002094</t>
  </si>
  <si>
    <t>FB002095</t>
  </si>
  <si>
    <t>FB002096</t>
  </si>
  <si>
    <t>FB002097</t>
  </si>
  <si>
    <t>FB002098</t>
  </si>
  <si>
    <t>FB002099</t>
  </si>
  <si>
    <t>FB002100</t>
  </si>
  <si>
    <t>FB002101</t>
  </si>
  <si>
    <t>FB002102</t>
  </si>
  <si>
    <t>FB002103</t>
  </si>
  <si>
    <t>FB002104</t>
  </si>
  <si>
    <t>FB002105</t>
  </si>
  <si>
    <t>FB002106</t>
  </si>
  <si>
    <t>FB002107</t>
  </si>
  <si>
    <t>FB002108</t>
  </si>
  <si>
    <t>FB002109</t>
  </si>
  <si>
    <t>FB002110</t>
  </si>
  <si>
    <t>FB002111</t>
  </si>
  <si>
    <t>FB002112</t>
  </si>
  <si>
    <t>FB002113</t>
  </si>
  <si>
    <t>FB002114</t>
  </si>
  <si>
    <t>FB002115</t>
  </si>
  <si>
    <t>FB002116</t>
  </si>
  <si>
    <t>FB002117</t>
  </si>
  <si>
    <t>FB002118</t>
  </si>
  <si>
    <t>FB002119</t>
  </si>
  <si>
    <t>FB002120</t>
  </si>
  <si>
    <t>FB002121</t>
  </si>
  <si>
    <t>FB002122</t>
  </si>
  <si>
    <t>FB002123</t>
  </si>
  <si>
    <t>FB002124</t>
  </si>
  <si>
    <t>FB002125</t>
  </si>
  <si>
    <t>FB002126</t>
  </si>
  <si>
    <t>FB002127</t>
  </si>
  <si>
    <t>FB002128</t>
  </si>
  <si>
    <t>FB002129</t>
  </si>
  <si>
    <t>FB002130</t>
  </si>
  <si>
    <t>FB002131</t>
  </si>
  <si>
    <t>FB002132</t>
  </si>
  <si>
    <t>FB002133</t>
  </si>
  <si>
    <t>FB002134</t>
  </si>
  <si>
    <t>FB002135</t>
  </si>
  <si>
    <t>FB002136</t>
  </si>
  <si>
    <t>FB002137</t>
  </si>
  <si>
    <t>FB002138</t>
  </si>
  <si>
    <t>FB002139</t>
  </si>
  <si>
    <t>FB002140</t>
  </si>
  <si>
    <t>FB002141</t>
  </si>
  <si>
    <t>FB002142</t>
  </si>
  <si>
    <t>FB002143</t>
  </si>
  <si>
    <t>FB002144</t>
  </si>
  <si>
    <t>FB002145</t>
  </si>
  <si>
    <t>FB002146</t>
  </si>
  <si>
    <t>FB002147</t>
  </si>
  <si>
    <t>FB002148</t>
  </si>
  <si>
    <t>FB002149</t>
  </si>
  <si>
    <t>FB002150</t>
  </si>
  <si>
    <t>FB002151</t>
  </si>
  <si>
    <t>FB002152</t>
  </si>
  <si>
    <t>FB002153</t>
  </si>
  <si>
    <t>FB002154</t>
  </si>
  <si>
    <t>FB002155</t>
  </si>
  <si>
    <t>FB002156</t>
  </si>
  <si>
    <t>FB002157</t>
  </si>
  <si>
    <t>FB002158</t>
  </si>
  <si>
    <t>FB002159</t>
  </si>
  <si>
    <t>FB002160</t>
  </si>
  <si>
    <t>FB002161</t>
  </si>
  <si>
    <t>FB002162</t>
  </si>
  <si>
    <t>FB002163</t>
  </si>
  <si>
    <t>FB002164</t>
  </si>
  <si>
    <t>FB002165</t>
  </si>
  <si>
    <t>FB002166</t>
  </si>
  <si>
    <t>FB002167</t>
  </si>
  <si>
    <t>FB002168</t>
  </si>
  <si>
    <t>FB002169</t>
  </si>
  <si>
    <t>FB002170</t>
  </si>
  <si>
    <t>FB002171</t>
  </si>
  <si>
    <t>FB002172</t>
  </si>
  <si>
    <t>FB002173</t>
  </si>
  <si>
    <t>FB002174</t>
  </si>
  <si>
    <t>FB002175</t>
  </si>
  <si>
    <t>FB002176</t>
  </si>
  <si>
    <t>Order_ID</t>
  </si>
  <si>
    <t>Grand Total</t>
  </si>
  <si>
    <t>Count of Order_ID</t>
  </si>
  <si>
    <t>PANNOU</t>
  </si>
  <si>
    <t>PBANOU</t>
  </si>
  <si>
    <t>PBANSH</t>
  </si>
  <si>
    <t>PH&amp;MOU</t>
  </si>
  <si>
    <t>PH&amp;MSH</t>
  </si>
  <si>
    <t>PMANSH</t>
  </si>
  <si>
    <t>PUNIOU</t>
  </si>
  <si>
    <t>(All)</t>
  </si>
  <si>
    <t>May</t>
  </si>
  <si>
    <t>Jun</t>
  </si>
  <si>
    <t>Jul</t>
  </si>
  <si>
    <t>Aug</t>
  </si>
  <si>
    <t>Sep</t>
  </si>
  <si>
    <t>2025</t>
  </si>
  <si>
    <t>2024</t>
  </si>
  <si>
    <t>Apr</t>
  </si>
  <si>
    <t>Oct</t>
  </si>
  <si>
    <t>Nov</t>
  </si>
  <si>
    <t>Dec</t>
  </si>
  <si>
    <t>Jan</t>
  </si>
  <si>
    <t>Feb</t>
  </si>
  <si>
    <t>Mar</t>
  </si>
  <si>
    <t>Returned Value</t>
  </si>
  <si>
    <t>NET PROFIT</t>
  </si>
  <si>
    <t>Pivot</t>
  </si>
  <si>
    <t>PH&amp;MDR</t>
  </si>
  <si>
    <t>PMANBO</t>
  </si>
  <si>
    <t>PZARBO</t>
  </si>
  <si>
    <t xml:space="preserve"> </t>
  </si>
  <si>
    <t>Brand</t>
  </si>
  <si>
    <t>No of Returns</t>
  </si>
  <si>
    <t>Category</t>
  </si>
  <si>
    <t>Product_ID</t>
  </si>
  <si>
    <t>Purchase_Date</t>
  </si>
  <si>
    <t>Season</t>
  </si>
  <si>
    <t>Size</t>
  </si>
  <si>
    <t>Color</t>
  </si>
  <si>
    <t>Original_Price</t>
  </si>
  <si>
    <t>Markdown%</t>
  </si>
  <si>
    <t>Current_Price</t>
  </si>
  <si>
    <t>Stock_Quantity</t>
  </si>
  <si>
    <t>Return_Status</t>
  </si>
  <si>
    <t>Return_Reason</t>
  </si>
  <si>
    <t>Return_Shipping_Cost</t>
  </si>
  <si>
    <t>Restocking_Fees</t>
  </si>
  <si>
    <t>Gross_Profit</t>
  </si>
  <si>
    <t>Estimated_cost_price</t>
  </si>
  <si>
    <t>Brands</t>
  </si>
  <si>
    <t xml:space="preserve">Net Profit by </t>
  </si>
  <si>
    <t>Top Selling Product</t>
  </si>
  <si>
    <t>Profit</t>
  </si>
  <si>
    <t>Return Reason</t>
  </si>
  <si>
    <t>~60%</t>
  </si>
  <si>
    <t>Average of Markdown%</t>
  </si>
  <si>
    <t>Table</t>
  </si>
  <si>
    <t>Categories</t>
  </si>
  <si>
    <t>No. of Orders</t>
  </si>
  <si>
    <t>No of Return Orders</t>
  </si>
  <si>
    <t>No. of Return Orders</t>
  </si>
  <si>
    <t>No. of ORDERS</t>
  </si>
  <si>
    <t>Colour</t>
  </si>
  <si>
    <t>TRUE</t>
  </si>
  <si>
    <t>Months</t>
  </si>
  <si>
    <t>Return Shipping Cost</t>
  </si>
  <si>
    <t>Restocking Fees</t>
  </si>
  <si>
    <t>Gross Profit</t>
  </si>
  <si>
    <t xml:space="preserve"> NET PROFIT</t>
  </si>
  <si>
    <t>No of Return Order</t>
  </si>
  <si>
    <t>No of Orders</t>
  </si>
  <si>
    <t>PANNBO</t>
  </si>
  <si>
    <t>PANNSH</t>
  </si>
  <si>
    <t>PBANAC</t>
  </si>
  <si>
    <t>PBANTO</t>
  </si>
  <si>
    <t>PFORDR</t>
  </si>
  <si>
    <t>PFORSH</t>
  </si>
  <si>
    <t>PGAPDR</t>
  </si>
  <si>
    <t>PGAPSH</t>
  </si>
  <si>
    <t>PZARTO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</si>
</sst>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43" formatCode="_ * #,##0.00_ ;_ * \-#,##0.0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1"/>
      <name val="Calibri"/>
      <family val="2"/>
      <scheme val="minor"/>
    </font>
    <font>
      <sz val="48"/>
      <color theme="0"/>
      <name val="Calibri"/>
      <family val="2"/>
      <scheme val="minor"/>
    </font>
    <font>
      <sz val="26"/>
      <color theme="1"/>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5" tint="0.79998168889431442"/>
        <bgColor indexed="64"/>
      </patternFill>
    </fill>
    <fill>
      <patternFill patternType="solid">
        <fgColor theme="1" tint="0.499984740745262"/>
        <bgColor theme="9"/>
      </patternFill>
    </fill>
    <fill>
      <patternFill patternType="solid">
        <fgColor theme="9" tint="-0.249977111117893"/>
        <bgColor theme="9" tint="-0.249977111117893"/>
      </patternFill>
    </fill>
    <fill>
      <patternFill patternType="solid">
        <fgColor theme="2"/>
        <bgColor indexed="64"/>
      </patternFill>
    </fill>
    <fill>
      <patternFill patternType="solid">
        <fgColor theme="6"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theme="9" tint="0.79998168889431442"/>
      </top>
      <bottom style="thin">
        <color theme="9" tint="0.79998168889431442"/>
      </bottom>
      <diagonal/>
    </border>
    <border>
      <left/>
      <right/>
      <top style="double">
        <color theme="9" tint="-0.249977111117893"/>
      </top>
      <bottom/>
      <diagonal/>
    </border>
    <border>
      <left/>
      <right/>
      <top style="thin">
        <color theme="9" tint="0.79998168889431442"/>
      </top>
      <bottom/>
      <diagonal/>
    </border>
    <border>
      <left/>
      <right/>
      <top/>
      <bottom style="thin">
        <color theme="9" tint="0.79998168889431442"/>
      </bottom>
      <diagonal/>
    </border>
    <border>
      <left/>
      <right/>
      <top/>
      <bottom style="thin">
        <color theme="9" tint="-0.249977111117893"/>
      </bottom>
      <diagonal/>
    </border>
    <border>
      <left/>
      <right/>
      <top style="thin">
        <color theme="9" tint="-0.249977111117893"/>
      </top>
      <bottom style="thin">
        <color theme="9" tint="0.59999389629810485"/>
      </bottom>
      <diagonal/>
    </border>
    <border>
      <left/>
      <right/>
      <top style="thin">
        <color theme="9" tint="-0.249977111117893"/>
      </top>
      <bottom style="thin">
        <color theme="9" tint="0.79998168889431442"/>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49">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1" fontId="0" fillId="0" borderId="0" xfId="0" applyNumberFormat="1"/>
    <xf numFmtId="10" fontId="0" fillId="0" borderId="0" xfId="0" applyNumberFormat="1"/>
    <xf numFmtId="0" fontId="0" fillId="34" borderId="0" xfId="0" applyFill="1"/>
    <xf numFmtId="0" fontId="13" fillId="33" borderId="10" xfId="0" applyFont="1" applyFill="1" applyBorder="1"/>
    <xf numFmtId="44" fontId="13" fillId="33" borderId="10" xfId="43" applyFont="1" applyFill="1" applyBorder="1"/>
    <xf numFmtId="0" fontId="0" fillId="0" borderId="10" xfId="0" applyBorder="1"/>
    <xf numFmtId="9" fontId="0" fillId="0" borderId="10" xfId="44" applyFont="1" applyBorder="1"/>
    <xf numFmtId="0" fontId="13" fillId="35" borderId="10" xfId="0" applyFont="1" applyFill="1" applyBorder="1"/>
    <xf numFmtId="1" fontId="13" fillId="35" borderId="10" xfId="0" applyNumberFormat="1" applyFont="1" applyFill="1" applyBorder="1"/>
    <xf numFmtId="44" fontId="0" fillId="0" borderId="0" xfId="0" applyNumberFormat="1"/>
    <xf numFmtId="0" fontId="19" fillId="34" borderId="0" xfId="0" applyFont="1" applyFill="1" applyAlignment="1">
      <alignment horizontal="center" vertical="center"/>
    </xf>
    <xf numFmtId="44" fontId="0" fillId="0" borderId="11" xfId="0" applyNumberFormat="1" applyFont="1" applyBorder="1" applyProtection="1"/>
    <xf numFmtId="1" fontId="17" fillId="36" borderId="14" xfId="0" applyNumberFormat="1" applyFont="1" applyFill="1" applyBorder="1" applyProtection="1"/>
    <xf numFmtId="0" fontId="18" fillId="0" borderId="0" xfId="0" applyFont="1" applyAlignment="1" applyProtection="1">
      <alignment horizontal="center" vertical="center"/>
    </xf>
    <xf numFmtId="0" fontId="18" fillId="37" borderId="0" xfId="0" applyFont="1" applyFill="1" applyAlignment="1" applyProtection="1">
      <alignment vertical="center"/>
    </xf>
    <xf numFmtId="0" fontId="20" fillId="0" borderId="0" xfId="0" applyFont="1" applyAlignment="1" applyProtection="1">
      <alignment vertical="center"/>
    </xf>
    <xf numFmtId="0" fontId="0" fillId="0" borderId="0" xfId="0" applyProtection="1"/>
    <xf numFmtId="0" fontId="0" fillId="37" borderId="0" xfId="0" applyFill="1" applyProtection="1"/>
    <xf numFmtId="0" fontId="0" fillId="0" borderId="0" xfId="0" pivotButton="1" applyProtection="1"/>
    <xf numFmtId="0" fontId="17" fillId="36" borderId="14" xfId="0" applyFont="1" applyFill="1" applyBorder="1" applyProtection="1"/>
    <xf numFmtId="0" fontId="0" fillId="0" borderId="0" xfId="0" applyAlignment="1" applyProtection="1">
      <alignment horizontal="left"/>
    </xf>
    <xf numFmtId="44" fontId="0" fillId="0" borderId="0" xfId="0" applyNumberFormat="1" applyProtection="1"/>
    <xf numFmtId="0" fontId="0" fillId="0" borderId="11" xfId="0" applyBorder="1" applyAlignment="1" applyProtection="1">
      <alignment horizontal="left"/>
    </xf>
    <xf numFmtId="44" fontId="0" fillId="0" borderId="11" xfId="0" applyNumberFormat="1" applyBorder="1" applyProtection="1"/>
    <xf numFmtId="1" fontId="0" fillId="0" borderId="11" xfId="0" applyNumberFormat="1" applyBorder="1" applyProtection="1"/>
    <xf numFmtId="0" fontId="0" fillId="0" borderId="13" xfId="0" applyBorder="1" applyAlignment="1" applyProtection="1">
      <alignment horizontal="left"/>
    </xf>
    <xf numFmtId="0" fontId="16" fillId="0" borderId="0" xfId="0" applyFont="1" applyProtection="1"/>
    <xf numFmtId="0" fontId="16" fillId="0" borderId="12" xfId="0" applyFont="1" applyBorder="1" applyProtection="1"/>
    <xf numFmtId="9" fontId="0" fillId="0" borderId="0" xfId="44" applyFont="1" applyProtection="1"/>
    <xf numFmtId="0" fontId="13" fillId="36" borderId="15" xfId="0" applyFont="1" applyFill="1" applyBorder="1" applyProtection="1"/>
    <xf numFmtId="0" fontId="17" fillId="36" borderId="15" xfId="0" applyFont="1" applyFill="1" applyBorder="1" applyProtection="1"/>
    <xf numFmtId="0" fontId="17" fillId="36" borderId="17" xfId="0" applyFont="1" applyFill="1" applyBorder="1" applyProtection="1"/>
    <xf numFmtId="0" fontId="17" fillId="36" borderId="16" xfId="0" applyFont="1" applyFill="1" applyBorder="1" applyProtection="1"/>
    <xf numFmtId="1" fontId="0" fillId="0" borderId="0" xfId="0" applyNumberFormat="1" applyProtection="1"/>
    <xf numFmtId="10" fontId="0" fillId="0" borderId="0" xfId="0" applyNumberFormat="1" applyProtection="1"/>
    <xf numFmtId="2" fontId="0" fillId="0" borderId="0" xfId="0" applyNumberFormat="1" applyProtection="1"/>
    <xf numFmtId="0" fontId="0" fillId="38" borderId="10" xfId="0" applyFill="1" applyBorder="1"/>
    <xf numFmtId="0" fontId="0" fillId="38" borderId="0" xfId="0" applyFill="1"/>
    <xf numFmtId="14" fontId="0" fillId="38" borderId="10" xfId="0" applyNumberFormat="1" applyFill="1" applyBorder="1"/>
    <xf numFmtId="14" fontId="0" fillId="38" borderId="0" xfId="0" applyNumberFormat="1" applyFill="1"/>
    <xf numFmtId="44" fontId="0" fillId="38" borderId="10" xfId="43" applyFont="1" applyFill="1" applyBorder="1"/>
    <xf numFmtId="44" fontId="0" fillId="38" borderId="0" xfId="43" applyFont="1" applyFill="1"/>
    <xf numFmtId="2" fontId="0" fillId="38" borderId="10" xfId="0" applyNumberFormat="1" applyFill="1" applyBorder="1"/>
    <xf numFmtId="43" fontId="0" fillId="38" borderId="0" xfId="42" applyFont="1" applyFill="1"/>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338">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4"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35" formatCode="_ * #,##0.00_ ;_ * \-#,##0.00_ ;_ * &quot;-&quot;??_ ;_ @_ "/>
    </dxf>
    <dxf>
      <numFmt numFmtId="35" formatCode="_ * #,##0.00_ ;_ * \-#,##0.00_ ;_ * &quot;-&quot;??_ ;_ @_ "/>
    </dxf>
    <dxf>
      <numFmt numFmtId="34" formatCode="_ &quot;₹&quot;\ * #,##0.00_ ;_ &quot;₹&quot;\ * \-#,##0.00_ ;_ &quot;₹&quot;\ * &quot;-&quot;??_ ;_ @_ "/>
    </dxf>
    <dxf>
      <numFmt numFmtId="34" formatCode="_ &quot;₹&quot;\ * #,##0.00_ ;_ &quot;₹&quot;\ * \-#,##0.00_ ;_ &quot;₹&quot;\ * &quot;-&quot;??_ ;_ @_ "/>
    </dxf>
    <dxf>
      <numFmt numFmtId="1" formatCode="0"/>
    </dxf>
    <dxf>
      <numFmt numFmtId="1" formatCode="0"/>
    </dxf>
    <dxf>
      <numFmt numFmtId="1" formatCode="0"/>
    </dxf>
    <dxf>
      <numFmt numFmtId="1" formatCode="0"/>
    </dxf>
    <dxf>
      <numFmt numFmtId="34" formatCode="_ &quot;₹&quot;\ * #,##0.00_ ;_ &quot;₹&quot;\ * \-#,##0.00_ ;_ &quot;₹&quot;\ * &quot;-&quot;??_ ;_ @_ "/>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3680F"/>
      <color rgb="FFBC4F0C"/>
      <color rgb="FFD86212"/>
      <color rgb="FFF7C5A3"/>
      <color rgb="FFFA0462"/>
      <color rgb="FFDD21D0"/>
      <color rgb="FF9C35C5"/>
      <color rgb="FFE50560"/>
      <color rgb="FFFF0066"/>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[final.xlsx]TABLES!PivotTable23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Return Reasons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TABLES!$B$79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6C-4FC3-ABB8-75C597436A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6C-4FC3-ABB8-75C597436A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6C-4FC3-ABB8-75C597436A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6C-4FC3-ABB8-75C597436A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56C-4FC3-ABB8-75C597436A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56C-4FC3-ABB8-75C597436A5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56C-4FC3-ABB8-75C597436A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TABLES!$A$80:$A$87</c:f>
              <c:strCache>
                <c:ptCount val="7"/>
                <c:pt idx="0">
                  <c:v>Size Issue</c:v>
                </c:pt>
                <c:pt idx="1">
                  <c:v>Quality Not As Expected</c:v>
                </c:pt>
                <c:pt idx="2">
                  <c:v>Color Mismatch</c:v>
                </c:pt>
                <c:pt idx="3">
                  <c:v>Damaged Product</c:v>
                </c:pt>
                <c:pt idx="4">
                  <c:v>Changed Mind</c:v>
                </c:pt>
                <c:pt idx="5">
                  <c:v>Wrong Item Sent</c:v>
                </c:pt>
                <c:pt idx="6">
                  <c:v>UNDISCLOSED</c:v>
                </c:pt>
              </c:strCache>
            </c:strRef>
          </c:cat>
          <c:val>
            <c:numRef>
              <c:f>TABLES!$B$80:$B$87</c:f>
              <c:numCache>
                <c:formatCode>0</c:formatCode>
                <c:ptCount val="7"/>
                <c:pt idx="0">
                  <c:v>235</c:v>
                </c:pt>
                <c:pt idx="1">
                  <c:v>193</c:v>
                </c:pt>
                <c:pt idx="2">
                  <c:v>71</c:v>
                </c:pt>
                <c:pt idx="3">
                  <c:v>44</c:v>
                </c:pt>
                <c:pt idx="4">
                  <c:v>36</c:v>
                </c:pt>
                <c:pt idx="5">
                  <c:v>28</c:v>
                </c:pt>
                <c:pt idx="6">
                  <c:v>18</c:v>
                </c:pt>
              </c:numCache>
            </c:numRef>
          </c:val>
          <c:extLst>
            <c:ext xmlns:c16="http://schemas.microsoft.com/office/drawing/2014/chart" uri="{C3380CC4-5D6E-409C-BE32-E72D297353CC}">
              <c16:uniqueId val="{0000000E-956C-4FC3-ABB8-75C597436A5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Profitable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TABLES!$N$7</c:f>
              <c:strCache>
                <c:ptCount val="1"/>
                <c:pt idx="0">
                  <c:v>PBANOU</c:v>
                </c:pt>
              </c:strCache>
            </c:strRef>
          </c:tx>
          <c:spPr>
            <a:solidFill>
              <a:schemeClr val="accent4">
                <a:tint val="43000"/>
              </a:schemeClr>
            </a:solidFill>
            <a:ln>
              <a:noFill/>
            </a:ln>
            <a:effectLst/>
          </c:spPr>
          <c:invertIfNegative val="0"/>
          <c:cat>
            <c:strRef>
              <c:f>TABLES!$O$6</c:f>
              <c:strCache>
                <c:ptCount val="1"/>
                <c:pt idx="0">
                  <c:v>Profit</c:v>
                </c:pt>
              </c:strCache>
            </c:strRef>
          </c:cat>
          <c:val>
            <c:numRef>
              <c:f>TABLES!$O$7</c:f>
              <c:numCache>
                <c:formatCode>_("₹"* #,##0.00_);_("₹"* \(#,##0.00\);_("₹"* "-"??_);_(@_)</c:formatCode>
                <c:ptCount val="1"/>
                <c:pt idx="0">
                  <c:v>56752.528019999998</c:v>
                </c:pt>
              </c:numCache>
            </c:numRef>
          </c:val>
          <c:extLst>
            <c:ext xmlns:c16="http://schemas.microsoft.com/office/drawing/2014/chart" uri="{C3380CC4-5D6E-409C-BE32-E72D297353CC}">
              <c16:uniqueId val="{00000000-B2BA-425F-BAD8-11433AE60184}"/>
            </c:ext>
          </c:extLst>
        </c:ser>
        <c:ser>
          <c:idx val="1"/>
          <c:order val="1"/>
          <c:tx>
            <c:strRef>
              <c:f>TABLES!$N$8</c:f>
              <c:strCache>
                <c:ptCount val="1"/>
                <c:pt idx="0">
                  <c:v>PMANSH</c:v>
                </c:pt>
              </c:strCache>
            </c:strRef>
          </c:tx>
          <c:spPr>
            <a:solidFill>
              <a:schemeClr val="accent4">
                <a:tint val="56000"/>
              </a:schemeClr>
            </a:solidFill>
            <a:ln>
              <a:noFill/>
            </a:ln>
            <a:effectLst/>
          </c:spPr>
          <c:invertIfNegative val="0"/>
          <c:cat>
            <c:strRef>
              <c:f>TABLES!$O$6</c:f>
              <c:strCache>
                <c:ptCount val="1"/>
                <c:pt idx="0">
                  <c:v>Profit</c:v>
                </c:pt>
              </c:strCache>
            </c:strRef>
          </c:cat>
          <c:val>
            <c:numRef>
              <c:f>TABLES!$O$8</c:f>
              <c:numCache>
                <c:formatCode>_("₹"* #,##0.00_);_("₹"* \(#,##0.00\);_("₹"* "-"??_);_(@_)</c:formatCode>
                <c:ptCount val="1"/>
                <c:pt idx="0">
                  <c:v>49251.8174</c:v>
                </c:pt>
              </c:numCache>
            </c:numRef>
          </c:val>
          <c:extLst>
            <c:ext xmlns:c16="http://schemas.microsoft.com/office/drawing/2014/chart" uri="{C3380CC4-5D6E-409C-BE32-E72D297353CC}">
              <c16:uniqueId val="{00000001-B2BA-425F-BAD8-11433AE60184}"/>
            </c:ext>
          </c:extLst>
        </c:ser>
        <c:ser>
          <c:idx val="2"/>
          <c:order val="2"/>
          <c:tx>
            <c:strRef>
              <c:f>TABLES!$N$9</c:f>
              <c:strCache>
                <c:ptCount val="1"/>
                <c:pt idx="0">
                  <c:v>PH&amp;MOU</c:v>
                </c:pt>
              </c:strCache>
            </c:strRef>
          </c:tx>
          <c:spPr>
            <a:solidFill>
              <a:schemeClr val="accent4">
                <a:tint val="69000"/>
              </a:schemeClr>
            </a:solidFill>
            <a:ln>
              <a:noFill/>
            </a:ln>
            <a:effectLst/>
          </c:spPr>
          <c:invertIfNegative val="0"/>
          <c:cat>
            <c:strRef>
              <c:f>TABLES!$O$6</c:f>
              <c:strCache>
                <c:ptCount val="1"/>
                <c:pt idx="0">
                  <c:v>Profit</c:v>
                </c:pt>
              </c:strCache>
            </c:strRef>
          </c:cat>
          <c:val>
            <c:numRef>
              <c:f>TABLES!$O$9</c:f>
              <c:numCache>
                <c:formatCode>_("₹"* #,##0.00_);_("₹"* \(#,##0.00\);_("₹"* "-"??_);_(@_)</c:formatCode>
                <c:ptCount val="1"/>
                <c:pt idx="0">
                  <c:v>47715.512320000002</c:v>
                </c:pt>
              </c:numCache>
            </c:numRef>
          </c:val>
          <c:extLst>
            <c:ext xmlns:c16="http://schemas.microsoft.com/office/drawing/2014/chart" uri="{C3380CC4-5D6E-409C-BE32-E72D297353CC}">
              <c16:uniqueId val="{00000002-B2BA-425F-BAD8-11433AE60184}"/>
            </c:ext>
          </c:extLst>
        </c:ser>
        <c:ser>
          <c:idx val="3"/>
          <c:order val="3"/>
          <c:tx>
            <c:strRef>
              <c:f>TABLES!$N$10</c:f>
              <c:strCache>
                <c:ptCount val="1"/>
                <c:pt idx="0">
                  <c:v>PBANSH</c:v>
                </c:pt>
              </c:strCache>
            </c:strRef>
          </c:tx>
          <c:spPr>
            <a:solidFill>
              <a:schemeClr val="accent4">
                <a:tint val="81000"/>
              </a:schemeClr>
            </a:solidFill>
            <a:ln>
              <a:noFill/>
            </a:ln>
            <a:effectLst/>
          </c:spPr>
          <c:invertIfNegative val="0"/>
          <c:cat>
            <c:strRef>
              <c:f>TABLES!$O$6</c:f>
              <c:strCache>
                <c:ptCount val="1"/>
                <c:pt idx="0">
                  <c:v>Profit</c:v>
                </c:pt>
              </c:strCache>
            </c:strRef>
          </c:cat>
          <c:val>
            <c:numRef>
              <c:f>TABLES!$O$10</c:f>
              <c:numCache>
                <c:formatCode>_("₹"* #,##0.00_);_("₹"* \(#,##0.00\);_("₹"* "-"??_);_(@_)</c:formatCode>
                <c:ptCount val="1"/>
                <c:pt idx="0">
                  <c:v>46758.309920000007</c:v>
                </c:pt>
              </c:numCache>
            </c:numRef>
          </c:val>
          <c:extLst>
            <c:ext xmlns:c16="http://schemas.microsoft.com/office/drawing/2014/chart" uri="{C3380CC4-5D6E-409C-BE32-E72D297353CC}">
              <c16:uniqueId val="{00000003-B2BA-425F-BAD8-11433AE60184}"/>
            </c:ext>
          </c:extLst>
        </c:ser>
        <c:ser>
          <c:idx val="4"/>
          <c:order val="4"/>
          <c:tx>
            <c:strRef>
              <c:f>TABLES!$N$11</c:f>
              <c:strCache>
                <c:ptCount val="1"/>
                <c:pt idx="0">
                  <c:v>PUNIOU</c:v>
                </c:pt>
              </c:strCache>
            </c:strRef>
          </c:tx>
          <c:spPr>
            <a:solidFill>
              <a:schemeClr val="accent4">
                <a:tint val="94000"/>
              </a:schemeClr>
            </a:solidFill>
            <a:ln>
              <a:noFill/>
            </a:ln>
            <a:effectLst/>
          </c:spPr>
          <c:invertIfNegative val="0"/>
          <c:cat>
            <c:strRef>
              <c:f>TABLES!$O$6</c:f>
              <c:strCache>
                <c:ptCount val="1"/>
                <c:pt idx="0">
                  <c:v>Profit</c:v>
                </c:pt>
              </c:strCache>
            </c:strRef>
          </c:cat>
          <c:val>
            <c:numRef>
              <c:f>TABLES!$O$11</c:f>
              <c:numCache>
                <c:formatCode>_("₹"* #,##0.00_);_("₹"* \(#,##0.00\);_("₹"* "-"??_);_(@_)</c:formatCode>
                <c:ptCount val="1"/>
                <c:pt idx="0">
                  <c:v>44347.584019999988</c:v>
                </c:pt>
              </c:numCache>
            </c:numRef>
          </c:val>
          <c:extLst>
            <c:ext xmlns:c16="http://schemas.microsoft.com/office/drawing/2014/chart" uri="{C3380CC4-5D6E-409C-BE32-E72D297353CC}">
              <c16:uniqueId val="{00000004-B2BA-425F-BAD8-11433AE60184}"/>
            </c:ext>
          </c:extLst>
        </c:ser>
        <c:ser>
          <c:idx val="5"/>
          <c:order val="5"/>
          <c:tx>
            <c:strRef>
              <c:f>TABLES!$N$12</c:f>
              <c:strCache>
                <c:ptCount val="1"/>
                <c:pt idx="0">
                  <c:v>PANNOU</c:v>
                </c:pt>
              </c:strCache>
            </c:strRef>
          </c:tx>
          <c:spPr>
            <a:solidFill>
              <a:schemeClr val="accent4">
                <a:shade val="93000"/>
              </a:schemeClr>
            </a:solidFill>
            <a:ln>
              <a:noFill/>
            </a:ln>
            <a:effectLst/>
          </c:spPr>
          <c:invertIfNegative val="0"/>
          <c:cat>
            <c:strRef>
              <c:f>TABLES!$O$6</c:f>
              <c:strCache>
                <c:ptCount val="1"/>
                <c:pt idx="0">
                  <c:v>Profit</c:v>
                </c:pt>
              </c:strCache>
            </c:strRef>
          </c:cat>
          <c:val>
            <c:numRef>
              <c:f>TABLES!$O$12</c:f>
              <c:numCache>
                <c:formatCode>_("₹"* #,##0.00_);_("₹"* \(#,##0.00\);_("₹"* "-"??_);_(@_)</c:formatCode>
                <c:ptCount val="1"/>
                <c:pt idx="0">
                  <c:v>42399.710399999996</c:v>
                </c:pt>
              </c:numCache>
            </c:numRef>
          </c:val>
          <c:extLst>
            <c:ext xmlns:c16="http://schemas.microsoft.com/office/drawing/2014/chart" uri="{C3380CC4-5D6E-409C-BE32-E72D297353CC}">
              <c16:uniqueId val="{00000005-B2BA-425F-BAD8-11433AE60184}"/>
            </c:ext>
          </c:extLst>
        </c:ser>
        <c:ser>
          <c:idx val="6"/>
          <c:order val="6"/>
          <c:tx>
            <c:strRef>
              <c:f>TABLES!$N$13</c:f>
              <c:strCache>
                <c:ptCount val="1"/>
                <c:pt idx="0">
                  <c:v>PH&amp;MSH</c:v>
                </c:pt>
              </c:strCache>
            </c:strRef>
          </c:tx>
          <c:spPr>
            <a:solidFill>
              <a:schemeClr val="accent4">
                <a:shade val="80000"/>
              </a:schemeClr>
            </a:solidFill>
            <a:ln>
              <a:noFill/>
            </a:ln>
            <a:effectLst/>
          </c:spPr>
          <c:invertIfNegative val="0"/>
          <c:cat>
            <c:strRef>
              <c:f>TABLES!$O$6</c:f>
              <c:strCache>
                <c:ptCount val="1"/>
                <c:pt idx="0">
                  <c:v>Profit</c:v>
                </c:pt>
              </c:strCache>
            </c:strRef>
          </c:cat>
          <c:val>
            <c:numRef>
              <c:f>TABLES!$O$13</c:f>
              <c:numCache>
                <c:formatCode>_("₹"* #,##0.00_);_("₹"* \(#,##0.00\);_("₹"* "-"??_);_(@_)</c:formatCode>
                <c:ptCount val="1"/>
                <c:pt idx="0">
                  <c:v>40187.030680000003</c:v>
                </c:pt>
              </c:numCache>
            </c:numRef>
          </c:val>
          <c:extLst>
            <c:ext xmlns:c16="http://schemas.microsoft.com/office/drawing/2014/chart" uri="{C3380CC4-5D6E-409C-BE32-E72D297353CC}">
              <c16:uniqueId val="{00000006-B2BA-425F-BAD8-11433AE60184}"/>
            </c:ext>
          </c:extLst>
        </c:ser>
        <c:ser>
          <c:idx val="7"/>
          <c:order val="7"/>
          <c:tx>
            <c:strRef>
              <c:f>TABLES!$N$14</c:f>
              <c:strCache>
                <c:ptCount val="1"/>
                <c:pt idx="0">
                  <c:v>PMANBO</c:v>
                </c:pt>
              </c:strCache>
            </c:strRef>
          </c:tx>
          <c:spPr>
            <a:solidFill>
              <a:schemeClr val="accent4">
                <a:shade val="68000"/>
              </a:schemeClr>
            </a:solidFill>
            <a:ln>
              <a:noFill/>
            </a:ln>
            <a:effectLst/>
          </c:spPr>
          <c:invertIfNegative val="0"/>
          <c:cat>
            <c:strRef>
              <c:f>TABLES!$O$6</c:f>
              <c:strCache>
                <c:ptCount val="1"/>
                <c:pt idx="0">
                  <c:v>Profit</c:v>
                </c:pt>
              </c:strCache>
            </c:strRef>
          </c:cat>
          <c:val>
            <c:numRef>
              <c:f>TABLES!$O$14</c:f>
              <c:numCache>
                <c:formatCode>_("₹"* #,##0.00_);_("₹"* \(#,##0.00\);_("₹"* "-"??_);_(@_)</c:formatCode>
                <c:ptCount val="1"/>
                <c:pt idx="0">
                  <c:v>38230.089199999995</c:v>
                </c:pt>
              </c:numCache>
            </c:numRef>
          </c:val>
          <c:extLst>
            <c:ext xmlns:c16="http://schemas.microsoft.com/office/drawing/2014/chart" uri="{C3380CC4-5D6E-409C-BE32-E72D297353CC}">
              <c16:uniqueId val="{00000007-B2BA-425F-BAD8-11433AE60184}"/>
            </c:ext>
          </c:extLst>
        </c:ser>
        <c:ser>
          <c:idx val="8"/>
          <c:order val="8"/>
          <c:tx>
            <c:strRef>
              <c:f>TABLES!$N$15</c:f>
              <c:strCache>
                <c:ptCount val="1"/>
                <c:pt idx="0">
                  <c:v>PH&amp;MDR</c:v>
                </c:pt>
              </c:strCache>
            </c:strRef>
          </c:tx>
          <c:spPr>
            <a:solidFill>
              <a:schemeClr val="accent4">
                <a:shade val="55000"/>
              </a:schemeClr>
            </a:solidFill>
            <a:ln>
              <a:noFill/>
            </a:ln>
            <a:effectLst/>
          </c:spPr>
          <c:invertIfNegative val="0"/>
          <c:cat>
            <c:strRef>
              <c:f>TABLES!$O$6</c:f>
              <c:strCache>
                <c:ptCount val="1"/>
                <c:pt idx="0">
                  <c:v>Profit</c:v>
                </c:pt>
              </c:strCache>
            </c:strRef>
          </c:cat>
          <c:val>
            <c:numRef>
              <c:f>TABLES!$O$15</c:f>
              <c:numCache>
                <c:formatCode>_("₹"* #,##0.00_);_("₹"* \(#,##0.00\);_("₹"* "-"??_);_(@_)</c:formatCode>
                <c:ptCount val="1"/>
                <c:pt idx="0">
                  <c:v>38151.738500000007</c:v>
                </c:pt>
              </c:numCache>
            </c:numRef>
          </c:val>
          <c:extLst>
            <c:ext xmlns:c16="http://schemas.microsoft.com/office/drawing/2014/chart" uri="{C3380CC4-5D6E-409C-BE32-E72D297353CC}">
              <c16:uniqueId val="{00000008-B2BA-425F-BAD8-11433AE60184}"/>
            </c:ext>
          </c:extLst>
        </c:ser>
        <c:ser>
          <c:idx val="9"/>
          <c:order val="9"/>
          <c:tx>
            <c:strRef>
              <c:f>TABLES!$N$16</c:f>
              <c:strCache>
                <c:ptCount val="1"/>
                <c:pt idx="0">
                  <c:v>PZARBO</c:v>
                </c:pt>
              </c:strCache>
            </c:strRef>
          </c:tx>
          <c:spPr>
            <a:solidFill>
              <a:schemeClr val="accent4">
                <a:shade val="42000"/>
              </a:schemeClr>
            </a:solidFill>
            <a:ln>
              <a:noFill/>
            </a:ln>
            <a:effectLst/>
          </c:spPr>
          <c:invertIfNegative val="0"/>
          <c:cat>
            <c:strRef>
              <c:f>TABLES!$O$6</c:f>
              <c:strCache>
                <c:ptCount val="1"/>
                <c:pt idx="0">
                  <c:v>Profit</c:v>
                </c:pt>
              </c:strCache>
            </c:strRef>
          </c:cat>
          <c:val>
            <c:numRef>
              <c:f>TABLES!$O$16</c:f>
              <c:numCache>
                <c:formatCode>_("₹"* #,##0.00_);_("₹"* \(#,##0.00\);_("₹"* "-"??_);_(@_)</c:formatCode>
                <c:ptCount val="1"/>
                <c:pt idx="0">
                  <c:v>36413.801799999994</c:v>
                </c:pt>
              </c:numCache>
            </c:numRef>
          </c:val>
          <c:extLst>
            <c:ext xmlns:c16="http://schemas.microsoft.com/office/drawing/2014/chart" uri="{C3380CC4-5D6E-409C-BE32-E72D297353CC}">
              <c16:uniqueId val="{00000009-B2BA-425F-BAD8-11433AE60184}"/>
            </c:ext>
          </c:extLst>
        </c:ser>
        <c:dLbls>
          <c:showLegendKey val="0"/>
          <c:showVal val="0"/>
          <c:showCatName val="0"/>
          <c:showSerName val="0"/>
          <c:showPercent val="0"/>
          <c:showBubbleSize val="0"/>
        </c:dLbls>
        <c:gapWidth val="219"/>
        <c:overlap val="-27"/>
        <c:axId val="2066580879"/>
        <c:axId val="2066578479"/>
      </c:barChart>
      <c:catAx>
        <c:axId val="206658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578479"/>
        <c:crosses val="autoZero"/>
        <c:auto val="1"/>
        <c:lblAlgn val="ctr"/>
        <c:lblOffset val="100"/>
        <c:noMultiLvlLbl val="0"/>
      </c:catAx>
      <c:valAx>
        <c:axId val="20665784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665808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wise Monthly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TABLES!$O$46:$O$47</c:f>
              <c:strCache>
                <c:ptCount val="1"/>
                <c:pt idx="0">
                  <c:v>Accessories</c:v>
                </c:pt>
              </c:strCache>
            </c:strRef>
          </c:tx>
          <c:spPr>
            <a:ln w="28575" cap="rnd">
              <a:solidFill>
                <a:schemeClr val="accent1"/>
              </a:solidFill>
              <a:round/>
            </a:ln>
            <a:effectLst/>
          </c:spPr>
          <c:marker>
            <c:symbol val="none"/>
          </c:marker>
          <c:cat>
            <c:multiLvlStrRef>
              <c:f>TABLES!$N$48:$N$70</c:f>
              <c:multiLvlStrCache>
                <c:ptCount val="2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lvl>
                <c:lvl>
                  <c:pt idx="0">
                    <c:v>2024</c:v>
                  </c:pt>
                  <c:pt idx="9">
                    <c:v>2025</c:v>
                  </c:pt>
                </c:lvl>
              </c:multiLvlStrCache>
            </c:multiLvlStrRef>
          </c:cat>
          <c:val>
            <c:numRef>
              <c:f>TABLES!$O$48:$O$70</c:f>
              <c:numCache>
                <c:formatCode>0</c:formatCode>
                <c:ptCount val="20"/>
                <c:pt idx="0">
                  <c:v>13</c:v>
                </c:pt>
                <c:pt idx="1">
                  <c:v>12</c:v>
                </c:pt>
                <c:pt idx="2">
                  <c:v>17</c:v>
                </c:pt>
                <c:pt idx="3">
                  <c:v>24</c:v>
                </c:pt>
                <c:pt idx="4">
                  <c:v>23</c:v>
                </c:pt>
                <c:pt idx="5">
                  <c:v>22</c:v>
                </c:pt>
                <c:pt idx="6">
                  <c:v>28</c:v>
                </c:pt>
                <c:pt idx="7">
                  <c:v>18</c:v>
                </c:pt>
                <c:pt idx="8">
                  <c:v>27</c:v>
                </c:pt>
                <c:pt idx="9">
                  <c:v>18</c:v>
                </c:pt>
                <c:pt idx="10">
                  <c:v>19</c:v>
                </c:pt>
                <c:pt idx="11">
                  <c:v>22</c:v>
                </c:pt>
                <c:pt idx="12">
                  <c:v>19</c:v>
                </c:pt>
                <c:pt idx="13">
                  <c:v>25</c:v>
                </c:pt>
                <c:pt idx="14">
                  <c:v>23</c:v>
                </c:pt>
                <c:pt idx="15">
                  <c:v>26</c:v>
                </c:pt>
                <c:pt idx="16">
                  <c:v>16</c:v>
                </c:pt>
                <c:pt idx="17">
                  <c:v>15</c:v>
                </c:pt>
                <c:pt idx="18">
                  <c:v>33</c:v>
                </c:pt>
                <c:pt idx="19">
                  <c:v>2</c:v>
                </c:pt>
              </c:numCache>
            </c:numRef>
          </c:val>
          <c:smooth val="0"/>
          <c:extLst>
            <c:ext xmlns:c16="http://schemas.microsoft.com/office/drawing/2014/chart" uri="{C3380CC4-5D6E-409C-BE32-E72D297353CC}">
              <c16:uniqueId val="{00000000-93E8-4CE4-818E-34C1E3E2DCF6}"/>
            </c:ext>
          </c:extLst>
        </c:ser>
        <c:ser>
          <c:idx val="1"/>
          <c:order val="1"/>
          <c:tx>
            <c:strRef>
              <c:f>TABLES!$P$46:$P$47</c:f>
              <c:strCache>
                <c:ptCount val="1"/>
                <c:pt idx="0">
                  <c:v>Bottoms</c:v>
                </c:pt>
              </c:strCache>
            </c:strRef>
          </c:tx>
          <c:spPr>
            <a:ln w="28575" cap="rnd">
              <a:solidFill>
                <a:schemeClr val="accent2"/>
              </a:solidFill>
              <a:round/>
            </a:ln>
            <a:effectLst/>
          </c:spPr>
          <c:marker>
            <c:symbol val="none"/>
          </c:marker>
          <c:cat>
            <c:multiLvlStrRef>
              <c:f>TABLES!$N$48:$N$70</c:f>
              <c:multiLvlStrCache>
                <c:ptCount val="2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lvl>
                <c:lvl>
                  <c:pt idx="0">
                    <c:v>2024</c:v>
                  </c:pt>
                  <c:pt idx="9">
                    <c:v>2025</c:v>
                  </c:pt>
                </c:lvl>
              </c:multiLvlStrCache>
            </c:multiLvlStrRef>
          </c:cat>
          <c:val>
            <c:numRef>
              <c:f>TABLES!$P$48:$P$70</c:f>
              <c:numCache>
                <c:formatCode>0</c:formatCode>
                <c:ptCount val="20"/>
                <c:pt idx="0">
                  <c:v>13</c:v>
                </c:pt>
                <c:pt idx="1">
                  <c:v>24</c:v>
                </c:pt>
                <c:pt idx="2">
                  <c:v>16</c:v>
                </c:pt>
                <c:pt idx="3">
                  <c:v>21</c:v>
                </c:pt>
                <c:pt idx="4">
                  <c:v>22</c:v>
                </c:pt>
                <c:pt idx="5">
                  <c:v>26</c:v>
                </c:pt>
                <c:pt idx="6">
                  <c:v>27</c:v>
                </c:pt>
                <c:pt idx="7">
                  <c:v>27</c:v>
                </c:pt>
                <c:pt idx="8">
                  <c:v>20</c:v>
                </c:pt>
                <c:pt idx="9">
                  <c:v>17</c:v>
                </c:pt>
                <c:pt idx="10">
                  <c:v>14</c:v>
                </c:pt>
                <c:pt idx="11">
                  <c:v>28</c:v>
                </c:pt>
                <c:pt idx="12">
                  <c:v>18</c:v>
                </c:pt>
                <c:pt idx="13">
                  <c:v>23</c:v>
                </c:pt>
                <c:pt idx="14">
                  <c:v>14</c:v>
                </c:pt>
                <c:pt idx="15">
                  <c:v>21</c:v>
                </c:pt>
                <c:pt idx="16">
                  <c:v>26</c:v>
                </c:pt>
                <c:pt idx="17">
                  <c:v>14</c:v>
                </c:pt>
                <c:pt idx="18">
                  <c:v>20</c:v>
                </c:pt>
                <c:pt idx="19">
                  <c:v>1</c:v>
                </c:pt>
              </c:numCache>
            </c:numRef>
          </c:val>
          <c:smooth val="0"/>
          <c:extLst>
            <c:ext xmlns:c16="http://schemas.microsoft.com/office/drawing/2014/chart" uri="{C3380CC4-5D6E-409C-BE32-E72D297353CC}">
              <c16:uniqueId val="{00000001-00FB-48ED-B1D1-B5989084EE37}"/>
            </c:ext>
          </c:extLst>
        </c:ser>
        <c:ser>
          <c:idx val="2"/>
          <c:order val="2"/>
          <c:tx>
            <c:strRef>
              <c:f>TABLES!$Q$46:$Q$47</c:f>
              <c:strCache>
                <c:ptCount val="1"/>
                <c:pt idx="0">
                  <c:v>Dresses</c:v>
                </c:pt>
              </c:strCache>
            </c:strRef>
          </c:tx>
          <c:spPr>
            <a:ln w="28575" cap="rnd">
              <a:solidFill>
                <a:schemeClr val="accent3"/>
              </a:solidFill>
              <a:round/>
            </a:ln>
            <a:effectLst/>
          </c:spPr>
          <c:marker>
            <c:symbol val="none"/>
          </c:marker>
          <c:cat>
            <c:multiLvlStrRef>
              <c:f>TABLES!$N$48:$N$70</c:f>
              <c:multiLvlStrCache>
                <c:ptCount val="2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lvl>
                <c:lvl>
                  <c:pt idx="0">
                    <c:v>2024</c:v>
                  </c:pt>
                  <c:pt idx="9">
                    <c:v>2025</c:v>
                  </c:pt>
                </c:lvl>
              </c:multiLvlStrCache>
            </c:multiLvlStrRef>
          </c:cat>
          <c:val>
            <c:numRef>
              <c:f>TABLES!$Q$48:$Q$70</c:f>
              <c:numCache>
                <c:formatCode>0</c:formatCode>
                <c:ptCount val="20"/>
                <c:pt idx="0">
                  <c:v>10</c:v>
                </c:pt>
                <c:pt idx="1">
                  <c:v>15</c:v>
                </c:pt>
                <c:pt idx="2">
                  <c:v>18</c:v>
                </c:pt>
                <c:pt idx="3">
                  <c:v>20</c:v>
                </c:pt>
                <c:pt idx="4">
                  <c:v>16</c:v>
                </c:pt>
                <c:pt idx="5">
                  <c:v>19</c:v>
                </c:pt>
                <c:pt idx="6">
                  <c:v>17</c:v>
                </c:pt>
                <c:pt idx="7">
                  <c:v>18</c:v>
                </c:pt>
                <c:pt idx="8">
                  <c:v>12</c:v>
                </c:pt>
                <c:pt idx="9">
                  <c:v>22</c:v>
                </c:pt>
                <c:pt idx="10">
                  <c:v>15</c:v>
                </c:pt>
                <c:pt idx="11">
                  <c:v>13</c:v>
                </c:pt>
                <c:pt idx="12">
                  <c:v>14</c:v>
                </c:pt>
                <c:pt idx="13">
                  <c:v>16</c:v>
                </c:pt>
                <c:pt idx="14">
                  <c:v>17</c:v>
                </c:pt>
                <c:pt idx="15">
                  <c:v>18</c:v>
                </c:pt>
                <c:pt idx="16">
                  <c:v>16</c:v>
                </c:pt>
                <c:pt idx="17">
                  <c:v>25</c:v>
                </c:pt>
                <c:pt idx="18">
                  <c:v>15</c:v>
                </c:pt>
                <c:pt idx="19">
                  <c:v>1</c:v>
                </c:pt>
              </c:numCache>
            </c:numRef>
          </c:val>
          <c:smooth val="0"/>
          <c:extLst>
            <c:ext xmlns:c16="http://schemas.microsoft.com/office/drawing/2014/chart" uri="{C3380CC4-5D6E-409C-BE32-E72D297353CC}">
              <c16:uniqueId val="{00000002-00FB-48ED-B1D1-B5989084EE37}"/>
            </c:ext>
          </c:extLst>
        </c:ser>
        <c:ser>
          <c:idx val="3"/>
          <c:order val="3"/>
          <c:tx>
            <c:strRef>
              <c:f>TABLES!$R$46:$R$47</c:f>
              <c:strCache>
                <c:ptCount val="1"/>
                <c:pt idx="0">
                  <c:v>Outerwear</c:v>
                </c:pt>
              </c:strCache>
            </c:strRef>
          </c:tx>
          <c:spPr>
            <a:ln w="28575" cap="rnd">
              <a:solidFill>
                <a:schemeClr val="accent4"/>
              </a:solidFill>
              <a:round/>
            </a:ln>
            <a:effectLst/>
          </c:spPr>
          <c:marker>
            <c:symbol val="none"/>
          </c:marker>
          <c:cat>
            <c:multiLvlStrRef>
              <c:f>TABLES!$N$48:$N$70</c:f>
              <c:multiLvlStrCache>
                <c:ptCount val="2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lvl>
                <c:lvl>
                  <c:pt idx="0">
                    <c:v>2024</c:v>
                  </c:pt>
                  <c:pt idx="9">
                    <c:v>2025</c:v>
                  </c:pt>
                </c:lvl>
              </c:multiLvlStrCache>
            </c:multiLvlStrRef>
          </c:cat>
          <c:val>
            <c:numRef>
              <c:f>TABLES!$R$48:$R$70</c:f>
              <c:numCache>
                <c:formatCode>0</c:formatCode>
                <c:ptCount val="20"/>
                <c:pt idx="0">
                  <c:v>15</c:v>
                </c:pt>
                <c:pt idx="1">
                  <c:v>11</c:v>
                </c:pt>
                <c:pt idx="2">
                  <c:v>21</c:v>
                </c:pt>
                <c:pt idx="3">
                  <c:v>18</c:v>
                </c:pt>
                <c:pt idx="4">
                  <c:v>21</c:v>
                </c:pt>
                <c:pt idx="5">
                  <c:v>12</c:v>
                </c:pt>
                <c:pt idx="6">
                  <c:v>16</c:v>
                </c:pt>
                <c:pt idx="7">
                  <c:v>18</c:v>
                </c:pt>
                <c:pt idx="8">
                  <c:v>22</c:v>
                </c:pt>
                <c:pt idx="9">
                  <c:v>20</c:v>
                </c:pt>
                <c:pt idx="10">
                  <c:v>18</c:v>
                </c:pt>
                <c:pt idx="11">
                  <c:v>17</c:v>
                </c:pt>
                <c:pt idx="12">
                  <c:v>15</c:v>
                </c:pt>
                <c:pt idx="13">
                  <c:v>20</c:v>
                </c:pt>
                <c:pt idx="14">
                  <c:v>19</c:v>
                </c:pt>
                <c:pt idx="15">
                  <c:v>18</c:v>
                </c:pt>
                <c:pt idx="16">
                  <c:v>20</c:v>
                </c:pt>
                <c:pt idx="17">
                  <c:v>19</c:v>
                </c:pt>
                <c:pt idx="18">
                  <c:v>14</c:v>
                </c:pt>
              </c:numCache>
            </c:numRef>
          </c:val>
          <c:smooth val="0"/>
          <c:extLst>
            <c:ext xmlns:c16="http://schemas.microsoft.com/office/drawing/2014/chart" uri="{C3380CC4-5D6E-409C-BE32-E72D297353CC}">
              <c16:uniqueId val="{00000003-00FB-48ED-B1D1-B5989084EE37}"/>
            </c:ext>
          </c:extLst>
        </c:ser>
        <c:ser>
          <c:idx val="4"/>
          <c:order val="4"/>
          <c:tx>
            <c:strRef>
              <c:f>TABLES!$S$46:$S$47</c:f>
              <c:strCache>
                <c:ptCount val="1"/>
                <c:pt idx="0">
                  <c:v>Shoes</c:v>
                </c:pt>
              </c:strCache>
            </c:strRef>
          </c:tx>
          <c:spPr>
            <a:ln w="28575" cap="rnd">
              <a:solidFill>
                <a:schemeClr val="accent5"/>
              </a:solidFill>
              <a:round/>
            </a:ln>
            <a:effectLst/>
          </c:spPr>
          <c:marker>
            <c:symbol val="none"/>
          </c:marker>
          <c:cat>
            <c:multiLvlStrRef>
              <c:f>TABLES!$N$48:$N$70</c:f>
              <c:multiLvlStrCache>
                <c:ptCount val="2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lvl>
                <c:lvl>
                  <c:pt idx="0">
                    <c:v>2024</c:v>
                  </c:pt>
                  <c:pt idx="9">
                    <c:v>2025</c:v>
                  </c:pt>
                </c:lvl>
              </c:multiLvlStrCache>
            </c:multiLvlStrRef>
          </c:cat>
          <c:val>
            <c:numRef>
              <c:f>TABLES!$S$48:$S$70</c:f>
              <c:numCache>
                <c:formatCode>0</c:formatCode>
                <c:ptCount val="20"/>
                <c:pt idx="0">
                  <c:v>15</c:v>
                </c:pt>
                <c:pt idx="1">
                  <c:v>21</c:v>
                </c:pt>
                <c:pt idx="2">
                  <c:v>17</c:v>
                </c:pt>
                <c:pt idx="3">
                  <c:v>14</c:v>
                </c:pt>
                <c:pt idx="4">
                  <c:v>23</c:v>
                </c:pt>
                <c:pt idx="5">
                  <c:v>16</c:v>
                </c:pt>
                <c:pt idx="6">
                  <c:v>12</c:v>
                </c:pt>
                <c:pt idx="7">
                  <c:v>16</c:v>
                </c:pt>
                <c:pt idx="8">
                  <c:v>27</c:v>
                </c:pt>
                <c:pt idx="9">
                  <c:v>16</c:v>
                </c:pt>
                <c:pt idx="10">
                  <c:v>23</c:v>
                </c:pt>
                <c:pt idx="11">
                  <c:v>22</c:v>
                </c:pt>
                <c:pt idx="12">
                  <c:v>22</c:v>
                </c:pt>
                <c:pt idx="13">
                  <c:v>20</c:v>
                </c:pt>
                <c:pt idx="14">
                  <c:v>19</c:v>
                </c:pt>
                <c:pt idx="15">
                  <c:v>20</c:v>
                </c:pt>
                <c:pt idx="16">
                  <c:v>21</c:v>
                </c:pt>
                <c:pt idx="17">
                  <c:v>22</c:v>
                </c:pt>
                <c:pt idx="18">
                  <c:v>22</c:v>
                </c:pt>
                <c:pt idx="19">
                  <c:v>4</c:v>
                </c:pt>
              </c:numCache>
            </c:numRef>
          </c:val>
          <c:smooth val="0"/>
          <c:extLst>
            <c:ext xmlns:c16="http://schemas.microsoft.com/office/drawing/2014/chart" uri="{C3380CC4-5D6E-409C-BE32-E72D297353CC}">
              <c16:uniqueId val="{00000004-00FB-48ED-B1D1-B5989084EE37}"/>
            </c:ext>
          </c:extLst>
        </c:ser>
        <c:ser>
          <c:idx val="5"/>
          <c:order val="5"/>
          <c:tx>
            <c:strRef>
              <c:f>TABLES!$T$46:$T$47</c:f>
              <c:strCache>
                <c:ptCount val="1"/>
                <c:pt idx="0">
                  <c:v>Tops</c:v>
                </c:pt>
              </c:strCache>
            </c:strRef>
          </c:tx>
          <c:spPr>
            <a:ln w="28575" cap="rnd">
              <a:solidFill>
                <a:schemeClr val="accent6"/>
              </a:solidFill>
              <a:round/>
            </a:ln>
            <a:effectLst/>
          </c:spPr>
          <c:marker>
            <c:symbol val="none"/>
          </c:marker>
          <c:cat>
            <c:multiLvlStrRef>
              <c:f>TABLES!$N$48:$N$70</c:f>
              <c:multiLvlStrCache>
                <c:ptCount val="20"/>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pt idx="18">
                    <c:v>Oct</c:v>
                  </c:pt>
                  <c:pt idx="19">
                    <c:v>Nov</c:v>
                  </c:pt>
                </c:lvl>
                <c:lvl>
                  <c:pt idx="0">
                    <c:v>2024</c:v>
                  </c:pt>
                  <c:pt idx="9">
                    <c:v>2025</c:v>
                  </c:pt>
                </c:lvl>
              </c:multiLvlStrCache>
            </c:multiLvlStrRef>
          </c:cat>
          <c:val>
            <c:numRef>
              <c:f>TABLES!$T$48:$T$70</c:f>
              <c:numCache>
                <c:formatCode>0</c:formatCode>
                <c:ptCount val="20"/>
                <c:pt idx="0">
                  <c:v>21</c:v>
                </c:pt>
                <c:pt idx="1">
                  <c:v>22</c:v>
                </c:pt>
                <c:pt idx="2">
                  <c:v>19</c:v>
                </c:pt>
                <c:pt idx="3">
                  <c:v>19</c:v>
                </c:pt>
                <c:pt idx="4">
                  <c:v>16</c:v>
                </c:pt>
                <c:pt idx="5">
                  <c:v>18</c:v>
                </c:pt>
                <c:pt idx="6">
                  <c:v>18</c:v>
                </c:pt>
                <c:pt idx="7">
                  <c:v>15</c:v>
                </c:pt>
                <c:pt idx="8">
                  <c:v>11</c:v>
                </c:pt>
                <c:pt idx="9">
                  <c:v>25</c:v>
                </c:pt>
                <c:pt idx="10">
                  <c:v>19</c:v>
                </c:pt>
                <c:pt idx="11">
                  <c:v>16</c:v>
                </c:pt>
                <c:pt idx="12">
                  <c:v>28</c:v>
                </c:pt>
                <c:pt idx="13">
                  <c:v>15</c:v>
                </c:pt>
                <c:pt idx="14">
                  <c:v>24</c:v>
                </c:pt>
                <c:pt idx="15">
                  <c:v>16</c:v>
                </c:pt>
                <c:pt idx="16">
                  <c:v>21</c:v>
                </c:pt>
                <c:pt idx="17">
                  <c:v>20</c:v>
                </c:pt>
                <c:pt idx="18">
                  <c:v>14</c:v>
                </c:pt>
                <c:pt idx="19">
                  <c:v>2</c:v>
                </c:pt>
              </c:numCache>
            </c:numRef>
          </c:val>
          <c:smooth val="0"/>
          <c:extLst>
            <c:ext xmlns:c16="http://schemas.microsoft.com/office/drawing/2014/chart" uri="{C3380CC4-5D6E-409C-BE32-E72D297353CC}">
              <c16:uniqueId val="{00000005-00FB-48ED-B1D1-B5989084EE37}"/>
            </c:ext>
          </c:extLst>
        </c:ser>
        <c:dLbls>
          <c:showLegendKey val="0"/>
          <c:showVal val="0"/>
          <c:showCatName val="0"/>
          <c:showSerName val="0"/>
          <c:showPercent val="0"/>
          <c:showBubbleSize val="0"/>
        </c:dLbls>
        <c:smooth val="0"/>
        <c:axId val="1896028575"/>
        <c:axId val="1896026655"/>
      </c:lineChart>
      <c:catAx>
        <c:axId val="189602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896026655"/>
        <c:crosses val="autoZero"/>
        <c:auto val="1"/>
        <c:lblAlgn val="ctr"/>
        <c:lblOffset val="100"/>
        <c:noMultiLvlLbl val="0"/>
      </c:catAx>
      <c:valAx>
        <c:axId val="18960266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028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[final.xlsx]TABLES!PivotTable20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Brandwise Profit</a:t>
            </a:r>
            <a:r>
              <a:rPr lang="en-IN" baseline="0"/>
              <a:t> Breakdown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TABLES!$B$6:$B$7</c:f>
              <c:strCache>
                <c:ptCount val="1"/>
                <c:pt idx="0">
                  <c:v>Outerwear</c:v>
                </c:pt>
              </c:strCache>
            </c:strRef>
          </c:tx>
          <c:spPr>
            <a:solidFill>
              <a:schemeClr val="accent1"/>
            </a:solidFill>
            <a:ln>
              <a:noFill/>
            </a:ln>
            <a:effectLst/>
          </c:spPr>
          <c:invertIfNegative val="0"/>
          <c:cat>
            <c:strRef>
              <c:f>TABLES!$A$8:$A$16</c:f>
              <c:strCache>
                <c:ptCount val="8"/>
                <c:pt idx="0">
                  <c:v>H&amp;M</c:v>
                </c:pt>
                <c:pt idx="1">
                  <c:v>Banana Republic</c:v>
                </c:pt>
                <c:pt idx="2">
                  <c:v>Mango</c:v>
                </c:pt>
                <c:pt idx="3">
                  <c:v>Ann Taylor</c:v>
                </c:pt>
                <c:pt idx="4">
                  <c:v>Zara</c:v>
                </c:pt>
                <c:pt idx="5">
                  <c:v>Uniqlo</c:v>
                </c:pt>
                <c:pt idx="6">
                  <c:v>Forever21</c:v>
                </c:pt>
                <c:pt idx="7">
                  <c:v>Gap</c:v>
                </c:pt>
              </c:strCache>
            </c:strRef>
          </c:cat>
          <c:val>
            <c:numRef>
              <c:f>TABLES!$B$8:$B$16</c:f>
              <c:numCache>
                <c:formatCode>_("₹"* #,##0.00_);_("₹"* \(#,##0.00\);_("₹"* "-"??_);_(@_)</c:formatCode>
                <c:ptCount val="8"/>
                <c:pt idx="0">
                  <c:v>47715.512320000002</c:v>
                </c:pt>
                <c:pt idx="1">
                  <c:v>56752.528019999998</c:v>
                </c:pt>
                <c:pt idx="2">
                  <c:v>9653.0977200000016</c:v>
                </c:pt>
                <c:pt idx="3">
                  <c:v>42399.710399999996</c:v>
                </c:pt>
                <c:pt idx="4">
                  <c:v>10045.912320000001</c:v>
                </c:pt>
                <c:pt idx="5">
                  <c:v>44347.584019999988</c:v>
                </c:pt>
                <c:pt idx="6">
                  <c:v>33633.299740000002</c:v>
                </c:pt>
                <c:pt idx="7">
                  <c:v>16875.95</c:v>
                </c:pt>
              </c:numCache>
            </c:numRef>
          </c:val>
          <c:extLst>
            <c:ext xmlns:c16="http://schemas.microsoft.com/office/drawing/2014/chart" uri="{C3380CC4-5D6E-409C-BE32-E72D297353CC}">
              <c16:uniqueId val="{00000000-FE15-4DA4-ADC1-1F7797A0B5F9}"/>
            </c:ext>
          </c:extLst>
        </c:ser>
        <c:ser>
          <c:idx val="1"/>
          <c:order val="1"/>
          <c:tx>
            <c:strRef>
              <c:f>TABLES!$C$6:$C$7</c:f>
              <c:strCache>
                <c:ptCount val="1"/>
                <c:pt idx="0">
                  <c:v>Shoes</c:v>
                </c:pt>
              </c:strCache>
            </c:strRef>
          </c:tx>
          <c:spPr>
            <a:solidFill>
              <a:schemeClr val="accent2"/>
            </a:solidFill>
            <a:ln>
              <a:noFill/>
            </a:ln>
            <a:effectLst/>
          </c:spPr>
          <c:invertIfNegative val="0"/>
          <c:cat>
            <c:strRef>
              <c:f>TABLES!$A$8:$A$16</c:f>
              <c:strCache>
                <c:ptCount val="8"/>
                <c:pt idx="0">
                  <c:v>H&amp;M</c:v>
                </c:pt>
                <c:pt idx="1">
                  <c:v>Banana Republic</c:v>
                </c:pt>
                <c:pt idx="2">
                  <c:v>Mango</c:v>
                </c:pt>
                <c:pt idx="3">
                  <c:v>Ann Taylor</c:v>
                </c:pt>
                <c:pt idx="4">
                  <c:v>Zara</c:v>
                </c:pt>
                <c:pt idx="5">
                  <c:v>Uniqlo</c:v>
                </c:pt>
                <c:pt idx="6">
                  <c:v>Forever21</c:v>
                </c:pt>
                <c:pt idx="7">
                  <c:v>Gap</c:v>
                </c:pt>
              </c:strCache>
            </c:strRef>
          </c:cat>
          <c:val>
            <c:numRef>
              <c:f>TABLES!$C$8:$C$16</c:f>
              <c:numCache>
                <c:formatCode>_("₹"* #,##0.00_);_("₹"* \(#,##0.00\);_("₹"* "-"??_);_(@_)</c:formatCode>
                <c:ptCount val="8"/>
                <c:pt idx="0">
                  <c:v>40187.030680000003</c:v>
                </c:pt>
                <c:pt idx="1">
                  <c:v>46758.309920000007</c:v>
                </c:pt>
                <c:pt idx="2">
                  <c:v>49251.8174</c:v>
                </c:pt>
                <c:pt idx="3">
                  <c:v>26823.712339999991</c:v>
                </c:pt>
                <c:pt idx="4">
                  <c:v>21495.95506</c:v>
                </c:pt>
                <c:pt idx="5">
                  <c:v>23791.849239999996</c:v>
                </c:pt>
                <c:pt idx="6">
                  <c:v>8243.0802399999993</c:v>
                </c:pt>
                <c:pt idx="7">
                  <c:v>21497.920340000011</c:v>
                </c:pt>
              </c:numCache>
            </c:numRef>
          </c:val>
          <c:extLst>
            <c:ext xmlns:c16="http://schemas.microsoft.com/office/drawing/2014/chart" uri="{C3380CC4-5D6E-409C-BE32-E72D297353CC}">
              <c16:uniqueId val="{00000001-014C-4005-974C-528DB939EEEE}"/>
            </c:ext>
          </c:extLst>
        </c:ser>
        <c:ser>
          <c:idx val="2"/>
          <c:order val="2"/>
          <c:tx>
            <c:strRef>
              <c:f>TABLES!$D$6:$D$7</c:f>
              <c:strCache>
                <c:ptCount val="1"/>
                <c:pt idx="0">
                  <c:v>Bottoms</c:v>
                </c:pt>
              </c:strCache>
            </c:strRef>
          </c:tx>
          <c:spPr>
            <a:solidFill>
              <a:schemeClr val="accent3"/>
            </a:solidFill>
            <a:ln>
              <a:noFill/>
            </a:ln>
            <a:effectLst/>
          </c:spPr>
          <c:invertIfNegative val="0"/>
          <c:cat>
            <c:strRef>
              <c:f>TABLES!$A$8:$A$16</c:f>
              <c:strCache>
                <c:ptCount val="8"/>
                <c:pt idx="0">
                  <c:v>H&amp;M</c:v>
                </c:pt>
                <c:pt idx="1">
                  <c:v>Banana Republic</c:v>
                </c:pt>
                <c:pt idx="2">
                  <c:v>Mango</c:v>
                </c:pt>
                <c:pt idx="3">
                  <c:v>Ann Taylor</c:v>
                </c:pt>
                <c:pt idx="4">
                  <c:v>Zara</c:v>
                </c:pt>
                <c:pt idx="5">
                  <c:v>Uniqlo</c:v>
                </c:pt>
                <c:pt idx="6">
                  <c:v>Forever21</c:v>
                </c:pt>
                <c:pt idx="7">
                  <c:v>Gap</c:v>
                </c:pt>
              </c:strCache>
            </c:strRef>
          </c:cat>
          <c:val>
            <c:numRef>
              <c:f>TABLES!$D$8:$D$16</c:f>
              <c:numCache>
                <c:formatCode>_("₹"* #,##0.00_);_("₹"* \(#,##0.00\);_("₹"* "-"??_);_(@_)</c:formatCode>
                <c:ptCount val="8"/>
                <c:pt idx="0">
                  <c:v>24624.681080000002</c:v>
                </c:pt>
                <c:pt idx="1">
                  <c:v>25198.170860000006</c:v>
                </c:pt>
                <c:pt idx="2">
                  <c:v>38230.089199999995</c:v>
                </c:pt>
                <c:pt idx="3">
                  <c:v>25922.755019999993</c:v>
                </c:pt>
                <c:pt idx="4">
                  <c:v>36413.801799999994</c:v>
                </c:pt>
                <c:pt idx="5">
                  <c:v>13949.58366</c:v>
                </c:pt>
                <c:pt idx="6">
                  <c:v>27886.556140000008</c:v>
                </c:pt>
                <c:pt idx="7">
                  <c:v>12581.157060000001</c:v>
                </c:pt>
              </c:numCache>
            </c:numRef>
          </c:val>
          <c:extLst>
            <c:ext xmlns:c16="http://schemas.microsoft.com/office/drawing/2014/chart" uri="{C3380CC4-5D6E-409C-BE32-E72D297353CC}">
              <c16:uniqueId val="{00000002-014C-4005-974C-528DB939EEEE}"/>
            </c:ext>
          </c:extLst>
        </c:ser>
        <c:ser>
          <c:idx val="3"/>
          <c:order val="3"/>
          <c:tx>
            <c:strRef>
              <c:f>TABLES!$E$6:$E$7</c:f>
              <c:strCache>
                <c:ptCount val="1"/>
                <c:pt idx="0">
                  <c:v>Dresses</c:v>
                </c:pt>
              </c:strCache>
            </c:strRef>
          </c:tx>
          <c:spPr>
            <a:solidFill>
              <a:schemeClr val="accent4"/>
            </a:solidFill>
            <a:ln>
              <a:noFill/>
            </a:ln>
            <a:effectLst/>
          </c:spPr>
          <c:invertIfNegative val="0"/>
          <c:cat>
            <c:strRef>
              <c:f>TABLES!$A$8:$A$16</c:f>
              <c:strCache>
                <c:ptCount val="8"/>
                <c:pt idx="0">
                  <c:v>H&amp;M</c:v>
                </c:pt>
                <c:pt idx="1">
                  <c:v>Banana Republic</c:v>
                </c:pt>
                <c:pt idx="2">
                  <c:v>Mango</c:v>
                </c:pt>
                <c:pt idx="3">
                  <c:v>Ann Taylor</c:v>
                </c:pt>
                <c:pt idx="4">
                  <c:v>Zara</c:v>
                </c:pt>
                <c:pt idx="5">
                  <c:v>Uniqlo</c:v>
                </c:pt>
                <c:pt idx="6">
                  <c:v>Forever21</c:v>
                </c:pt>
                <c:pt idx="7">
                  <c:v>Gap</c:v>
                </c:pt>
              </c:strCache>
            </c:strRef>
          </c:cat>
          <c:val>
            <c:numRef>
              <c:f>TABLES!$E$8:$E$16</c:f>
              <c:numCache>
                <c:formatCode>_("₹"* #,##0.00_);_("₹"* \(#,##0.00\);_("₹"* "-"??_);_(@_)</c:formatCode>
                <c:ptCount val="8"/>
                <c:pt idx="0">
                  <c:v>38151.738500000007</c:v>
                </c:pt>
                <c:pt idx="1">
                  <c:v>23192.513299999995</c:v>
                </c:pt>
                <c:pt idx="2">
                  <c:v>31775.377859999997</c:v>
                </c:pt>
                <c:pt idx="3">
                  <c:v>31262.244240000004</c:v>
                </c:pt>
                <c:pt idx="4">
                  <c:v>34090.513720000003</c:v>
                </c:pt>
                <c:pt idx="5">
                  <c:v>10140.652279999998</c:v>
                </c:pt>
                <c:pt idx="6">
                  <c:v>14155.96904</c:v>
                </c:pt>
                <c:pt idx="7">
                  <c:v>19694.605020000003</c:v>
                </c:pt>
              </c:numCache>
            </c:numRef>
          </c:val>
          <c:extLst>
            <c:ext xmlns:c16="http://schemas.microsoft.com/office/drawing/2014/chart" uri="{C3380CC4-5D6E-409C-BE32-E72D297353CC}">
              <c16:uniqueId val="{00000003-014C-4005-974C-528DB939EEEE}"/>
            </c:ext>
          </c:extLst>
        </c:ser>
        <c:ser>
          <c:idx val="4"/>
          <c:order val="4"/>
          <c:tx>
            <c:strRef>
              <c:f>TABLES!$F$6:$F$7</c:f>
              <c:strCache>
                <c:ptCount val="1"/>
                <c:pt idx="0">
                  <c:v>Tops</c:v>
                </c:pt>
              </c:strCache>
            </c:strRef>
          </c:tx>
          <c:spPr>
            <a:solidFill>
              <a:schemeClr val="accent5"/>
            </a:solidFill>
            <a:ln>
              <a:noFill/>
            </a:ln>
            <a:effectLst/>
          </c:spPr>
          <c:invertIfNegative val="0"/>
          <c:cat>
            <c:strRef>
              <c:f>TABLES!$A$8:$A$16</c:f>
              <c:strCache>
                <c:ptCount val="8"/>
                <c:pt idx="0">
                  <c:v>H&amp;M</c:v>
                </c:pt>
                <c:pt idx="1">
                  <c:v>Banana Republic</c:v>
                </c:pt>
                <c:pt idx="2">
                  <c:v>Mango</c:v>
                </c:pt>
                <c:pt idx="3">
                  <c:v>Ann Taylor</c:v>
                </c:pt>
                <c:pt idx="4">
                  <c:v>Zara</c:v>
                </c:pt>
                <c:pt idx="5">
                  <c:v>Uniqlo</c:v>
                </c:pt>
                <c:pt idx="6">
                  <c:v>Forever21</c:v>
                </c:pt>
                <c:pt idx="7">
                  <c:v>Gap</c:v>
                </c:pt>
              </c:strCache>
            </c:strRef>
          </c:cat>
          <c:val>
            <c:numRef>
              <c:f>TABLES!$F$8:$F$16</c:f>
              <c:numCache>
                <c:formatCode>_("₹"* #,##0.00_);_("₹"* \(#,##0.00\);_("₹"* "-"??_);_(@_)</c:formatCode>
                <c:ptCount val="8"/>
                <c:pt idx="0">
                  <c:v>14363.771639999999</c:v>
                </c:pt>
                <c:pt idx="1">
                  <c:v>14524.013640000003</c:v>
                </c:pt>
                <c:pt idx="2">
                  <c:v>15686.220439999999</c:v>
                </c:pt>
                <c:pt idx="3">
                  <c:v>14590.716799999998</c:v>
                </c:pt>
                <c:pt idx="4">
                  <c:v>16882.52432</c:v>
                </c:pt>
                <c:pt idx="5">
                  <c:v>18012.641960000001</c:v>
                </c:pt>
                <c:pt idx="6">
                  <c:v>263.46370000000127</c:v>
                </c:pt>
                <c:pt idx="7">
                  <c:v>5546.348780000003</c:v>
                </c:pt>
              </c:numCache>
            </c:numRef>
          </c:val>
          <c:extLst>
            <c:ext xmlns:c16="http://schemas.microsoft.com/office/drawing/2014/chart" uri="{C3380CC4-5D6E-409C-BE32-E72D297353CC}">
              <c16:uniqueId val="{00000004-014C-4005-974C-528DB939EEEE}"/>
            </c:ext>
          </c:extLst>
        </c:ser>
        <c:ser>
          <c:idx val="5"/>
          <c:order val="5"/>
          <c:tx>
            <c:strRef>
              <c:f>TABLES!$G$6:$G$7</c:f>
              <c:strCache>
                <c:ptCount val="1"/>
                <c:pt idx="0">
                  <c:v>Accessories</c:v>
                </c:pt>
              </c:strCache>
            </c:strRef>
          </c:tx>
          <c:spPr>
            <a:solidFill>
              <a:schemeClr val="accent6"/>
            </a:solidFill>
            <a:ln>
              <a:noFill/>
            </a:ln>
            <a:effectLst/>
          </c:spPr>
          <c:invertIfNegative val="0"/>
          <c:cat>
            <c:strRef>
              <c:f>TABLES!$A$8:$A$16</c:f>
              <c:strCache>
                <c:ptCount val="8"/>
                <c:pt idx="0">
                  <c:v>H&amp;M</c:v>
                </c:pt>
                <c:pt idx="1">
                  <c:v>Banana Republic</c:v>
                </c:pt>
                <c:pt idx="2">
                  <c:v>Mango</c:v>
                </c:pt>
                <c:pt idx="3">
                  <c:v>Ann Taylor</c:v>
                </c:pt>
                <c:pt idx="4">
                  <c:v>Zara</c:v>
                </c:pt>
                <c:pt idx="5">
                  <c:v>Uniqlo</c:v>
                </c:pt>
                <c:pt idx="6">
                  <c:v>Forever21</c:v>
                </c:pt>
                <c:pt idx="7">
                  <c:v>Gap</c:v>
                </c:pt>
              </c:strCache>
            </c:strRef>
          </c:cat>
          <c:val>
            <c:numRef>
              <c:f>TABLES!$G$8:$G$16</c:f>
              <c:numCache>
                <c:formatCode>_("₹"* #,##0.00_);_("₹"* \(#,##0.00\);_("₹"* "-"??_);_(@_)</c:formatCode>
                <c:ptCount val="8"/>
                <c:pt idx="0">
                  <c:v>2151.5570799999991</c:v>
                </c:pt>
                <c:pt idx="1">
                  <c:v>638.25992000000019</c:v>
                </c:pt>
                <c:pt idx="2">
                  <c:v>104.6253600000002</c:v>
                </c:pt>
                <c:pt idx="3">
                  <c:v>2752.6140000000005</c:v>
                </c:pt>
                <c:pt idx="4">
                  <c:v>3571.7374</c:v>
                </c:pt>
                <c:pt idx="5">
                  <c:v>-752.6069600000003</c:v>
                </c:pt>
                <c:pt idx="6">
                  <c:v>3936.6673999999998</c:v>
                </c:pt>
                <c:pt idx="7">
                  <c:v>2448.8704799999996</c:v>
                </c:pt>
              </c:numCache>
            </c:numRef>
          </c:val>
          <c:extLst>
            <c:ext xmlns:c16="http://schemas.microsoft.com/office/drawing/2014/chart" uri="{C3380CC4-5D6E-409C-BE32-E72D297353CC}">
              <c16:uniqueId val="{00000005-014C-4005-974C-528DB939EEEE}"/>
            </c:ext>
          </c:extLst>
        </c:ser>
        <c:dLbls>
          <c:showLegendKey val="0"/>
          <c:showVal val="0"/>
          <c:showCatName val="0"/>
          <c:showSerName val="0"/>
          <c:showPercent val="0"/>
          <c:showBubbleSize val="0"/>
        </c:dLbls>
        <c:gapWidth val="150"/>
        <c:overlap val="100"/>
        <c:axId val="531247439"/>
        <c:axId val="531238799"/>
      </c:barChart>
      <c:catAx>
        <c:axId val="5312474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31238799"/>
        <c:crosses val="autoZero"/>
        <c:auto val="1"/>
        <c:lblAlgn val="ctr"/>
        <c:lblOffset val="100"/>
        <c:noMultiLvlLbl val="0"/>
      </c:catAx>
      <c:valAx>
        <c:axId val="5312387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24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[final.xlsx]TABLES!PivotTable28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Seasonwise</a:t>
            </a:r>
            <a:r>
              <a:rPr lang="en-IN" baseline="0"/>
              <a:t> Orders &amp; Returns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TABLES!$K$42</c:f>
              <c:strCache>
                <c:ptCount val="1"/>
                <c:pt idx="0">
                  <c:v>No. of Orders</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TABLES!$J$43:$J$47</c:f>
              <c:strCache>
                <c:ptCount val="4"/>
                <c:pt idx="0">
                  <c:v>Spring</c:v>
                </c:pt>
                <c:pt idx="1">
                  <c:v>Summer</c:v>
                </c:pt>
                <c:pt idx="2">
                  <c:v>Fall</c:v>
                </c:pt>
                <c:pt idx="3">
                  <c:v>Winter</c:v>
                </c:pt>
              </c:strCache>
            </c:strRef>
          </c:cat>
          <c:val>
            <c:numRef>
              <c:f>TABLES!$K$43:$K$47</c:f>
              <c:numCache>
                <c:formatCode>0</c:formatCode>
                <c:ptCount val="4"/>
                <c:pt idx="0">
                  <c:v>535</c:v>
                </c:pt>
                <c:pt idx="1">
                  <c:v>575</c:v>
                </c:pt>
                <c:pt idx="2">
                  <c:v>544</c:v>
                </c:pt>
                <c:pt idx="3">
                  <c:v>522</c:v>
                </c:pt>
              </c:numCache>
            </c:numRef>
          </c:val>
          <c:extLst>
            <c:ext xmlns:c16="http://schemas.microsoft.com/office/drawing/2014/chart" uri="{C3380CC4-5D6E-409C-BE32-E72D297353CC}">
              <c16:uniqueId val="{00000000-E192-4478-82F9-58F74902ACBF}"/>
            </c:ext>
          </c:extLst>
        </c:ser>
        <c:ser>
          <c:idx val="1"/>
          <c:order val="1"/>
          <c:tx>
            <c:strRef>
              <c:f>TABLES!$L$42</c:f>
              <c:strCache>
                <c:ptCount val="1"/>
                <c:pt idx="0">
                  <c:v>No. of Return Orders</c:v>
                </c:pt>
              </c:strCache>
            </c:strRef>
          </c:tx>
          <c:spPr>
            <a:solidFill>
              <a:schemeClr val="accent2"/>
            </a:solidFill>
            <a:ln>
              <a:noFill/>
            </a:ln>
            <a:effectLst/>
          </c:spPr>
          <c:cat>
            <c:strRef>
              <c:f>TABLES!$J$43:$J$47</c:f>
              <c:strCache>
                <c:ptCount val="4"/>
                <c:pt idx="0">
                  <c:v>Spring</c:v>
                </c:pt>
                <c:pt idx="1">
                  <c:v>Summer</c:v>
                </c:pt>
                <c:pt idx="2">
                  <c:v>Fall</c:v>
                </c:pt>
                <c:pt idx="3">
                  <c:v>Winter</c:v>
                </c:pt>
              </c:strCache>
            </c:strRef>
          </c:cat>
          <c:val>
            <c:numRef>
              <c:f>TABLES!$L$43:$L$47</c:f>
              <c:numCache>
                <c:formatCode>0</c:formatCode>
                <c:ptCount val="4"/>
                <c:pt idx="0">
                  <c:v>145</c:v>
                </c:pt>
                <c:pt idx="1">
                  <c:v>169</c:v>
                </c:pt>
                <c:pt idx="2">
                  <c:v>166</c:v>
                </c:pt>
                <c:pt idx="3">
                  <c:v>145</c:v>
                </c:pt>
              </c:numCache>
            </c:numRef>
          </c:val>
          <c:extLst>
            <c:ext xmlns:c16="http://schemas.microsoft.com/office/drawing/2014/chart" uri="{C3380CC4-5D6E-409C-BE32-E72D297353CC}">
              <c16:uniqueId val="{00000001-E192-4478-82F9-58F74902ACBF}"/>
            </c:ext>
          </c:extLst>
        </c:ser>
        <c:dLbls>
          <c:showLegendKey val="0"/>
          <c:showVal val="0"/>
          <c:showCatName val="0"/>
          <c:showSerName val="0"/>
          <c:showPercent val="0"/>
          <c:showBubbleSize val="0"/>
        </c:dLbls>
        <c:axId val="532061951"/>
        <c:axId val="532065791"/>
      </c:areaChart>
      <c:catAx>
        <c:axId val="53206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32065791"/>
        <c:crosses val="autoZero"/>
        <c:auto val="1"/>
        <c:lblAlgn val="ctr"/>
        <c:lblOffset val="100"/>
        <c:noMultiLvlLbl val="0"/>
      </c:catAx>
      <c:valAx>
        <c:axId val="532065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32061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[final.xlsx]TABLES!PivotTable24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Brand</a:t>
            </a:r>
            <a:r>
              <a:rPr lang="en-IN" baseline="0"/>
              <a:t> incur</a:t>
            </a:r>
            <a:r>
              <a:rPr lang="en-IN"/>
              <a:t> Overhead</a:t>
            </a:r>
            <a:r>
              <a:rPr lang="en-IN" baseline="0"/>
              <a:t> Cost on Return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TABLES!$K$20</c:f>
              <c:strCache>
                <c:ptCount val="1"/>
                <c:pt idx="0">
                  <c:v>Return Shipping Cost</c:v>
                </c:pt>
              </c:strCache>
            </c:strRef>
          </c:tx>
          <c:spPr>
            <a:solidFill>
              <a:schemeClr val="accent1"/>
            </a:solidFill>
            <a:ln>
              <a:noFill/>
            </a:ln>
            <a:effectLst/>
          </c:spPr>
          <c:invertIfNegative val="0"/>
          <c:cat>
            <c:strRef>
              <c:f>TABLES!$J$21:$J$29</c:f>
              <c:strCache>
                <c:ptCount val="8"/>
                <c:pt idx="0">
                  <c:v>Ann Taylor</c:v>
                </c:pt>
                <c:pt idx="1">
                  <c:v>Banana Republic</c:v>
                </c:pt>
                <c:pt idx="2">
                  <c:v>Forever21</c:v>
                </c:pt>
                <c:pt idx="3">
                  <c:v>Gap</c:v>
                </c:pt>
                <c:pt idx="4">
                  <c:v>H&amp;M</c:v>
                </c:pt>
                <c:pt idx="5">
                  <c:v>Mango</c:v>
                </c:pt>
                <c:pt idx="6">
                  <c:v>Uniqlo</c:v>
                </c:pt>
                <c:pt idx="7">
                  <c:v>Zara</c:v>
                </c:pt>
              </c:strCache>
            </c:strRef>
          </c:cat>
          <c:val>
            <c:numRef>
              <c:f>TABLES!$K$21:$K$29</c:f>
              <c:numCache>
                <c:formatCode>_("₹"* #,##0.00_);_("₹"* \(#,##0.00\);_("₹"* "-"??_);_(@_)</c:formatCode>
                <c:ptCount val="8"/>
                <c:pt idx="0">
                  <c:v>9600</c:v>
                </c:pt>
                <c:pt idx="1">
                  <c:v>11700</c:v>
                </c:pt>
                <c:pt idx="2">
                  <c:v>12150</c:v>
                </c:pt>
                <c:pt idx="3">
                  <c:v>11700</c:v>
                </c:pt>
                <c:pt idx="4">
                  <c:v>11100</c:v>
                </c:pt>
                <c:pt idx="5">
                  <c:v>11700</c:v>
                </c:pt>
                <c:pt idx="6">
                  <c:v>12600</c:v>
                </c:pt>
                <c:pt idx="7">
                  <c:v>13650</c:v>
                </c:pt>
              </c:numCache>
            </c:numRef>
          </c:val>
          <c:extLst>
            <c:ext xmlns:c16="http://schemas.microsoft.com/office/drawing/2014/chart" uri="{C3380CC4-5D6E-409C-BE32-E72D297353CC}">
              <c16:uniqueId val="{00000000-9DAD-49BD-A02F-E315F88BD889}"/>
            </c:ext>
          </c:extLst>
        </c:ser>
        <c:ser>
          <c:idx val="1"/>
          <c:order val="1"/>
          <c:tx>
            <c:strRef>
              <c:f>TABLES!$L$20</c:f>
              <c:strCache>
                <c:ptCount val="1"/>
                <c:pt idx="0">
                  <c:v>Restocking Fees</c:v>
                </c:pt>
              </c:strCache>
            </c:strRef>
          </c:tx>
          <c:spPr>
            <a:solidFill>
              <a:schemeClr val="accent2"/>
            </a:solidFill>
            <a:ln>
              <a:noFill/>
            </a:ln>
            <a:effectLst/>
          </c:spPr>
          <c:invertIfNegative val="0"/>
          <c:cat>
            <c:strRef>
              <c:f>TABLES!$J$21:$J$29</c:f>
              <c:strCache>
                <c:ptCount val="8"/>
                <c:pt idx="0">
                  <c:v>Ann Taylor</c:v>
                </c:pt>
                <c:pt idx="1">
                  <c:v>Banana Republic</c:v>
                </c:pt>
                <c:pt idx="2">
                  <c:v>Forever21</c:v>
                </c:pt>
                <c:pt idx="3">
                  <c:v>Gap</c:v>
                </c:pt>
                <c:pt idx="4">
                  <c:v>H&amp;M</c:v>
                </c:pt>
                <c:pt idx="5">
                  <c:v>Mango</c:v>
                </c:pt>
                <c:pt idx="6">
                  <c:v>Uniqlo</c:v>
                </c:pt>
                <c:pt idx="7">
                  <c:v>Zara</c:v>
                </c:pt>
              </c:strCache>
            </c:strRef>
          </c:cat>
          <c:val>
            <c:numRef>
              <c:f>TABLES!$L$21:$L$29</c:f>
              <c:numCache>
                <c:formatCode>_("₹"* #,##0.00_);_("₹"* \(#,##0.00\);_("₹"* "-"??_);_(@_)</c:formatCode>
                <c:ptCount val="8"/>
                <c:pt idx="0">
                  <c:v>13434.064199999999</c:v>
                </c:pt>
                <c:pt idx="1">
                  <c:v>16276.864599999995</c:v>
                </c:pt>
                <c:pt idx="2">
                  <c:v>15592.117500000004</c:v>
                </c:pt>
                <c:pt idx="3">
                  <c:v>15486.720799999999</c:v>
                </c:pt>
                <c:pt idx="4">
                  <c:v>15654.252699999997</c:v>
                </c:pt>
                <c:pt idx="5">
                  <c:v>16248.462800000005</c:v>
                </c:pt>
                <c:pt idx="6">
                  <c:v>17038.822400000005</c:v>
                </c:pt>
                <c:pt idx="7">
                  <c:v>19545.011000000006</c:v>
                </c:pt>
              </c:numCache>
            </c:numRef>
          </c:val>
          <c:extLst>
            <c:ext xmlns:c16="http://schemas.microsoft.com/office/drawing/2014/chart" uri="{C3380CC4-5D6E-409C-BE32-E72D297353CC}">
              <c16:uniqueId val="{00000001-9DAD-49BD-A02F-E315F88BD889}"/>
            </c:ext>
          </c:extLst>
        </c:ser>
        <c:dLbls>
          <c:showLegendKey val="0"/>
          <c:showVal val="0"/>
          <c:showCatName val="0"/>
          <c:showSerName val="0"/>
          <c:showPercent val="0"/>
          <c:showBubbleSize val="0"/>
        </c:dLbls>
        <c:gapWidth val="150"/>
        <c:overlap val="100"/>
        <c:axId val="532092191"/>
        <c:axId val="532095551"/>
      </c:barChart>
      <c:catAx>
        <c:axId val="53209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095551"/>
        <c:crosses val="autoZero"/>
        <c:auto val="1"/>
        <c:lblAlgn val="ctr"/>
        <c:lblOffset val="100"/>
        <c:noMultiLvlLbl val="0"/>
      </c:catAx>
      <c:valAx>
        <c:axId val="53209555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32092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[final.xlsx]TABLES!PivotTable1</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Calibri (Body)"/>
                <a:ea typeface="+mn-ea"/>
                <a:cs typeface="+mn-cs"/>
              </a:defRPr>
            </a:pPr>
            <a:r>
              <a:rPr lang="en-US">
                <a:latin typeface="Calibri (Body)"/>
              </a:rPr>
              <a:t>Top Returned Sizes</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scene3d>
            <a:camera prst="orthographicFront"/>
            <a:lightRig rig="threePt" dir="t"/>
          </a:scene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threePt" dir="t"/>
          </a:scene3d>
        </c:spPr>
      </c:pivotFmt>
      <c:pivotFmt>
        <c:idx val="11"/>
        <c:spPr>
          <a:solidFill>
            <a:schemeClr val="accent2"/>
          </a:solidFill>
          <a:ln>
            <a:noFill/>
          </a:ln>
          <a:effectLst/>
          <a:scene3d>
            <a:camera prst="orthographicFront"/>
            <a:lightRig rig="threePt" dir="t"/>
          </a:scene3d>
        </c:spPr>
      </c:pivotFmt>
      <c:pivotFmt>
        <c:idx val="12"/>
        <c:spPr>
          <a:solidFill>
            <a:schemeClr val="accent3"/>
          </a:solidFill>
          <a:ln>
            <a:noFill/>
          </a:ln>
          <a:effectLst/>
          <a:scene3d>
            <a:camera prst="orthographicFront"/>
            <a:lightRig rig="threePt" dir="t"/>
          </a:scene3d>
        </c:spPr>
      </c:pivotFmt>
      <c:pivotFmt>
        <c:idx val="13"/>
        <c:spPr>
          <a:solidFill>
            <a:schemeClr val="accent4"/>
          </a:solidFill>
          <a:ln>
            <a:noFill/>
          </a:ln>
          <a:effectLst/>
          <a:scene3d>
            <a:camera prst="orthographicFront"/>
            <a:lightRig rig="threePt" dir="t"/>
          </a:scene3d>
        </c:spPr>
      </c:pivotFmt>
      <c:pivotFmt>
        <c:idx val="14"/>
        <c:spPr>
          <a:solidFill>
            <a:schemeClr val="accent5"/>
          </a:solidFill>
          <a:ln>
            <a:noFill/>
          </a:ln>
          <a:effectLst/>
          <a:scene3d>
            <a:camera prst="orthographicFront"/>
            <a:lightRig rig="threePt" dir="t"/>
          </a:scene3d>
        </c:spPr>
      </c:pivotFmt>
      <c:pivotFmt>
        <c:idx val="15"/>
        <c:spPr>
          <a:solidFill>
            <a:schemeClr val="accent6"/>
          </a:solidFill>
          <a:ln>
            <a:noFill/>
          </a:ln>
          <a:effectLst/>
          <a:scene3d>
            <a:camera prst="orthographicFront"/>
            <a:lightRig rig="threePt" dir="t"/>
          </a:scene3d>
        </c:spPr>
      </c:pivotFmt>
      <c:pivotFmt>
        <c:idx val="16"/>
        <c:spPr>
          <a:solidFill>
            <a:schemeClr val="accent1">
              <a:lumMod val="60000"/>
            </a:schemeClr>
          </a:solidFill>
          <a:ln>
            <a:noFill/>
          </a:ln>
          <a:effectLst/>
          <a:scene3d>
            <a:camera prst="orthographicFront"/>
            <a:lightRig rig="threePt" dir="t"/>
          </a:scene3d>
        </c:spPr>
      </c:pivotFmt>
    </c:pivotFmts>
    <c:plotArea>
      <c:layout/>
      <c:doughnutChart>
        <c:varyColors val="1"/>
        <c:ser>
          <c:idx val="0"/>
          <c:order val="0"/>
          <c:tx>
            <c:strRef>
              <c:f>TABLES!$B$66</c:f>
              <c:strCache>
                <c:ptCount val="1"/>
                <c:pt idx="0">
                  <c:v>Total</c:v>
                </c:pt>
              </c:strCache>
            </c:strRef>
          </c:tx>
          <c:spPr>
            <a:scene3d>
              <a:camera prst="orthographicFront"/>
              <a:lightRig rig="threePt" dir="t"/>
            </a:scene3d>
          </c:spPr>
          <c:dPt>
            <c:idx val="0"/>
            <c:bubble3D val="0"/>
            <c:spPr>
              <a:solidFill>
                <a:schemeClr val="accent1"/>
              </a:solidFill>
              <a:ln>
                <a:noFill/>
              </a:ln>
              <a:effectLst/>
              <a:scene3d>
                <a:camera prst="orthographicFront"/>
                <a:lightRig rig="threePt" dir="t"/>
              </a:scene3d>
            </c:spPr>
            <c:extLst>
              <c:ext xmlns:c16="http://schemas.microsoft.com/office/drawing/2014/chart" uri="{C3380CC4-5D6E-409C-BE32-E72D297353CC}">
                <c16:uniqueId val="{00000001-56EA-4640-978E-1C78C103D09A}"/>
              </c:ext>
            </c:extLst>
          </c:dPt>
          <c:dPt>
            <c:idx val="1"/>
            <c:bubble3D val="0"/>
            <c:spPr>
              <a:solidFill>
                <a:schemeClr val="accent2"/>
              </a:solidFill>
              <a:ln>
                <a:noFill/>
              </a:ln>
              <a:effectLst/>
              <a:scene3d>
                <a:camera prst="orthographicFront"/>
                <a:lightRig rig="threePt" dir="t"/>
              </a:scene3d>
            </c:spPr>
            <c:extLst>
              <c:ext xmlns:c16="http://schemas.microsoft.com/office/drawing/2014/chart" uri="{C3380CC4-5D6E-409C-BE32-E72D297353CC}">
                <c16:uniqueId val="{00000003-56EA-4640-978E-1C78C103D09A}"/>
              </c:ext>
            </c:extLst>
          </c:dPt>
          <c:dPt>
            <c:idx val="2"/>
            <c:bubble3D val="0"/>
            <c:spPr>
              <a:solidFill>
                <a:schemeClr val="accent3"/>
              </a:solidFill>
              <a:ln>
                <a:noFill/>
              </a:ln>
              <a:effectLst/>
              <a:scene3d>
                <a:camera prst="orthographicFront"/>
                <a:lightRig rig="threePt" dir="t"/>
              </a:scene3d>
            </c:spPr>
            <c:extLst>
              <c:ext xmlns:c16="http://schemas.microsoft.com/office/drawing/2014/chart" uri="{C3380CC4-5D6E-409C-BE32-E72D297353CC}">
                <c16:uniqueId val="{00000005-56EA-4640-978E-1C78C103D09A}"/>
              </c:ext>
            </c:extLst>
          </c:dPt>
          <c:dPt>
            <c:idx val="3"/>
            <c:bubble3D val="0"/>
            <c:spPr>
              <a:solidFill>
                <a:schemeClr val="accent4"/>
              </a:solidFill>
              <a:ln>
                <a:noFill/>
              </a:ln>
              <a:effectLst/>
              <a:scene3d>
                <a:camera prst="orthographicFront"/>
                <a:lightRig rig="threePt" dir="t"/>
              </a:scene3d>
            </c:spPr>
            <c:extLst>
              <c:ext xmlns:c16="http://schemas.microsoft.com/office/drawing/2014/chart" uri="{C3380CC4-5D6E-409C-BE32-E72D297353CC}">
                <c16:uniqueId val="{00000007-56EA-4640-978E-1C78C103D09A}"/>
              </c:ext>
            </c:extLst>
          </c:dPt>
          <c:dPt>
            <c:idx val="4"/>
            <c:bubble3D val="0"/>
            <c:spPr>
              <a:solidFill>
                <a:schemeClr val="accent5"/>
              </a:solidFill>
              <a:ln>
                <a:noFill/>
              </a:ln>
              <a:effectLst/>
              <a:scene3d>
                <a:camera prst="orthographicFront"/>
                <a:lightRig rig="threePt" dir="t"/>
              </a:scene3d>
            </c:spPr>
            <c:extLst>
              <c:ext xmlns:c16="http://schemas.microsoft.com/office/drawing/2014/chart" uri="{C3380CC4-5D6E-409C-BE32-E72D297353CC}">
                <c16:uniqueId val="{00000009-56EA-4640-978E-1C78C103D09A}"/>
              </c:ext>
            </c:extLst>
          </c:dPt>
          <c:dPt>
            <c:idx val="5"/>
            <c:bubble3D val="0"/>
            <c:spPr>
              <a:solidFill>
                <a:schemeClr val="accent6"/>
              </a:solidFill>
              <a:ln>
                <a:noFill/>
              </a:ln>
              <a:effectLst/>
              <a:scene3d>
                <a:camera prst="orthographicFront"/>
                <a:lightRig rig="threePt" dir="t"/>
              </a:scene3d>
            </c:spPr>
            <c:extLst>
              <c:ext xmlns:c16="http://schemas.microsoft.com/office/drawing/2014/chart" uri="{C3380CC4-5D6E-409C-BE32-E72D297353CC}">
                <c16:uniqueId val="{0000000B-56EA-4640-978E-1C78C103D09A}"/>
              </c:ext>
            </c:extLst>
          </c:dPt>
          <c:dPt>
            <c:idx val="6"/>
            <c:bubble3D val="0"/>
            <c:spPr>
              <a:solidFill>
                <a:schemeClr val="accent1">
                  <a:lumMod val="60000"/>
                </a:schemeClr>
              </a:solidFill>
              <a:ln>
                <a:noFill/>
              </a:ln>
              <a:effectLst/>
              <a:scene3d>
                <a:camera prst="orthographicFront"/>
                <a:lightRig rig="threePt" dir="t"/>
              </a:scene3d>
            </c:spPr>
            <c:extLst>
              <c:ext xmlns:c16="http://schemas.microsoft.com/office/drawing/2014/chart" uri="{C3380CC4-5D6E-409C-BE32-E72D297353CC}">
                <c16:uniqueId val="{0000000D-56EA-4640-978E-1C78C103D09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TABLES!$A$67:$A$74</c:f>
              <c:strCache>
                <c:ptCount val="7"/>
                <c:pt idx="0">
                  <c:v>L</c:v>
                </c:pt>
                <c:pt idx="1">
                  <c:v>M</c:v>
                </c:pt>
                <c:pt idx="2">
                  <c:v>S</c:v>
                </c:pt>
                <c:pt idx="3">
                  <c:v>XL</c:v>
                </c:pt>
                <c:pt idx="4">
                  <c:v>XS</c:v>
                </c:pt>
                <c:pt idx="5">
                  <c:v>XXL</c:v>
                </c:pt>
                <c:pt idx="6">
                  <c:v>N/A</c:v>
                </c:pt>
              </c:strCache>
            </c:strRef>
          </c:cat>
          <c:val>
            <c:numRef>
              <c:f>TABLES!$B$67:$B$74</c:f>
              <c:numCache>
                <c:formatCode>0</c:formatCode>
                <c:ptCount val="7"/>
                <c:pt idx="0">
                  <c:v>94</c:v>
                </c:pt>
                <c:pt idx="1">
                  <c:v>71</c:v>
                </c:pt>
                <c:pt idx="2">
                  <c:v>79</c:v>
                </c:pt>
                <c:pt idx="3">
                  <c:v>67</c:v>
                </c:pt>
                <c:pt idx="4">
                  <c:v>90</c:v>
                </c:pt>
                <c:pt idx="5">
                  <c:v>77</c:v>
                </c:pt>
                <c:pt idx="6">
                  <c:v>147</c:v>
                </c:pt>
              </c:numCache>
            </c:numRef>
          </c:val>
          <c:extLst>
            <c:ext xmlns:c16="http://schemas.microsoft.com/office/drawing/2014/chart" uri="{C3380CC4-5D6E-409C-BE32-E72D297353CC}">
              <c16:uniqueId val="{0000000E-56EA-4640-978E-1C78C103D09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data id="2">
      <cx:strDim type="cat">
        <cx:f>_xlchart.v1.0</cx:f>
      </cx:strDim>
      <cx:numDim type="size">
        <cx:f>_xlchart.v1.6</cx:f>
      </cx:numDim>
    </cx:data>
    <cx:data id="3">
      <cx:strDim type="cat">
        <cx:f>_xlchart.v1.0</cx:f>
      </cx:strDim>
      <cx:numDim type="size">
        <cx:f>_xlchart.v1.8</cx:f>
      </cx:numDim>
    </cx:data>
    <cx:data id="4">
      <cx:strDim type="cat">
        <cx:f>_xlchart.v1.0</cx:f>
      </cx:strDim>
      <cx:numDim type="size">
        <cx:f>_xlchart.v1.10</cx:f>
      </cx:numDim>
    </cx:data>
    <cx:data id="5">
      <cx:strDim type="cat">
        <cx:f>_xlchart.v1.0</cx:f>
      </cx:strDim>
      <cx:numDim type="size">
        <cx:f>_xlchart.v1.12</cx:f>
      </cx:numDim>
    </cx:data>
  </cx:chartData>
  <cx:chart>
    <cx:title pos="t" align="ctr" overlay="0">
      <cx:tx>
        <cx:txData>
          <cx:v>Brandwise Outerwear Category Performance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Brandwise Outerwear Category Performance</a:t>
          </a:r>
        </a:p>
      </cx:txPr>
    </cx:title>
    <cx:plotArea>
      <cx:plotAreaRegion>
        <cx:series layoutId="treemap" uniqueId="{1B4F5863-EB10-4386-83C1-F21E015591B3}" formatIdx="0">
          <cx:tx>
            <cx:txData>
              <cx:f>_xlchart.v1.1</cx:f>
              <cx:v>Category Outerwear</cx:v>
            </cx:txData>
          </cx:tx>
          <cx:dataLabels pos="inEnd">
            <cx:numFmt formatCode="_ ₹ * #,##0.00_ ;_ ₹ * -#,##0.00_ ;_ ₹ * &quot;-&quot;??_ ;_ @_ " sourceLinked="0"/>
            <cx:txPr>
              <a:bodyPr spcFirstLastPara="1" vertOverflow="ellipsis" horzOverflow="overflow" wrap="square" lIns="0" tIns="0" rIns="0" bIns="0" anchor="ctr" anchorCtr="1"/>
              <a:lstStyle/>
              <a:p>
                <a:pPr algn="ctr" rtl="0">
                  <a:defRPr sz="1000"/>
                </a:pPr>
                <a:endParaRPr lang="en-US" sz="1000" b="0" i="0" u="none" strike="noStrike" baseline="0">
                  <a:solidFill>
                    <a:sysClr val="window" lastClr="FFFFFF"/>
                  </a:solidFill>
                  <a:latin typeface="Calibri" panose="020F0502020204030204"/>
                </a:endParaRPr>
              </a:p>
            </cx:txPr>
            <cx:visibility seriesName="1" categoryName="0" value="1"/>
            <cx:separator>, </cx:separator>
          </cx:dataLabels>
          <cx:dataId val="0"/>
          <cx:layoutPr>
            <cx:parentLabelLayout val="overlapping"/>
          </cx:layoutPr>
        </cx:series>
        <cx:series layoutId="treemap" hidden="1" uniqueId="{3DAA9EE7-8997-436C-99B4-888BD6E2FCD2}" formatIdx="1">
          <cx:tx>
            <cx:txData>
              <cx:f>_xlchart.v1.3</cx:f>
              <cx:v>Shoes</cx:v>
            </cx:txData>
          </cx:tx>
          <cx:dataLabels pos="inEnd">
            <cx:visibility seriesName="0" categoryName="1" value="0"/>
          </cx:dataLabels>
          <cx:dataId val="1"/>
          <cx:layoutPr>
            <cx:parentLabelLayout val="overlapping"/>
          </cx:layoutPr>
        </cx:series>
        <cx:series layoutId="treemap" hidden="1" uniqueId="{695C755E-CE7D-4976-88AE-B14BF2D45E7E}" formatIdx="2">
          <cx:tx>
            <cx:txData>
              <cx:f>_xlchart.v1.5</cx:f>
              <cx:v>Bottoms</cx:v>
            </cx:txData>
          </cx:tx>
          <cx:dataLabels pos="inEnd">
            <cx:visibility seriesName="0" categoryName="1" value="0"/>
          </cx:dataLabels>
          <cx:dataId val="2"/>
          <cx:layoutPr>
            <cx:parentLabelLayout val="overlapping"/>
          </cx:layoutPr>
        </cx:series>
        <cx:series layoutId="treemap" hidden="1" uniqueId="{B79DFA07-DD3B-4539-B6A1-AAFCE21208A0}" formatIdx="3">
          <cx:tx>
            <cx:txData>
              <cx:f>_xlchart.v1.7</cx:f>
              <cx:v>Dresses</cx:v>
            </cx:txData>
          </cx:tx>
          <cx:dataLabels pos="inEnd">
            <cx:visibility seriesName="0" categoryName="1" value="0"/>
          </cx:dataLabels>
          <cx:dataId val="3"/>
          <cx:layoutPr>
            <cx:parentLabelLayout val="overlapping"/>
          </cx:layoutPr>
        </cx:series>
        <cx:series layoutId="treemap" hidden="1" uniqueId="{3F5F91D2-B327-423D-865A-A62D002291A8}" formatIdx="4">
          <cx:tx>
            <cx:txData>
              <cx:f>_xlchart.v1.9</cx:f>
              <cx:v>Tops</cx:v>
            </cx:txData>
          </cx:tx>
          <cx:dataLabels pos="inEnd">
            <cx:visibility seriesName="0" categoryName="1" value="0"/>
          </cx:dataLabels>
          <cx:dataId val="4"/>
          <cx:layoutPr>
            <cx:parentLabelLayout val="overlapping"/>
          </cx:layoutPr>
        </cx:series>
        <cx:series layoutId="treemap" hidden="1" uniqueId="{90FF0684-FFC0-46A9-94E9-6C63437BAAD6}" formatIdx="5">
          <cx:tx>
            <cx:txData>
              <cx:f>_xlchart.v1.11</cx:f>
              <cx:v>Accessories</cx:v>
            </cx:txData>
          </cx:tx>
          <cx:dataLabels pos="inEnd">
            <cx:visibility seriesName="0" categoryName="1" value="0"/>
          </cx:dataLabels>
          <cx:dataId val="5"/>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3" Type="http://schemas.openxmlformats.org/officeDocument/2006/relationships/image" Target="../media/image3.jpeg"/><Relationship Id="rId7" Type="http://schemas.openxmlformats.org/officeDocument/2006/relationships/chart" Target="../charts/chart3.xml"/><Relationship Id="rId12" Type="http://schemas.openxmlformats.org/officeDocument/2006/relationships/hyperlink" Target="https://commons.wikimedia.org/wiki/File:H&amp;M-Logo.svg" TargetMode="Externa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4.png"/><Relationship Id="rId5" Type="http://schemas.openxmlformats.org/officeDocument/2006/relationships/chart" Target="../charts/chart2.xml"/><Relationship Id="rId10" Type="http://schemas.openxmlformats.org/officeDocument/2006/relationships/chart" Target="../charts/chart6.xml"/><Relationship Id="rId4" Type="http://schemas.openxmlformats.org/officeDocument/2006/relationships/chart" Target="../charts/chart1.xml"/><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266900</xdr:colOff>
      <xdr:row>8</xdr:row>
      <xdr:rowOff>71897</xdr:rowOff>
    </xdr:from>
    <xdr:to>
      <xdr:col>33</xdr:col>
      <xdr:colOff>326397</xdr:colOff>
      <xdr:row>15</xdr:row>
      <xdr:rowOff>16933</xdr:rowOff>
    </xdr:to>
    <xdr:sp macro="" textlink="">
      <xdr:nvSpPr>
        <xdr:cNvPr id="39" name="Rectangle: Rounded Corners 38">
          <a:extLst>
            <a:ext uri="{FF2B5EF4-FFF2-40B4-BE49-F238E27FC236}">
              <a16:creationId xmlns:a16="http://schemas.microsoft.com/office/drawing/2014/main" id="{A7099225-2D91-40CE-B271-6FCD35CFD3FA}"/>
            </a:ext>
          </a:extLst>
        </xdr:cNvPr>
        <xdr:cNvSpPr/>
      </xdr:nvSpPr>
      <xdr:spPr>
        <a:xfrm>
          <a:off x="266900" y="1515686"/>
          <a:ext cx="15266076" cy="1208352"/>
        </a:xfrm>
        <a:prstGeom prst="roundRect">
          <a:avLst>
            <a:gd name="adj" fmla="val 18906"/>
          </a:avLst>
        </a:prstGeom>
        <a:solidFill>
          <a:schemeClr val="accent4">
            <a:alpha val="50000"/>
          </a:schemeClr>
        </a:solidFill>
        <a:ln>
          <a:noFill/>
        </a:ln>
        <a:effectLst>
          <a:outerShdw blurRad="190500" dist="228600" dir="2700000" algn="ctr">
            <a:srgbClr val="000000">
              <a:alpha val="30000"/>
            </a:srgbClr>
          </a:outerShdw>
          <a:softEdge rad="12700"/>
        </a:effectLst>
        <a:scene3d>
          <a:camera prst="orthographicFront">
            <a:rot lat="0" lon="0" rev="0"/>
          </a:camera>
          <a:lightRig rig="glow" dir="t">
            <a:rot lat="0" lon="0" rev="4800000"/>
          </a:lightRig>
        </a:scene3d>
        <a:sp3d prstMaterial="matte">
          <a:bevelT w="127000" h="63500"/>
        </a:sp3d>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endParaRPr lang="en-IN" sz="5400"/>
        </a:p>
      </xdr:txBody>
    </xdr:sp>
    <xdr:clientData/>
  </xdr:twoCellAnchor>
  <xdr:twoCellAnchor>
    <xdr:from>
      <xdr:col>0</xdr:col>
      <xdr:colOff>269630</xdr:colOff>
      <xdr:row>0</xdr:row>
      <xdr:rowOff>133351</xdr:rowOff>
    </xdr:from>
    <xdr:to>
      <xdr:col>33</xdr:col>
      <xdr:colOff>328245</xdr:colOff>
      <xdr:row>7</xdr:row>
      <xdr:rowOff>142643</xdr:rowOff>
    </xdr:to>
    <xdr:sp macro="" textlink="">
      <xdr:nvSpPr>
        <xdr:cNvPr id="38" name="Rectangle: Rounded Corners 37">
          <a:extLst>
            <a:ext uri="{FF2B5EF4-FFF2-40B4-BE49-F238E27FC236}">
              <a16:creationId xmlns:a16="http://schemas.microsoft.com/office/drawing/2014/main" id="{CCDFB7F6-5E84-8E7B-815A-3B1C8D9D5CAB}"/>
            </a:ext>
          </a:extLst>
        </xdr:cNvPr>
        <xdr:cNvSpPr/>
      </xdr:nvSpPr>
      <xdr:spPr>
        <a:xfrm>
          <a:off x="269630" y="133351"/>
          <a:ext cx="15298615" cy="1342792"/>
        </a:xfrm>
        <a:prstGeom prst="roundRect">
          <a:avLst>
            <a:gd name="adj" fmla="val 18906"/>
          </a:avLst>
        </a:prstGeom>
        <a:solidFill>
          <a:schemeClr val="accent2">
            <a:lumMod val="75000"/>
          </a:schemeClr>
        </a:solidFill>
        <a:ln>
          <a:noFill/>
        </a:ln>
        <a:effectLst>
          <a:innerShdw blurRad="114300">
            <a:prstClr val="black"/>
          </a:innerShdw>
        </a:effectLst>
        <a:scene3d>
          <a:camera prst="orthographicFront"/>
          <a:lightRig rig="threePt" dir="t"/>
        </a:scene3d>
        <a:sp3d>
          <a:bevelT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r>
            <a:rPr lang="en-IN" sz="4800" b="1" cap="none" spc="0">
              <a:ln/>
              <a:solidFill>
                <a:schemeClr val="bg1"/>
              </a:solidFill>
              <a:effectLst/>
              <a:latin typeface="Franklin Gothic Demi" panose="020B0703020102020204" pitchFamily="34" charset="0"/>
            </a:rPr>
            <a:t>The "Infinite Fitting Room" Analysis</a:t>
          </a:r>
        </a:p>
      </xdr:txBody>
    </xdr:sp>
    <xdr:clientData/>
  </xdr:twoCellAnchor>
  <xdr:twoCellAnchor>
    <xdr:from>
      <xdr:col>2</xdr:col>
      <xdr:colOff>60742</xdr:colOff>
      <xdr:row>8</xdr:row>
      <xdr:rowOff>95591</xdr:rowOff>
    </xdr:from>
    <xdr:to>
      <xdr:col>6</xdr:col>
      <xdr:colOff>459875</xdr:colOff>
      <xdr:row>14</xdr:row>
      <xdr:rowOff>82656</xdr:rowOff>
    </xdr:to>
    <xdr:sp macro="" textlink="">
      <xdr:nvSpPr>
        <xdr:cNvPr id="3" name="Rectangle: Rounded Corners 2">
          <a:extLst>
            <a:ext uri="{FF2B5EF4-FFF2-40B4-BE49-F238E27FC236}">
              <a16:creationId xmlns:a16="http://schemas.microsoft.com/office/drawing/2014/main" id="{3FF7D912-63FB-0510-FA0D-37BBDECFB7AF}"/>
            </a:ext>
          </a:extLst>
        </xdr:cNvPr>
        <xdr:cNvSpPr/>
      </xdr:nvSpPr>
      <xdr:spPr>
        <a:xfrm>
          <a:off x="1275525" y="1597504"/>
          <a:ext cx="2828698" cy="1113500"/>
        </a:xfrm>
        <a:prstGeom prst="roundRect">
          <a:avLst/>
        </a:prstGeom>
        <a:solidFill>
          <a:schemeClr val="accent4">
            <a:lumMod val="75000"/>
          </a:schemeClr>
        </a:solidFill>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600">
              <a:solidFill>
                <a:schemeClr val="bg1"/>
              </a:solidFill>
            </a:rPr>
            <a:t>Most Profitable Brand</a:t>
          </a:r>
          <a:r>
            <a:rPr lang="en-IN" sz="1600" baseline="0">
              <a:solidFill>
                <a:schemeClr val="bg1"/>
              </a:solidFill>
            </a:rPr>
            <a:t> </a:t>
          </a:r>
        </a:p>
        <a:p>
          <a:pPr algn="ctr"/>
          <a:endParaRPr lang="en-IN" sz="2000" baseline="0">
            <a:solidFill>
              <a:schemeClr val="tx1"/>
            </a:solidFill>
          </a:endParaRPr>
        </a:p>
        <a:p>
          <a:pPr algn="ctr"/>
          <a:endParaRPr lang="en-IN" sz="2000">
            <a:solidFill>
              <a:schemeClr val="tx1"/>
            </a:solidFill>
          </a:endParaRPr>
        </a:p>
      </xdr:txBody>
    </xdr:sp>
    <xdr:clientData/>
  </xdr:twoCellAnchor>
  <xdr:twoCellAnchor>
    <xdr:from>
      <xdr:col>7</xdr:col>
      <xdr:colOff>44331</xdr:colOff>
      <xdr:row>8</xdr:row>
      <xdr:rowOff>109000</xdr:rowOff>
    </xdr:from>
    <xdr:to>
      <xdr:col>11</xdr:col>
      <xdr:colOff>443465</xdr:colOff>
      <xdr:row>14</xdr:row>
      <xdr:rowOff>96065</xdr:rowOff>
    </xdr:to>
    <xdr:grpSp>
      <xdr:nvGrpSpPr>
        <xdr:cNvPr id="27" name="Group 26">
          <a:extLst>
            <a:ext uri="{FF2B5EF4-FFF2-40B4-BE49-F238E27FC236}">
              <a16:creationId xmlns:a16="http://schemas.microsoft.com/office/drawing/2014/main" id="{6A325D2A-97E4-6734-CFC3-4A1578A61296}"/>
            </a:ext>
          </a:extLst>
        </xdr:cNvPr>
        <xdr:cNvGrpSpPr/>
      </xdr:nvGrpSpPr>
      <xdr:grpSpPr>
        <a:xfrm>
          <a:off x="4296070" y="1610913"/>
          <a:ext cx="2828699" cy="1113500"/>
          <a:chOff x="9485140" y="1479755"/>
          <a:chExt cx="2099849" cy="1151039"/>
        </a:xfrm>
        <a:solidFill>
          <a:srgbClr val="DD21D0"/>
        </a:solidFill>
      </xdr:grpSpPr>
      <xdr:sp macro="" textlink="">
        <xdr:nvSpPr>
          <xdr:cNvPr id="17" name="Rectangle: Rounded Corners 16">
            <a:extLst>
              <a:ext uri="{FF2B5EF4-FFF2-40B4-BE49-F238E27FC236}">
                <a16:creationId xmlns:a16="http://schemas.microsoft.com/office/drawing/2014/main" id="{3EC8F979-52ED-4359-46BD-F44BF0C40F90}"/>
              </a:ext>
            </a:extLst>
          </xdr:cNvPr>
          <xdr:cNvSpPr/>
        </xdr:nvSpPr>
        <xdr:spPr>
          <a:xfrm>
            <a:off x="9485140" y="1479755"/>
            <a:ext cx="2099849" cy="1151039"/>
          </a:xfrm>
          <a:prstGeom prst="round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ctr"/>
            <a:r>
              <a:rPr lang="en-IN" sz="1700" baseline="0">
                <a:solidFill>
                  <a:schemeClr val="bg1"/>
                </a:solidFill>
              </a:rPr>
              <a:t>Top Performing Category</a:t>
            </a:r>
          </a:p>
          <a:p>
            <a:pPr algn="ctr"/>
            <a:endParaRPr lang="en-IN" sz="2000" baseline="0">
              <a:solidFill>
                <a:schemeClr val="tx1"/>
              </a:solidFill>
            </a:endParaRPr>
          </a:p>
          <a:p>
            <a:pPr algn="ctr"/>
            <a:endParaRPr lang="en-IN" sz="2000">
              <a:solidFill>
                <a:schemeClr val="tx1"/>
              </a:solidFill>
            </a:endParaRPr>
          </a:p>
        </xdr:txBody>
      </xdr:sp>
      <xdr:pic>
        <xdr:nvPicPr>
          <xdr:cNvPr id="26" name="Graphic 25" descr="Suit">
            <a:extLst>
              <a:ext uri="{FF2B5EF4-FFF2-40B4-BE49-F238E27FC236}">
                <a16:creationId xmlns:a16="http://schemas.microsoft.com/office/drawing/2014/main" id="{F4B0C242-7061-8099-3FEB-BB2AC75E6B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151479" y="1790064"/>
            <a:ext cx="794226" cy="794224"/>
          </a:xfrm>
          <a:prstGeom prst="rect">
            <a:avLst/>
          </a:prstGeom>
        </xdr:spPr>
      </xdr:pic>
    </xdr:grpSp>
    <xdr:clientData/>
  </xdr:twoCellAnchor>
  <xdr:twoCellAnchor>
    <xdr:from>
      <xdr:col>12</xdr:col>
      <xdr:colOff>39783</xdr:colOff>
      <xdr:row>8</xdr:row>
      <xdr:rowOff>113283</xdr:rowOff>
    </xdr:from>
    <xdr:to>
      <xdr:col>16</xdr:col>
      <xdr:colOff>438916</xdr:colOff>
      <xdr:row>14</xdr:row>
      <xdr:rowOff>100348</xdr:rowOff>
    </xdr:to>
    <xdr:sp macro="" textlink="">
      <xdr:nvSpPr>
        <xdr:cNvPr id="32" name="Rectangle: Rounded Corners 31">
          <a:extLst>
            <a:ext uri="{FF2B5EF4-FFF2-40B4-BE49-F238E27FC236}">
              <a16:creationId xmlns:a16="http://schemas.microsoft.com/office/drawing/2014/main" id="{6E0E4BE6-9CF9-987A-5C0C-09CD381E2CA6}"/>
            </a:ext>
          </a:extLst>
        </xdr:cNvPr>
        <xdr:cNvSpPr/>
      </xdr:nvSpPr>
      <xdr:spPr>
        <a:xfrm>
          <a:off x="7317661" y="1606181"/>
          <a:ext cx="2825092" cy="1106738"/>
        </a:xfrm>
        <a:prstGeom prst="round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r>
            <a:rPr lang="en-IN" sz="1600">
              <a:solidFill>
                <a:schemeClr val="bg1"/>
              </a:solidFill>
            </a:rPr>
            <a:t>Most Profitable Month</a:t>
          </a:r>
        </a:p>
        <a:p>
          <a:pPr algn="ctr"/>
          <a:r>
            <a:rPr lang="en-IN" sz="1100">
              <a:solidFill>
                <a:schemeClr val="tx1"/>
              </a:solidFill>
              <a:effectLst/>
              <a:latin typeface="+mn-lt"/>
              <a:ea typeface="+mn-ea"/>
              <a:cs typeface="+mn-cs"/>
            </a:rPr>
            <a:t> </a:t>
          </a:r>
        </a:p>
        <a:p>
          <a:pPr algn="ctr"/>
          <a:r>
            <a:rPr lang="en-IN" sz="2800">
              <a:solidFill>
                <a:schemeClr val="bg1"/>
              </a:solidFill>
              <a:effectLst/>
              <a:latin typeface="+mn-lt"/>
              <a:ea typeface="+mn-ea"/>
              <a:cs typeface="+mn-cs"/>
            </a:rPr>
            <a:t>August</a:t>
          </a:r>
        </a:p>
        <a:p>
          <a:pPr algn="ctr"/>
          <a:r>
            <a:rPr lang="en-IN" sz="1100">
              <a:solidFill>
                <a:schemeClr val="tx1"/>
              </a:solidFill>
              <a:effectLst/>
              <a:latin typeface="+mn-lt"/>
              <a:ea typeface="+mn-ea"/>
              <a:cs typeface="+mn-cs"/>
            </a:rPr>
            <a:t> </a:t>
          </a:r>
          <a:endParaRPr lang="en-IN" sz="2000">
            <a:solidFill>
              <a:schemeClr val="tx1"/>
            </a:solidFill>
          </a:endParaRPr>
        </a:p>
      </xdr:txBody>
    </xdr:sp>
    <xdr:clientData/>
  </xdr:twoCellAnchor>
  <xdr:twoCellAnchor>
    <xdr:from>
      <xdr:col>27</xdr:col>
      <xdr:colOff>51146</xdr:colOff>
      <xdr:row>8</xdr:row>
      <xdr:rowOff>92778</xdr:rowOff>
    </xdr:from>
    <xdr:to>
      <xdr:col>31</xdr:col>
      <xdr:colOff>452643</xdr:colOff>
      <xdr:row>14</xdr:row>
      <xdr:rowOff>79777</xdr:rowOff>
    </xdr:to>
    <xdr:sp macro="" textlink="">
      <xdr:nvSpPr>
        <xdr:cNvPr id="35" name="Rectangle: Rounded Corners 34">
          <a:extLst>
            <a:ext uri="{FF2B5EF4-FFF2-40B4-BE49-F238E27FC236}">
              <a16:creationId xmlns:a16="http://schemas.microsoft.com/office/drawing/2014/main" id="{6D091863-FBC3-48CF-805C-833D3B4643F7}"/>
            </a:ext>
          </a:extLst>
        </xdr:cNvPr>
        <xdr:cNvSpPr/>
      </xdr:nvSpPr>
      <xdr:spPr>
        <a:xfrm>
          <a:off x="16426370" y="1585676"/>
          <a:ext cx="2827457" cy="1106672"/>
        </a:xfrm>
        <a:prstGeom prst="roundRect">
          <a:avLst/>
        </a:prstGeom>
        <a:ln/>
      </xdr:spPr>
      <xdr:style>
        <a:lnRef idx="1">
          <a:schemeClr val="accent6"/>
        </a:lnRef>
        <a:fillRef idx="3">
          <a:schemeClr val="accent6"/>
        </a:fillRef>
        <a:effectRef idx="2">
          <a:schemeClr val="accent6"/>
        </a:effectRef>
        <a:fontRef idx="minor">
          <a:schemeClr val="lt1"/>
        </a:fontRef>
      </xdr:style>
      <xdr:txBody>
        <a:bodyPr vertOverflow="clip" horzOverflow="clip" rtlCol="0" anchor="t"/>
        <a:lstStyle/>
        <a:p>
          <a:pPr algn="ctr"/>
          <a:r>
            <a:rPr lang="en-IN" sz="1700" baseline="0">
              <a:solidFill>
                <a:schemeClr val="bg1"/>
              </a:solidFill>
              <a:effectLst/>
              <a:latin typeface="+mn-lt"/>
              <a:ea typeface="+mn-ea"/>
              <a:cs typeface="+mn-cs"/>
            </a:rPr>
            <a:t>Top Driver of Return</a:t>
          </a:r>
        </a:p>
        <a:p>
          <a:pPr algn="ctr"/>
          <a:r>
            <a:rPr lang="en-IN" sz="400">
              <a:solidFill>
                <a:sysClr val="windowText" lastClr="000000"/>
              </a:solidFill>
              <a:effectLst/>
              <a:latin typeface="+mn-lt"/>
              <a:ea typeface="+mn-ea"/>
              <a:cs typeface="+mn-cs"/>
            </a:rPr>
            <a:t> </a:t>
          </a:r>
          <a:br>
            <a:rPr lang="en-IN" sz="2800">
              <a:solidFill>
                <a:sysClr val="windowText" lastClr="000000"/>
              </a:solidFill>
              <a:effectLst/>
              <a:latin typeface="+mn-lt"/>
              <a:ea typeface="+mn-ea"/>
              <a:cs typeface="+mn-cs"/>
            </a:rPr>
          </a:br>
          <a:r>
            <a:rPr lang="en-IN" sz="2800">
              <a:solidFill>
                <a:schemeClr val="bg1"/>
              </a:solidFill>
              <a:effectLst/>
              <a:latin typeface="+mn-lt"/>
              <a:ea typeface="+mn-ea"/>
              <a:cs typeface="+mn-cs"/>
            </a:rPr>
            <a:t>Size</a:t>
          </a:r>
          <a:r>
            <a:rPr lang="en-IN" sz="2800" baseline="0">
              <a:solidFill>
                <a:schemeClr val="bg1"/>
              </a:solidFill>
              <a:effectLst/>
              <a:latin typeface="+mn-lt"/>
              <a:ea typeface="+mn-ea"/>
              <a:cs typeface="+mn-cs"/>
            </a:rPr>
            <a:t> Issue</a:t>
          </a:r>
        </a:p>
      </xdr:txBody>
    </xdr:sp>
    <xdr:clientData/>
  </xdr:twoCellAnchor>
  <xdr:twoCellAnchor>
    <xdr:from>
      <xdr:col>17</xdr:col>
      <xdr:colOff>5876</xdr:colOff>
      <xdr:row>8</xdr:row>
      <xdr:rowOff>106369</xdr:rowOff>
    </xdr:from>
    <xdr:to>
      <xdr:col>21</xdr:col>
      <xdr:colOff>405010</xdr:colOff>
      <xdr:row>14</xdr:row>
      <xdr:rowOff>94645</xdr:rowOff>
    </xdr:to>
    <xdr:sp macro="" textlink="">
      <xdr:nvSpPr>
        <xdr:cNvPr id="2" name="Rectangle: Rounded Corners 1">
          <a:extLst>
            <a:ext uri="{FF2B5EF4-FFF2-40B4-BE49-F238E27FC236}">
              <a16:creationId xmlns:a16="http://schemas.microsoft.com/office/drawing/2014/main" id="{57056338-6094-4652-B1DB-23E07E68891E}"/>
            </a:ext>
          </a:extLst>
        </xdr:cNvPr>
        <xdr:cNvSpPr/>
      </xdr:nvSpPr>
      <xdr:spPr>
        <a:xfrm>
          <a:off x="10316203" y="1599267"/>
          <a:ext cx="2825093" cy="1107949"/>
        </a:xfrm>
        <a:prstGeom prst="round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ctr"/>
          <a:r>
            <a:rPr lang="en-IN" sz="1800" baseline="0">
              <a:solidFill>
                <a:schemeClr val="bg1"/>
              </a:solidFill>
              <a:effectLst/>
              <a:latin typeface="+mn-lt"/>
              <a:ea typeface="+mn-ea"/>
              <a:cs typeface="+mn-cs"/>
            </a:rPr>
            <a:t>Product Returns Rate %</a:t>
          </a:r>
          <a:r>
            <a:rPr lang="en-IN" sz="700">
              <a:solidFill>
                <a:schemeClr val="bg1"/>
              </a:solidFill>
              <a:effectLst/>
              <a:latin typeface="+mn-lt"/>
              <a:ea typeface="+mn-ea"/>
              <a:cs typeface="+mn-cs"/>
            </a:rPr>
            <a:t> </a:t>
          </a:r>
          <a:br>
            <a:rPr lang="en-IN" sz="2800">
              <a:solidFill>
                <a:sysClr val="windowText" lastClr="000000"/>
              </a:solidFill>
              <a:effectLst/>
              <a:latin typeface="+mn-lt"/>
              <a:ea typeface="+mn-ea"/>
              <a:cs typeface="+mn-cs"/>
            </a:rPr>
          </a:br>
          <a:r>
            <a:rPr lang="en-IN" sz="3200">
              <a:solidFill>
                <a:schemeClr val="bg1"/>
              </a:solidFill>
              <a:effectLst/>
              <a:latin typeface="+mn-lt"/>
              <a:ea typeface="+mn-ea"/>
              <a:cs typeface="+mn-cs"/>
            </a:rPr>
            <a:t>28.9%</a:t>
          </a:r>
          <a:endParaRPr lang="en-IN" sz="2800">
            <a:solidFill>
              <a:schemeClr val="bg1"/>
            </a:solidFill>
            <a:effectLst/>
            <a:latin typeface="+mn-lt"/>
            <a:ea typeface="+mn-ea"/>
            <a:cs typeface="+mn-cs"/>
          </a:endParaRPr>
        </a:p>
      </xdr:txBody>
    </xdr:sp>
    <xdr:clientData/>
  </xdr:twoCellAnchor>
  <xdr:twoCellAnchor>
    <xdr:from>
      <xdr:col>22</xdr:col>
      <xdr:colOff>30436</xdr:colOff>
      <xdr:row>8</xdr:row>
      <xdr:rowOff>105096</xdr:rowOff>
    </xdr:from>
    <xdr:to>
      <xdr:col>26</xdr:col>
      <xdr:colOff>429569</xdr:colOff>
      <xdr:row>14</xdr:row>
      <xdr:rowOff>92095</xdr:rowOff>
    </xdr:to>
    <xdr:sp macro="" textlink="">
      <xdr:nvSpPr>
        <xdr:cNvPr id="7" name="Rectangle: Rounded Corners 6">
          <a:extLst>
            <a:ext uri="{FF2B5EF4-FFF2-40B4-BE49-F238E27FC236}">
              <a16:creationId xmlns:a16="http://schemas.microsoft.com/office/drawing/2014/main" id="{623BC988-8388-4C46-BC87-BC5C4049A033}"/>
            </a:ext>
          </a:extLst>
        </xdr:cNvPr>
        <xdr:cNvSpPr/>
      </xdr:nvSpPr>
      <xdr:spPr>
        <a:xfrm>
          <a:off x="13373212" y="1597994"/>
          <a:ext cx="2825092" cy="1106672"/>
        </a:xfrm>
        <a:prstGeom prst="round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IN" sz="1700" baseline="0">
              <a:solidFill>
                <a:schemeClr val="bg1"/>
              </a:solidFill>
              <a:effectLst/>
              <a:latin typeface="+mn-lt"/>
              <a:ea typeface="+mn-ea"/>
              <a:cs typeface="+mn-cs"/>
            </a:rPr>
            <a:t>Margin Lost</a:t>
          </a:r>
          <a:br>
            <a:rPr lang="en-IN" sz="2800">
              <a:solidFill>
                <a:sysClr val="windowText" lastClr="000000"/>
              </a:solidFill>
              <a:effectLst/>
              <a:latin typeface="+mn-lt"/>
              <a:ea typeface="+mn-ea"/>
              <a:cs typeface="+mn-cs"/>
            </a:rPr>
          </a:br>
          <a:r>
            <a:rPr lang="en-IN" sz="3600">
              <a:solidFill>
                <a:schemeClr val="bg1"/>
              </a:solidFill>
              <a:effectLst/>
              <a:latin typeface="+mn-lt"/>
              <a:ea typeface="+mn-ea"/>
              <a:cs typeface="+mn-cs"/>
            </a:rPr>
            <a:t>60-70%</a:t>
          </a:r>
          <a:endParaRPr lang="en-IN" sz="2800">
            <a:solidFill>
              <a:schemeClr val="bg1"/>
            </a:solidFill>
            <a:effectLst/>
            <a:latin typeface="+mn-lt"/>
            <a:ea typeface="+mn-ea"/>
            <a:cs typeface="+mn-cs"/>
          </a:endParaRPr>
        </a:p>
      </xdr:txBody>
    </xdr:sp>
    <xdr:clientData/>
  </xdr:twoCellAnchor>
  <xdr:twoCellAnchor>
    <xdr:from>
      <xdr:col>0</xdr:col>
      <xdr:colOff>267730</xdr:colOff>
      <xdr:row>15</xdr:row>
      <xdr:rowOff>164756</xdr:rowOff>
    </xdr:from>
    <xdr:to>
      <xdr:col>33</xdr:col>
      <xdr:colOff>326345</xdr:colOff>
      <xdr:row>69</xdr:row>
      <xdr:rowOff>27214</xdr:rowOff>
    </xdr:to>
    <xdr:sp macro="" textlink="">
      <xdr:nvSpPr>
        <xdr:cNvPr id="25" name="Rectangle: Rounded Corners 24">
          <a:extLst>
            <a:ext uri="{FF2B5EF4-FFF2-40B4-BE49-F238E27FC236}">
              <a16:creationId xmlns:a16="http://schemas.microsoft.com/office/drawing/2014/main" id="{8CF9CF9A-AC32-4DA7-8720-FCA816680EEC}"/>
            </a:ext>
          </a:extLst>
        </xdr:cNvPr>
        <xdr:cNvSpPr/>
      </xdr:nvSpPr>
      <xdr:spPr>
        <a:xfrm>
          <a:off x="267730" y="2980843"/>
          <a:ext cx="20102528" cy="10000371"/>
        </a:xfrm>
        <a:prstGeom prst="roundRect">
          <a:avLst>
            <a:gd name="adj" fmla="val 6985"/>
          </a:avLst>
        </a:prstGeom>
        <a:blipFill>
          <a:blip xmlns:r="http://schemas.openxmlformats.org/officeDocument/2006/relationships" r:embed="rId3">
            <a:duotone>
              <a:schemeClr val="bg2">
                <a:shade val="45000"/>
                <a:satMod val="135000"/>
              </a:schemeClr>
              <a:prstClr val="white"/>
            </a:duotone>
            <a:alphaModFix amt="45000"/>
          </a:blip>
          <a:tile tx="0" ty="0" sx="100000" sy="100000" flip="none" algn="tl"/>
        </a:blipFill>
        <a:ln>
          <a:noFill/>
        </a:ln>
        <a:effectLst>
          <a:innerShdw blurRad="114300">
            <a:prstClr val="black"/>
          </a:innerShdw>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endParaRPr lang="en-IN" sz="4800" b="1" cap="none" spc="0">
            <a:ln/>
            <a:solidFill>
              <a:srgbClr val="C00000"/>
            </a:solidFill>
            <a:effectLst/>
          </a:endParaRPr>
        </a:p>
      </xdr:txBody>
    </xdr:sp>
    <xdr:clientData/>
  </xdr:twoCellAnchor>
  <xdr:twoCellAnchor>
    <xdr:from>
      <xdr:col>11</xdr:col>
      <xdr:colOff>430256</xdr:colOff>
      <xdr:row>17</xdr:row>
      <xdr:rowOff>31576</xdr:rowOff>
    </xdr:from>
    <xdr:to>
      <xdr:col>19</xdr:col>
      <xdr:colOff>559110</xdr:colOff>
      <xdr:row>34</xdr:row>
      <xdr:rowOff>31051</xdr:rowOff>
    </xdr:to>
    <xdr:graphicFrame macro="">
      <xdr:nvGraphicFramePr>
        <xdr:cNvPr id="4" name="Chart 3">
          <a:extLst>
            <a:ext uri="{FF2B5EF4-FFF2-40B4-BE49-F238E27FC236}">
              <a16:creationId xmlns:a16="http://schemas.microsoft.com/office/drawing/2014/main" id="{F6FBF8E5-D00B-4F35-985D-1EF2AF929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580350</xdr:colOff>
      <xdr:row>17</xdr:row>
      <xdr:rowOff>34173</xdr:rowOff>
    </xdr:from>
    <xdr:to>
      <xdr:col>11</xdr:col>
      <xdr:colOff>177064</xdr:colOff>
      <xdr:row>34</xdr:row>
      <xdr:rowOff>19079</xdr:rowOff>
    </xdr:to>
    <xdr:graphicFrame macro="">
      <xdr:nvGraphicFramePr>
        <xdr:cNvPr id="5" name="Chart 4">
          <a:extLst>
            <a:ext uri="{FF2B5EF4-FFF2-40B4-BE49-F238E27FC236}">
              <a16:creationId xmlns:a16="http://schemas.microsoft.com/office/drawing/2014/main" id="{5FE5A6EF-CA65-439B-9236-2CC44D833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267305</xdr:colOff>
      <xdr:row>17</xdr:row>
      <xdr:rowOff>28339</xdr:rowOff>
    </xdr:from>
    <xdr:to>
      <xdr:col>32</xdr:col>
      <xdr:colOff>425612</xdr:colOff>
      <xdr:row>34</xdr:row>
      <xdr:rowOff>51103</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DBF38B04-B282-44E4-9890-4ACA47A5A8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502235" y="3130001"/>
              <a:ext cx="7499264" cy="312442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607422</xdr:colOff>
      <xdr:row>34</xdr:row>
      <xdr:rowOff>174877</xdr:rowOff>
    </xdr:from>
    <xdr:to>
      <xdr:col>15</xdr:col>
      <xdr:colOff>312105</xdr:colOff>
      <xdr:row>52</xdr:row>
      <xdr:rowOff>141780</xdr:rowOff>
    </xdr:to>
    <xdr:graphicFrame macro="">
      <xdr:nvGraphicFramePr>
        <xdr:cNvPr id="18" name="Chart 17">
          <a:extLst>
            <a:ext uri="{FF2B5EF4-FFF2-40B4-BE49-F238E27FC236}">
              <a16:creationId xmlns:a16="http://schemas.microsoft.com/office/drawing/2014/main" id="{4221A64E-B7BF-489D-8126-4E90528B6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256996</xdr:colOff>
      <xdr:row>35</xdr:row>
      <xdr:rowOff>4254</xdr:rowOff>
    </xdr:from>
    <xdr:to>
      <xdr:col>32</xdr:col>
      <xdr:colOff>375634</xdr:colOff>
      <xdr:row>52</xdr:row>
      <xdr:rowOff>156760</xdr:rowOff>
    </xdr:to>
    <xdr:graphicFrame macro="">
      <xdr:nvGraphicFramePr>
        <xdr:cNvPr id="19" name="Chart 18">
          <a:extLst>
            <a:ext uri="{FF2B5EF4-FFF2-40B4-BE49-F238E27FC236}">
              <a16:creationId xmlns:a16="http://schemas.microsoft.com/office/drawing/2014/main" id="{A6A2FC3B-AB1B-4877-A939-F56FD473D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567723</xdr:colOff>
      <xdr:row>53</xdr:row>
      <xdr:rowOff>144734</xdr:rowOff>
    </xdr:from>
    <xdr:to>
      <xdr:col>10</xdr:col>
      <xdr:colOff>96671</xdr:colOff>
      <xdr:row>67</xdr:row>
      <xdr:rowOff>74110</xdr:rowOff>
    </xdr:to>
    <xdr:graphicFrame macro="">
      <xdr:nvGraphicFramePr>
        <xdr:cNvPr id="20" name="Chart 19">
          <a:extLst>
            <a:ext uri="{FF2B5EF4-FFF2-40B4-BE49-F238E27FC236}">
              <a16:creationId xmlns:a16="http://schemas.microsoft.com/office/drawing/2014/main" id="{BE711E68-625D-4BA5-8AD0-8BB1B7F00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458990</xdr:colOff>
      <xdr:row>35</xdr:row>
      <xdr:rowOff>12571</xdr:rowOff>
    </xdr:from>
    <xdr:to>
      <xdr:col>23</xdr:col>
      <xdr:colOff>137018</xdr:colOff>
      <xdr:row>52</xdr:row>
      <xdr:rowOff>153356</xdr:rowOff>
    </xdr:to>
    <xdr:graphicFrame macro="">
      <xdr:nvGraphicFramePr>
        <xdr:cNvPr id="21" name="Chart 20">
          <a:extLst>
            <a:ext uri="{FF2B5EF4-FFF2-40B4-BE49-F238E27FC236}">
              <a16:creationId xmlns:a16="http://schemas.microsoft.com/office/drawing/2014/main" id="{23B2AA2E-F1D6-454F-9CD1-BC4E79EFA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23</xdr:col>
      <xdr:colOff>119530</xdr:colOff>
      <xdr:row>54</xdr:row>
      <xdr:rowOff>88348</xdr:rowOff>
    </xdr:from>
    <xdr:to>
      <xdr:col>32</xdr:col>
      <xdr:colOff>309217</xdr:colOff>
      <xdr:row>65</xdr:row>
      <xdr:rowOff>134470</xdr:rowOff>
    </xdr:to>
    <mc:AlternateContent xmlns:mc="http://schemas.openxmlformats.org/markup-compatibility/2006" xmlns:tsle="http://schemas.microsoft.com/office/drawing/2012/timeslicer">
      <mc:Choice Requires="tsle">
        <xdr:graphicFrame macro="">
          <xdr:nvGraphicFramePr>
            <xdr:cNvPr id="23" name="Purchase_Date">
              <a:extLst>
                <a:ext uri="{FF2B5EF4-FFF2-40B4-BE49-F238E27FC236}">
                  <a16:creationId xmlns:a16="http://schemas.microsoft.com/office/drawing/2014/main" id="{B81AAA9E-662A-6394-54B4-66E78852ACBE}"/>
                </a:ext>
              </a:extLst>
            </xdr:cNvPr>
            <xdr:cNvGraphicFramePr/>
          </xdr:nvGraphicFramePr>
          <xdr:xfrm>
            <a:off x="0" y="0"/>
            <a:ext cx="0" cy="0"/>
          </xdr:xfrm>
          <a:graphic>
            <a:graphicData uri="http://schemas.microsoft.com/office/drawing/2012/timeslicer">
              <tsle:timeslicer name="Purchase_Date"/>
            </a:graphicData>
          </a:graphic>
        </xdr:graphicFrame>
      </mc:Choice>
      <mc:Fallback xmlns="">
        <xdr:sp macro="" textlink="">
          <xdr:nvSpPr>
            <xdr:cNvPr id="0" name=""/>
            <xdr:cNvSpPr>
              <a:spLocks noTextEdit="1"/>
            </xdr:cNvSpPr>
          </xdr:nvSpPr>
          <xdr:spPr>
            <a:xfrm>
              <a:off x="14189699" y="9940686"/>
              <a:ext cx="5695405" cy="20530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366165</xdr:colOff>
      <xdr:row>54</xdr:row>
      <xdr:rowOff>2419</xdr:rowOff>
    </xdr:from>
    <xdr:to>
      <xdr:col>22</xdr:col>
      <xdr:colOff>455837</xdr:colOff>
      <xdr:row>67</xdr:row>
      <xdr:rowOff>123710</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7E3CDD28-179C-BD02-8844-D12A6AF6F2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989348" y="9854757"/>
              <a:ext cx="1924912" cy="2493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397565</xdr:colOff>
      <xdr:row>10</xdr:row>
      <xdr:rowOff>88348</xdr:rowOff>
    </xdr:from>
    <xdr:to>
      <xdr:col>5</xdr:col>
      <xdr:colOff>129918</xdr:colOff>
      <xdr:row>13</xdr:row>
      <xdr:rowOff>150388</xdr:rowOff>
    </xdr:to>
    <xdr:pic>
      <xdr:nvPicPr>
        <xdr:cNvPr id="33" name="Picture 32">
          <a:extLst>
            <a:ext uri="{FF2B5EF4-FFF2-40B4-BE49-F238E27FC236}">
              <a16:creationId xmlns:a16="http://schemas.microsoft.com/office/drawing/2014/main" id="{FC4107AA-6F57-1EA0-6BB6-43D20DBB131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tretch>
          <a:fillRect/>
        </a:stretch>
      </xdr:blipFill>
      <xdr:spPr>
        <a:xfrm>
          <a:off x="2219739" y="1965739"/>
          <a:ext cx="947136" cy="625258"/>
        </a:xfrm>
        <a:prstGeom prst="rect">
          <a:avLst/>
        </a:prstGeom>
      </xdr:spPr>
    </xdr:pic>
    <xdr:clientData/>
  </xdr:twoCellAnchor>
  <xdr:oneCellAnchor>
    <xdr:from>
      <xdr:col>0</xdr:col>
      <xdr:colOff>77305</xdr:colOff>
      <xdr:row>0</xdr:row>
      <xdr:rowOff>39701</xdr:rowOff>
    </xdr:from>
    <xdr:ext cx="563217" cy="233205"/>
    <xdr:sp macro="" textlink="">
      <xdr:nvSpPr>
        <xdr:cNvPr id="34" name="TextBox 33">
          <a:extLst>
            <a:ext uri="{FF2B5EF4-FFF2-40B4-BE49-F238E27FC236}">
              <a16:creationId xmlns:a16="http://schemas.microsoft.com/office/drawing/2014/main" id="{EBE8E036-A550-5143-DF51-5EEA2B7FF94E}"/>
            </a:ext>
          </a:extLst>
        </xdr:cNvPr>
        <xdr:cNvSpPr txBox="1"/>
      </xdr:nvSpPr>
      <xdr:spPr>
        <a:xfrm>
          <a:off x="77305" y="39701"/>
          <a:ext cx="56321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10</xdr:col>
      <xdr:colOff>201975</xdr:colOff>
      <xdr:row>53</xdr:row>
      <xdr:rowOff>146893</xdr:rowOff>
    </xdr:from>
    <xdr:to>
      <xdr:col>15</xdr:col>
      <xdr:colOff>449855</xdr:colOff>
      <xdr:row>67</xdr:row>
      <xdr:rowOff>64265</xdr:rowOff>
    </xdr:to>
    <xdr:graphicFrame macro="">
      <xdr:nvGraphicFramePr>
        <xdr:cNvPr id="36" name="Chart 35">
          <a:extLst>
            <a:ext uri="{FF2B5EF4-FFF2-40B4-BE49-F238E27FC236}">
              <a16:creationId xmlns:a16="http://schemas.microsoft.com/office/drawing/2014/main" id="{CA355E92-32C3-479D-80FF-6923D61BE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16</xdr:col>
      <xdr:colOff>88520</xdr:colOff>
      <xdr:row>54</xdr:row>
      <xdr:rowOff>1784</xdr:rowOff>
    </xdr:from>
    <xdr:to>
      <xdr:col>19</xdr:col>
      <xdr:colOff>170233</xdr:colOff>
      <xdr:row>67</xdr:row>
      <xdr:rowOff>105383</xdr:rowOff>
    </xdr:to>
    <mc:AlternateContent xmlns:mc="http://schemas.openxmlformats.org/markup-compatibility/2006" xmlns:a14="http://schemas.microsoft.com/office/drawing/2010/main">
      <mc:Choice Requires="a14">
        <xdr:graphicFrame macro="">
          <xdr:nvGraphicFramePr>
            <xdr:cNvPr id="37" name="Brand">
              <a:extLst>
                <a:ext uri="{FF2B5EF4-FFF2-40B4-BE49-F238E27FC236}">
                  <a16:creationId xmlns:a16="http://schemas.microsoft.com/office/drawing/2014/main" id="{F45FE654-6A92-5C90-5FF2-54CF9F0C262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9876464" y="9854122"/>
              <a:ext cx="1916952" cy="24754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agarwal" refreshedDate="46106.548646064817" createdVersion="8" refreshedVersion="8" minRefreshableVersion="3" recordCount="2176" xr:uid="{9F331244-F9D7-4434-8771-1B04DCE68041}">
  <cacheSource type="worksheet">
    <worksheetSource ref="A1:U2177" sheet="DATASET"/>
  </cacheSource>
  <cacheFields count="24">
    <cacheField name="Product_ID" numFmtId="0">
      <sharedItems count="48">
        <s v="PZAROU"/>
        <s v="PUNITO"/>
        <s v="PUNIAC"/>
        <s v="PUNISH"/>
        <s v="PBANTO"/>
        <s v="PZARAC"/>
        <s v="PZARBO"/>
        <s v="PMANDR"/>
        <s v="PUNIOU"/>
        <s v="PH&amp;MOU"/>
        <s v="PMANTO"/>
        <s v="PANNBO"/>
        <s v="PUNIDR"/>
        <s v="PMANAC"/>
        <s v="PGAPSH"/>
        <s v="PANNTO"/>
        <s v="PMANOU"/>
        <s v="PBANOU"/>
        <s v="PMANBO"/>
        <s v="PBANDR"/>
        <s v="PFORTO"/>
        <s v="PUNIBO"/>
        <s v="PBANBO"/>
        <s v="PGAPBO"/>
        <s v="PANNDR"/>
        <s v="PGAPTO"/>
        <s v="PZARSH"/>
        <s v="PFORAC"/>
        <s v="PMANSH"/>
        <s v="PANNAC"/>
        <s v="PFORBO"/>
        <s v="PBANAC"/>
        <s v="PH&amp;MBO"/>
        <s v="PFOROU"/>
        <s v="PGAPOU"/>
        <s v="PH&amp;MTO"/>
        <s v="PANNSH"/>
        <s v="PH&amp;MSH"/>
        <s v="PZARTO"/>
        <s v="PFORDR"/>
        <s v="PANNOU"/>
        <s v="PGAPAC"/>
        <s v="PZARDR"/>
        <s v="PH&amp;MDR"/>
        <s v="PGAPDR"/>
        <s v="PFORSH"/>
        <s v="PBANSH"/>
        <s v="PH&amp;MAC"/>
      </sharedItems>
    </cacheField>
    <cacheField name="Purchase_Date" numFmtId="14">
      <sharedItems containsSemiMixedTypes="0" containsNonDate="0" containsDate="1" containsString="0" minDate="2024-04-01T00:00:00" maxDate="2025-11-04T00:00:00" count="582">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sharedItems>
      <fieldGroup par="23"/>
    </cacheField>
    <cacheField name="Order_ID" numFmtId="0">
      <sharedItems count="2176">
        <s v="FB000001"/>
        <s v="FB000002"/>
        <s v="FB000003"/>
        <s v="FB000004"/>
        <s v="FB000005"/>
        <s v="FB000006"/>
        <s v="FB000007"/>
        <s v="FB000008"/>
        <s v="FB000009"/>
        <s v="FB000010"/>
        <s v="FB000011"/>
        <s v="FB000012"/>
        <s v="FB000013"/>
        <s v="FB000014"/>
        <s v="FB000015"/>
        <s v="FB000016"/>
        <s v="FB000017"/>
        <s v="FB000018"/>
        <s v="FB000019"/>
        <s v="FB000020"/>
        <s v="FB000021"/>
        <s v="FB000022"/>
        <s v="FB000023"/>
        <s v="FB000024"/>
        <s v="FB000025"/>
        <s v="FB000026"/>
        <s v="FB000027"/>
        <s v="FB000028"/>
        <s v="FB000029"/>
        <s v="FB000030"/>
        <s v="FB000031"/>
        <s v="FB000032"/>
        <s v="FB000033"/>
        <s v="FB000034"/>
        <s v="FB000035"/>
        <s v="FB000036"/>
        <s v="FB000037"/>
        <s v="FB000038"/>
        <s v="FB000039"/>
        <s v="FB000040"/>
        <s v="FB000041"/>
        <s v="FB000042"/>
        <s v="FB000043"/>
        <s v="FB000044"/>
        <s v="FB000045"/>
        <s v="FB000046"/>
        <s v="FB000047"/>
        <s v="FB000048"/>
        <s v="FB000049"/>
        <s v="FB000050"/>
        <s v="FB000051"/>
        <s v="FB000052"/>
        <s v="FB000053"/>
        <s v="FB000054"/>
        <s v="FB000055"/>
        <s v="FB000056"/>
        <s v="FB000057"/>
        <s v="FB000058"/>
        <s v="FB000059"/>
        <s v="FB000060"/>
        <s v="FB000061"/>
        <s v="FB000062"/>
        <s v="FB000063"/>
        <s v="FB000064"/>
        <s v="FB000065"/>
        <s v="FB000066"/>
        <s v="FB000067"/>
        <s v="FB000068"/>
        <s v="FB000069"/>
        <s v="FB000070"/>
        <s v="FB000071"/>
        <s v="FB000072"/>
        <s v="FB000073"/>
        <s v="FB000074"/>
        <s v="FB000075"/>
        <s v="FB000076"/>
        <s v="FB000077"/>
        <s v="FB000078"/>
        <s v="FB000079"/>
        <s v="FB000080"/>
        <s v="FB000081"/>
        <s v="FB000082"/>
        <s v="FB000083"/>
        <s v="FB000084"/>
        <s v="FB000085"/>
        <s v="FB000086"/>
        <s v="FB000087"/>
        <s v="FB000088"/>
        <s v="FB000089"/>
        <s v="FB000090"/>
        <s v="FB000091"/>
        <s v="FB000092"/>
        <s v="FB000093"/>
        <s v="FB000094"/>
        <s v="FB000095"/>
        <s v="FB000096"/>
        <s v="FB000097"/>
        <s v="FB000098"/>
        <s v="FB000099"/>
        <s v="FB000100"/>
        <s v="FB000101"/>
        <s v="FB000102"/>
        <s v="FB000103"/>
        <s v="FB000104"/>
        <s v="FB000105"/>
        <s v="FB000106"/>
        <s v="FB000107"/>
        <s v="FB000108"/>
        <s v="FB000109"/>
        <s v="FB000110"/>
        <s v="FB000111"/>
        <s v="FB000112"/>
        <s v="FB000113"/>
        <s v="FB000114"/>
        <s v="FB000115"/>
        <s v="FB000116"/>
        <s v="FB000117"/>
        <s v="FB000118"/>
        <s v="FB000119"/>
        <s v="FB000120"/>
        <s v="FB000121"/>
        <s v="FB000122"/>
        <s v="FB000123"/>
        <s v="FB000124"/>
        <s v="FB000125"/>
        <s v="FB000126"/>
        <s v="FB000127"/>
        <s v="FB000128"/>
        <s v="FB000129"/>
        <s v="FB000130"/>
        <s v="FB000131"/>
        <s v="FB000132"/>
        <s v="FB000133"/>
        <s v="FB000134"/>
        <s v="FB000135"/>
        <s v="FB000136"/>
        <s v="FB000137"/>
        <s v="FB000138"/>
        <s v="FB000139"/>
        <s v="FB000140"/>
        <s v="FB000141"/>
        <s v="FB000142"/>
        <s v="FB000143"/>
        <s v="FB000144"/>
        <s v="FB000145"/>
        <s v="FB000146"/>
        <s v="FB000147"/>
        <s v="FB000148"/>
        <s v="FB000149"/>
        <s v="FB000150"/>
        <s v="FB000151"/>
        <s v="FB000152"/>
        <s v="FB000153"/>
        <s v="FB000154"/>
        <s v="FB000155"/>
        <s v="FB000156"/>
        <s v="FB000157"/>
        <s v="FB000158"/>
        <s v="FB000159"/>
        <s v="FB000160"/>
        <s v="FB000161"/>
        <s v="FB000162"/>
        <s v="FB000163"/>
        <s v="FB000164"/>
        <s v="FB000165"/>
        <s v="FB000166"/>
        <s v="FB000167"/>
        <s v="FB000168"/>
        <s v="FB000169"/>
        <s v="FB000170"/>
        <s v="FB000171"/>
        <s v="FB000172"/>
        <s v="FB000173"/>
        <s v="FB000174"/>
        <s v="FB000175"/>
        <s v="FB000176"/>
        <s v="FB000177"/>
        <s v="FB000178"/>
        <s v="FB000179"/>
        <s v="FB000180"/>
        <s v="FB000181"/>
        <s v="FB000182"/>
        <s v="FB000183"/>
        <s v="FB000184"/>
        <s v="FB000185"/>
        <s v="FB000186"/>
        <s v="FB000187"/>
        <s v="FB000188"/>
        <s v="FB000189"/>
        <s v="FB000190"/>
        <s v="FB000191"/>
        <s v="FB000192"/>
        <s v="FB000193"/>
        <s v="FB000194"/>
        <s v="FB000195"/>
        <s v="FB000196"/>
        <s v="FB000197"/>
        <s v="FB000198"/>
        <s v="FB000199"/>
        <s v="FB000200"/>
        <s v="FB000201"/>
        <s v="FB000202"/>
        <s v="FB000203"/>
        <s v="FB000204"/>
        <s v="FB000205"/>
        <s v="FB000206"/>
        <s v="FB000207"/>
        <s v="FB000208"/>
        <s v="FB000209"/>
        <s v="FB000210"/>
        <s v="FB000211"/>
        <s v="FB000212"/>
        <s v="FB000213"/>
        <s v="FB000214"/>
        <s v="FB000215"/>
        <s v="FB000216"/>
        <s v="FB000217"/>
        <s v="FB000218"/>
        <s v="FB000219"/>
        <s v="FB000220"/>
        <s v="FB000221"/>
        <s v="FB000222"/>
        <s v="FB000223"/>
        <s v="FB000224"/>
        <s v="FB000225"/>
        <s v="FB000226"/>
        <s v="FB000227"/>
        <s v="FB000228"/>
        <s v="FB000229"/>
        <s v="FB000230"/>
        <s v="FB000231"/>
        <s v="FB000232"/>
        <s v="FB000233"/>
        <s v="FB000234"/>
        <s v="FB000235"/>
        <s v="FB000236"/>
        <s v="FB000237"/>
        <s v="FB000238"/>
        <s v="FB000239"/>
        <s v="FB000240"/>
        <s v="FB000241"/>
        <s v="FB000242"/>
        <s v="FB000243"/>
        <s v="FB000244"/>
        <s v="FB000245"/>
        <s v="FB000246"/>
        <s v="FB000247"/>
        <s v="FB000248"/>
        <s v="FB000249"/>
        <s v="FB000250"/>
        <s v="FB000251"/>
        <s v="FB000252"/>
        <s v="FB000253"/>
        <s v="FB000254"/>
        <s v="FB000255"/>
        <s v="FB000256"/>
        <s v="FB000257"/>
        <s v="FB000258"/>
        <s v="FB000259"/>
        <s v="FB000260"/>
        <s v="FB000261"/>
        <s v="FB000262"/>
        <s v="FB000263"/>
        <s v="FB000264"/>
        <s v="FB000265"/>
        <s v="FB000266"/>
        <s v="FB000267"/>
        <s v="FB000268"/>
        <s v="FB000269"/>
        <s v="FB000270"/>
        <s v="FB000271"/>
        <s v="FB000272"/>
        <s v="FB000273"/>
        <s v="FB000274"/>
        <s v="FB000275"/>
        <s v="FB000276"/>
        <s v="FB000277"/>
        <s v="FB000278"/>
        <s v="FB000279"/>
        <s v="FB000280"/>
        <s v="FB000281"/>
        <s v="FB000282"/>
        <s v="FB000283"/>
        <s v="FB000284"/>
        <s v="FB000285"/>
        <s v="FB000286"/>
        <s v="FB000287"/>
        <s v="FB000288"/>
        <s v="FB000289"/>
        <s v="FB000290"/>
        <s v="FB000291"/>
        <s v="FB000292"/>
        <s v="FB000293"/>
        <s v="FB000294"/>
        <s v="FB000295"/>
        <s v="FB000296"/>
        <s v="FB000297"/>
        <s v="FB000298"/>
        <s v="FB000299"/>
        <s v="FB000300"/>
        <s v="FB000301"/>
        <s v="FB000302"/>
        <s v="FB000303"/>
        <s v="FB000304"/>
        <s v="FB000305"/>
        <s v="FB000306"/>
        <s v="FB000307"/>
        <s v="FB000308"/>
        <s v="FB000309"/>
        <s v="FB000310"/>
        <s v="FB000311"/>
        <s v="FB000312"/>
        <s v="FB000313"/>
        <s v="FB000314"/>
        <s v="FB000315"/>
        <s v="FB000316"/>
        <s v="FB000317"/>
        <s v="FB000318"/>
        <s v="FB000319"/>
        <s v="FB000320"/>
        <s v="FB000321"/>
        <s v="FB000322"/>
        <s v="FB000323"/>
        <s v="FB000324"/>
        <s v="FB000325"/>
        <s v="FB000326"/>
        <s v="FB000327"/>
        <s v="FB000328"/>
        <s v="FB000329"/>
        <s v="FB000330"/>
        <s v="FB000331"/>
        <s v="FB000332"/>
        <s v="FB000333"/>
        <s v="FB000334"/>
        <s v="FB000335"/>
        <s v="FB000336"/>
        <s v="FB000337"/>
        <s v="FB000338"/>
        <s v="FB000339"/>
        <s v="FB000340"/>
        <s v="FB000341"/>
        <s v="FB000342"/>
        <s v="FB000343"/>
        <s v="FB000344"/>
        <s v="FB000345"/>
        <s v="FB000346"/>
        <s v="FB000347"/>
        <s v="FB000348"/>
        <s v="FB000349"/>
        <s v="FB000350"/>
        <s v="FB000351"/>
        <s v="FB000352"/>
        <s v="FB000353"/>
        <s v="FB000354"/>
        <s v="FB000355"/>
        <s v="FB000356"/>
        <s v="FB000357"/>
        <s v="FB000358"/>
        <s v="FB000359"/>
        <s v="FB000360"/>
        <s v="FB000361"/>
        <s v="FB000362"/>
        <s v="FB000363"/>
        <s v="FB000364"/>
        <s v="FB000365"/>
        <s v="FB000366"/>
        <s v="FB000367"/>
        <s v="FB000368"/>
        <s v="FB000369"/>
        <s v="FB000370"/>
        <s v="FB000371"/>
        <s v="FB000372"/>
        <s v="FB000373"/>
        <s v="FB000374"/>
        <s v="FB000375"/>
        <s v="FB000376"/>
        <s v="FB000377"/>
        <s v="FB000378"/>
        <s v="FB000379"/>
        <s v="FB000380"/>
        <s v="FB000381"/>
        <s v="FB000382"/>
        <s v="FB000383"/>
        <s v="FB000384"/>
        <s v="FB000385"/>
        <s v="FB000386"/>
        <s v="FB000387"/>
        <s v="FB000388"/>
        <s v="FB000389"/>
        <s v="FB000390"/>
        <s v="FB000391"/>
        <s v="FB000392"/>
        <s v="FB000393"/>
        <s v="FB000394"/>
        <s v="FB000395"/>
        <s v="FB000396"/>
        <s v="FB000397"/>
        <s v="FB000398"/>
        <s v="FB000399"/>
        <s v="FB000400"/>
        <s v="FB000401"/>
        <s v="FB000402"/>
        <s v="FB000403"/>
        <s v="FB000404"/>
        <s v="FB000405"/>
        <s v="FB000406"/>
        <s v="FB000407"/>
        <s v="FB000408"/>
        <s v="FB000409"/>
        <s v="FB000410"/>
        <s v="FB000411"/>
        <s v="FB000412"/>
        <s v="FB000413"/>
        <s v="FB000414"/>
        <s v="FB000415"/>
        <s v="FB000416"/>
        <s v="FB000417"/>
        <s v="FB000418"/>
        <s v="FB000419"/>
        <s v="FB000420"/>
        <s v="FB000421"/>
        <s v="FB000422"/>
        <s v="FB000423"/>
        <s v="FB000424"/>
        <s v="FB000425"/>
        <s v="FB000426"/>
        <s v="FB000427"/>
        <s v="FB000428"/>
        <s v="FB000429"/>
        <s v="FB000430"/>
        <s v="FB000431"/>
        <s v="FB000432"/>
        <s v="FB000433"/>
        <s v="FB000434"/>
        <s v="FB000435"/>
        <s v="FB000436"/>
        <s v="FB000437"/>
        <s v="FB000438"/>
        <s v="FB000439"/>
        <s v="FB000440"/>
        <s v="FB000441"/>
        <s v="FB000442"/>
        <s v="FB000443"/>
        <s v="FB000444"/>
        <s v="FB000445"/>
        <s v="FB000446"/>
        <s v="FB000447"/>
        <s v="FB000448"/>
        <s v="FB000449"/>
        <s v="FB000450"/>
        <s v="FB000451"/>
        <s v="FB000452"/>
        <s v="FB000453"/>
        <s v="FB000454"/>
        <s v="FB000455"/>
        <s v="FB000456"/>
        <s v="FB000457"/>
        <s v="FB000458"/>
        <s v="FB000459"/>
        <s v="FB000460"/>
        <s v="FB000461"/>
        <s v="FB000462"/>
        <s v="FB000463"/>
        <s v="FB000464"/>
        <s v="FB000465"/>
        <s v="FB000466"/>
        <s v="FB000467"/>
        <s v="FB000468"/>
        <s v="FB000469"/>
        <s v="FB000470"/>
        <s v="FB000471"/>
        <s v="FB000472"/>
        <s v="FB000473"/>
        <s v="FB000474"/>
        <s v="FB000475"/>
        <s v="FB000476"/>
        <s v="FB000477"/>
        <s v="FB000478"/>
        <s v="FB000479"/>
        <s v="FB000480"/>
        <s v="FB000481"/>
        <s v="FB000482"/>
        <s v="FB000483"/>
        <s v="FB000484"/>
        <s v="FB000485"/>
        <s v="FB000486"/>
        <s v="FB000487"/>
        <s v="FB000488"/>
        <s v="FB000489"/>
        <s v="FB000490"/>
        <s v="FB000491"/>
        <s v="FB000492"/>
        <s v="FB000493"/>
        <s v="FB000494"/>
        <s v="FB000495"/>
        <s v="FB000496"/>
        <s v="FB000497"/>
        <s v="FB000498"/>
        <s v="FB000499"/>
        <s v="FB000500"/>
        <s v="FB000501"/>
        <s v="FB000502"/>
        <s v="FB000503"/>
        <s v="FB000504"/>
        <s v="FB000505"/>
        <s v="FB000506"/>
        <s v="FB000507"/>
        <s v="FB000508"/>
        <s v="FB000509"/>
        <s v="FB000510"/>
        <s v="FB000511"/>
        <s v="FB000512"/>
        <s v="FB000513"/>
        <s v="FB000514"/>
        <s v="FB000515"/>
        <s v="FB000516"/>
        <s v="FB000517"/>
        <s v="FB000518"/>
        <s v="FB000519"/>
        <s v="FB000520"/>
        <s v="FB000521"/>
        <s v="FB000522"/>
        <s v="FB000523"/>
        <s v="FB000524"/>
        <s v="FB000525"/>
        <s v="FB000526"/>
        <s v="FB000527"/>
        <s v="FB000528"/>
        <s v="FB000529"/>
        <s v="FB000530"/>
        <s v="FB000531"/>
        <s v="FB000532"/>
        <s v="FB000533"/>
        <s v="FB000534"/>
        <s v="FB000535"/>
        <s v="FB000536"/>
        <s v="FB000537"/>
        <s v="FB000538"/>
        <s v="FB000539"/>
        <s v="FB000540"/>
        <s v="FB000541"/>
        <s v="FB000542"/>
        <s v="FB000543"/>
        <s v="FB000544"/>
        <s v="FB000545"/>
        <s v="FB000546"/>
        <s v="FB000547"/>
        <s v="FB000548"/>
        <s v="FB000549"/>
        <s v="FB000550"/>
        <s v="FB000551"/>
        <s v="FB000552"/>
        <s v="FB000553"/>
        <s v="FB000554"/>
        <s v="FB000555"/>
        <s v="FB000556"/>
        <s v="FB000557"/>
        <s v="FB000558"/>
        <s v="FB000559"/>
        <s v="FB000560"/>
        <s v="FB000561"/>
        <s v="FB000562"/>
        <s v="FB000563"/>
        <s v="FB000564"/>
        <s v="FB000565"/>
        <s v="FB000566"/>
        <s v="FB000567"/>
        <s v="FB000568"/>
        <s v="FB000569"/>
        <s v="FB000570"/>
        <s v="FB000571"/>
        <s v="FB000572"/>
        <s v="FB000573"/>
        <s v="FB000574"/>
        <s v="FB000575"/>
        <s v="FB000576"/>
        <s v="FB000577"/>
        <s v="FB000578"/>
        <s v="FB000579"/>
        <s v="FB000580"/>
        <s v="FB000581"/>
        <s v="FB000582"/>
        <s v="FB000583"/>
        <s v="FB000584"/>
        <s v="FB000585"/>
        <s v="FB000586"/>
        <s v="FB000587"/>
        <s v="FB000588"/>
        <s v="FB000589"/>
        <s v="FB000590"/>
        <s v="FB000591"/>
        <s v="FB000592"/>
        <s v="FB000593"/>
        <s v="FB000594"/>
        <s v="FB000595"/>
        <s v="FB000596"/>
        <s v="FB000597"/>
        <s v="FB000598"/>
        <s v="FB000599"/>
        <s v="FB000600"/>
        <s v="FB000601"/>
        <s v="FB000602"/>
        <s v="FB000603"/>
        <s v="FB000604"/>
        <s v="FB000605"/>
        <s v="FB000606"/>
        <s v="FB000607"/>
        <s v="FB000608"/>
        <s v="FB000609"/>
        <s v="FB000610"/>
        <s v="FB000611"/>
        <s v="FB000612"/>
        <s v="FB000613"/>
        <s v="FB000614"/>
        <s v="FB000615"/>
        <s v="FB000616"/>
        <s v="FB000617"/>
        <s v="FB000618"/>
        <s v="FB000619"/>
        <s v="FB000620"/>
        <s v="FB000621"/>
        <s v="FB000622"/>
        <s v="FB000623"/>
        <s v="FB000624"/>
        <s v="FB000625"/>
        <s v="FB000626"/>
        <s v="FB000627"/>
        <s v="FB000628"/>
        <s v="FB000629"/>
        <s v="FB000630"/>
        <s v="FB000631"/>
        <s v="FB000632"/>
        <s v="FB000633"/>
        <s v="FB000634"/>
        <s v="FB000635"/>
        <s v="FB000636"/>
        <s v="FB000637"/>
        <s v="FB000638"/>
        <s v="FB000639"/>
        <s v="FB000640"/>
        <s v="FB000641"/>
        <s v="FB000642"/>
        <s v="FB000643"/>
        <s v="FB000644"/>
        <s v="FB000645"/>
        <s v="FB000646"/>
        <s v="FB000647"/>
        <s v="FB000648"/>
        <s v="FB000649"/>
        <s v="FB000650"/>
        <s v="FB000651"/>
        <s v="FB000652"/>
        <s v="FB000653"/>
        <s v="FB000654"/>
        <s v="FB000655"/>
        <s v="FB000656"/>
        <s v="FB000657"/>
        <s v="FB000658"/>
        <s v="FB000659"/>
        <s v="FB000660"/>
        <s v="FB000661"/>
        <s v="FB000662"/>
        <s v="FB000663"/>
        <s v="FB000664"/>
        <s v="FB000665"/>
        <s v="FB000666"/>
        <s v="FB000667"/>
        <s v="FB000668"/>
        <s v="FB000669"/>
        <s v="FB000670"/>
        <s v="FB000671"/>
        <s v="FB000672"/>
        <s v="FB000673"/>
        <s v="FB000674"/>
        <s v="FB000675"/>
        <s v="FB000676"/>
        <s v="FB000677"/>
        <s v="FB000678"/>
        <s v="FB000679"/>
        <s v="FB000680"/>
        <s v="FB000681"/>
        <s v="FB000682"/>
        <s v="FB000683"/>
        <s v="FB000684"/>
        <s v="FB000685"/>
        <s v="FB000686"/>
        <s v="FB000687"/>
        <s v="FB000688"/>
        <s v="FB000689"/>
        <s v="FB000690"/>
        <s v="FB000691"/>
        <s v="FB000692"/>
        <s v="FB000693"/>
        <s v="FB000694"/>
        <s v="FB000695"/>
        <s v="FB000696"/>
        <s v="FB000697"/>
        <s v="FB000698"/>
        <s v="FB000699"/>
        <s v="FB000700"/>
        <s v="FB000701"/>
        <s v="FB000702"/>
        <s v="FB000703"/>
        <s v="FB000704"/>
        <s v="FB000705"/>
        <s v="FB000706"/>
        <s v="FB000707"/>
        <s v="FB000708"/>
        <s v="FB000709"/>
        <s v="FB000710"/>
        <s v="FB000711"/>
        <s v="FB000712"/>
        <s v="FB000713"/>
        <s v="FB000714"/>
        <s v="FB000715"/>
        <s v="FB000716"/>
        <s v="FB000717"/>
        <s v="FB000718"/>
        <s v="FB000719"/>
        <s v="FB000720"/>
        <s v="FB000721"/>
        <s v="FB000722"/>
        <s v="FB000723"/>
        <s v="FB000724"/>
        <s v="FB000725"/>
        <s v="FB000726"/>
        <s v="FB000727"/>
        <s v="FB000728"/>
        <s v="FB000729"/>
        <s v="FB000730"/>
        <s v="FB000731"/>
        <s v="FB000732"/>
        <s v="FB000733"/>
        <s v="FB000734"/>
        <s v="FB000735"/>
        <s v="FB000736"/>
        <s v="FB000737"/>
        <s v="FB000738"/>
        <s v="FB000739"/>
        <s v="FB000740"/>
        <s v="FB000741"/>
        <s v="FB000742"/>
        <s v="FB000743"/>
        <s v="FB000744"/>
        <s v="FB000745"/>
        <s v="FB000746"/>
        <s v="FB000747"/>
        <s v="FB000748"/>
        <s v="FB000749"/>
        <s v="FB000750"/>
        <s v="FB000751"/>
        <s v="FB000752"/>
        <s v="FB000753"/>
        <s v="FB000754"/>
        <s v="FB000755"/>
        <s v="FB000756"/>
        <s v="FB000757"/>
        <s v="FB000758"/>
        <s v="FB000759"/>
        <s v="FB000760"/>
        <s v="FB000761"/>
        <s v="FB000762"/>
        <s v="FB000763"/>
        <s v="FB000764"/>
        <s v="FB000765"/>
        <s v="FB000766"/>
        <s v="FB000767"/>
        <s v="FB000768"/>
        <s v="FB000769"/>
        <s v="FB000770"/>
        <s v="FB000771"/>
        <s v="FB000772"/>
        <s v="FB000773"/>
        <s v="FB000774"/>
        <s v="FB000775"/>
        <s v="FB000776"/>
        <s v="FB000777"/>
        <s v="FB000778"/>
        <s v="FB000779"/>
        <s v="FB000780"/>
        <s v="FB000781"/>
        <s v="FB000782"/>
        <s v="FB000783"/>
        <s v="FB000784"/>
        <s v="FB000785"/>
        <s v="FB000786"/>
        <s v="FB000787"/>
        <s v="FB000788"/>
        <s v="FB000789"/>
        <s v="FB000790"/>
        <s v="FB000791"/>
        <s v="FB000792"/>
        <s v="FB000793"/>
        <s v="FB000794"/>
        <s v="FB000795"/>
        <s v="FB000796"/>
        <s v="FB000797"/>
        <s v="FB000798"/>
        <s v="FB000799"/>
        <s v="FB000800"/>
        <s v="FB000801"/>
        <s v="FB000802"/>
        <s v="FB000803"/>
        <s v="FB000804"/>
        <s v="FB000805"/>
        <s v="FB000806"/>
        <s v="FB000807"/>
        <s v="FB000808"/>
        <s v="FB000809"/>
        <s v="FB000810"/>
        <s v="FB000811"/>
        <s v="FB000812"/>
        <s v="FB000813"/>
        <s v="FB000814"/>
        <s v="FB000815"/>
        <s v="FB000816"/>
        <s v="FB000817"/>
        <s v="FB000818"/>
        <s v="FB000819"/>
        <s v="FB000820"/>
        <s v="FB000821"/>
        <s v="FB000822"/>
        <s v="FB000823"/>
        <s v="FB000824"/>
        <s v="FB000825"/>
        <s v="FB000826"/>
        <s v="FB000827"/>
        <s v="FB000828"/>
        <s v="FB000829"/>
        <s v="FB000830"/>
        <s v="FB000831"/>
        <s v="FB000832"/>
        <s v="FB000833"/>
        <s v="FB000834"/>
        <s v="FB000835"/>
        <s v="FB000836"/>
        <s v="FB000837"/>
        <s v="FB000838"/>
        <s v="FB000839"/>
        <s v="FB000840"/>
        <s v="FB000841"/>
        <s v="FB000842"/>
        <s v="FB000843"/>
        <s v="FB000844"/>
        <s v="FB000845"/>
        <s v="FB000846"/>
        <s v="FB000847"/>
        <s v="FB000848"/>
        <s v="FB000849"/>
        <s v="FB000850"/>
        <s v="FB000851"/>
        <s v="FB000852"/>
        <s v="FB000853"/>
        <s v="FB000854"/>
        <s v="FB000855"/>
        <s v="FB000856"/>
        <s v="FB000857"/>
        <s v="FB000858"/>
        <s v="FB000859"/>
        <s v="FB000860"/>
        <s v="FB000861"/>
        <s v="FB000862"/>
        <s v="FB000863"/>
        <s v="FB000864"/>
        <s v="FB000865"/>
        <s v="FB000866"/>
        <s v="FB000867"/>
        <s v="FB000868"/>
        <s v="FB000869"/>
        <s v="FB000870"/>
        <s v="FB000871"/>
        <s v="FB000872"/>
        <s v="FB000873"/>
        <s v="FB000874"/>
        <s v="FB000875"/>
        <s v="FB000876"/>
        <s v="FB000877"/>
        <s v="FB000878"/>
        <s v="FB000879"/>
        <s v="FB000880"/>
        <s v="FB000881"/>
        <s v="FB000882"/>
        <s v="FB000883"/>
        <s v="FB000884"/>
        <s v="FB000885"/>
        <s v="FB000886"/>
        <s v="FB000887"/>
        <s v="FB000888"/>
        <s v="FB000889"/>
        <s v="FB000890"/>
        <s v="FB000891"/>
        <s v="FB000892"/>
        <s v="FB000893"/>
        <s v="FB000894"/>
        <s v="FB000895"/>
        <s v="FB000896"/>
        <s v="FB000897"/>
        <s v="FB000898"/>
        <s v="FB000899"/>
        <s v="FB000900"/>
        <s v="FB000901"/>
        <s v="FB000902"/>
        <s v="FB000903"/>
        <s v="FB000904"/>
        <s v="FB000905"/>
        <s v="FB000906"/>
        <s v="FB000907"/>
        <s v="FB000908"/>
        <s v="FB000909"/>
        <s v="FB000910"/>
        <s v="FB000911"/>
        <s v="FB000912"/>
        <s v="FB000913"/>
        <s v="FB000914"/>
        <s v="FB000915"/>
        <s v="FB000916"/>
        <s v="FB000917"/>
        <s v="FB000918"/>
        <s v="FB000919"/>
        <s v="FB000920"/>
        <s v="FB000921"/>
        <s v="FB000922"/>
        <s v="FB000923"/>
        <s v="FB000924"/>
        <s v="FB000925"/>
        <s v="FB000926"/>
        <s v="FB000927"/>
        <s v="FB000928"/>
        <s v="FB000929"/>
        <s v="FB000930"/>
        <s v="FB000931"/>
        <s v="FB000932"/>
        <s v="FB000933"/>
        <s v="FB000934"/>
        <s v="FB000935"/>
        <s v="FB000936"/>
        <s v="FB000937"/>
        <s v="FB000938"/>
        <s v="FB000939"/>
        <s v="FB000940"/>
        <s v="FB000941"/>
        <s v="FB000942"/>
        <s v="FB000943"/>
        <s v="FB000944"/>
        <s v="FB000945"/>
        <s v="FB000946"/>
        <s v="FB000947"/>
        <s v="FB000948"/>
        <s v="FB000949"/>
        <s v="FB000950"/>
        <s v="FB000951"/>
        <s v="FB000952"/>
        <s v="FB000953"/>
        <s v="FB000954"/>
        <s v="FB000955"/>
        <s v="FB000956"/>
        <s v="FB000957"/>
        <s v="FB000958"/>
        <s v="FB000959"/>
        <s v="FB000960"/>
        <s v="FB000961"/>
        <s v="FB000962"/>
        <s v="FB000963"/>
        <s v="FB000964"/>
        <s v="FB000965"/>
        <s v="FB000966"/>
        <s v="FB000967"/>
        <s v="FB000968"/>
        <s v="FB000969"/>
        <s v="FB000970"/>
        <s v="FB000971"/>
        <s v="FB000972"/>
        <s v="FB000973"/>
        <s v="FB000974"/>
        <s v="FB000975"/>
        <s v="FB000976"/>
        <s v="FB000977"/>
        <s v="FB000978"/>
        <s v="FB000979"/>
        <s v="FB000980"/>
        <s v="FB000981"/>
        <s v="FB000982"/>
        <s v="FB000983"/>
        <s v="FB000984"/>
        <s v="FB000985"/>
        <s v="FB000986"/>
        <s v="FB000987"/>
        <s v="FB000988"/>
        <s v="FB000989"/>
        <s v="FB000990"/>
        <s v="FB000991"/>
        <s v="FB000992"/>
        <s v="FB000993"/>
        <s v="FB000994"/>
        <s v="FB000995"/>
        <s v="FB000996"/>
        <s v="FB000997"/>
        <s v="FB000998"/>
        <s v="FB000999"/>
        <s v="FB001000"/>
        <s v="FB001001"/>
        <s v="FB001002"/>
        <s v="FB001003"/>
        <s v="FB001004"/>
        <s v="FB001005"/>
        <s v="FB001006"/>
        <s v="FB001007"/>
        <s v="FB001008"/>
        <s v="FB001009"/>
        <s v="FB001010"/>
        <s v="FB001011"/>
        <s v="FB001012"/>
        <s v="FB001013"/>
        <s v="FB001014"/>
        <s v="FB001015"/>
        <s v="FB001016"/>
        <s v="FB001017"/>
        <s v="FB001018"/>
        <s v="FB001019"/>
        <s v="FB001020"/>
        <s v="FB001021"/>
        <s v="FB001022"/>
        <s v="FB001023"/>
        <s v="FB001024"/>
        <s v="FB001025"/>
        <s v="FB001026"/>
        <s v="FB001027"/>
        <s v="FB001028"/>
        <s v="FB001029"/>
        <s v="FB001030"/>
        <s v="FB001031"/>
        <s v="FB001032"/>
        <s v="FB001033"/>
        <s v="FB001034"/>
        <s v="FB001035"/>
        <s v="FB001036"/>
        <s v="FB001037"/>
        <s v="FB001038"/>
        <s v="FB001039"/>
        <s v="FB001040"/>
        <s v="FB001041"/>
        <s v="FB001042"/>
        <s v="FB001043"/>
        <s v="FB001044"/>
        <s v="FB001045"/>
        <s v="FB001046"/>
        <s v="FB001047"/>
        <s v="FB001048"/>
        <s v="FB001049"/>
        <s v="FB001050"/>
        <s v="FB001051"/>
        <s v="FB001052"/>
        <s v="FB001053"/>
        <s v="FB001054"/>
        <s v="FB001055"/>
        <s v="FB001056"/>
        <s v="FB001057"/>
        <s v="FB001058"/>
        <s v="FB001059"/>
        <s v="FB001060"/>
        <s v="FB001061"/>
        <s v="FB001062"/>
        <s v="FB001063"/>
        <s v="FB001064"/>
        <s v="FB001065"/>
        <s v="FB001066"/>
        <s v="FB001067"/>
        <s v="FB001068"/>
        <s v="FB001069"/>
        <s v="FB001070"/>
        <s v="FB001071"/>
        <s v="FB001072"/>
        <s v="FB001073"/>
        <s v="FB001074"/>
        <s v="FB001075"/>
        <s v="FB001076"/>
        <s v="FB001077"/>
        <s v="FB001078"/>
        <s v="FB001079"/>
        <s v="FB001080"/>
        <s v="FB001081"/>
        <s v="FB001082"/>
        <s v="FB001083"/>
        <s v="FB001084"/>
        <s v="FB001085"/>
        <s v="FB001086"/>
        <s v="FB001087"/>
        <s v="FB001088"/>
        <s v="FB001089"/>
        <s v="FB001090"/>
        <s v="FB001091"/>
        <s v="FB001092"/>
        <s v="FB001093"/>
        <s v="FB001094"/>
        <s v="FB001095"/>
        <s v="FB001096"/>
        <s v="FB001097"/>
        <s v="FB001098"/>
        <s v="FB001099"/>
        <s v="FB001100"/>
        <s v="FB001101"/>
        <s v="FB001102"/>
        <s v="FB001103"/>
        <s v="FB001104"/>
        <s v="FB001105"/>
        <s v="FB001106"/>
        <s v="FB001107"/>
        <s v="FB001108"/>
        <s v="FB001109"/>
        <s v="FB001110"/>
        <s v="FB001111"/>
        <s v="FB001112"/>
        <s v="FB001113"/>
        <s v="FB001114"/>
        <s v="FB001115"/>
        <s v="FB001116"/>
        <s v="FB001117"/>
        <s v="FB001118"/>
        <s v="FB001119"/>
        <s v="FB001120"/>
        <s v="FB001121"/>
        <s v="FB001122"/>
        <s v="FB001123"/>
        <s v="FB001124"/>
        <s v="FB001125"/>
        <s v="FB001126"/>
        <s v="FB001127"/>
        <s v="FB001128"/>
        <s v="FB001129"/>
        <s v="FB001130"/>
        <s v="FB001131"/>
        <s v="FB001132"/>
        <s v="FB001133"/>
        <s v="FB001134"/>
        <s v="FB001135"/>
        <s v="FB001136"/>
        <s v="FB001137"/>
        <s v="FB001138"/>
        <s v="FB001139"/>
        <s v="FB001140"/>
        <s v="FB001141"/>
        <s v="FB001142"/>
        <s v="FB001143"/>
        <s v="FB001144"/>
        <s v="FB001145"/>
        <s v="FB001146"/>
        <s v="FB001147"/>
        <s v="FB001148"/>
        <s v="FB001149"/>
        <s v="FB001150"/>
        <s v="FB001151"/>
        <s v="FB001152"/>
        <s v="FB001153"/>
        <s v="FB001154"/>
        <s v="FB001155"/>
        <s v="FB001156"/>
        <s v="FB001157"/>
        <s v="FB001158"/>
        <s v="FB001159"/>
        <s v="FB001160"/>
        <s v="FB001161"/>
        <s v="FB001162"/>
        <s v="FB001163"/>
        <s v="FB001164"/>
        <s v="FB001165"/>
        <s v="FB001166"/>
        <s v="FB001167"/>
        <s v="FB001168"/>
        <s v="FB001169"/>
        <s v="FB001170"/>
        <s v="FB001171"/>
        <s v="FB001172"/>
        <s v="FB001173"/>
        <s v="FB001174"/>
        <s v="FB001175"/>
        <s v="FB001176"/>
        <s v="FB001177"/>
        <s v="FB001178"/>
        <s v="FB001179"/>
        <s v="FB001180"/>
        <s v="FB001181"/>
        <s v="FB001182"/>
        <s v="FB001183"/>
        <s v="FB001184"/>
        <s v="FB001185"/>
        <s v="FB001186"/>
        <s v="FB001187"/>
        <s v="FB001188"/>
        <s v="FB001189"/>
        <s v="FB001190"/>
        <s v="FB001191"/>
        <s v="FB001192"/>
        <s v="FB001193"/>
        <s v="FB001194"/>
        <s v="FB001195"/>
        <s v="FB001196"/>
        <s v="FB001197"/>
        <s v="FB001198"/>
        <s v="FB001199"/>
        <s v="FB001200"/>
        <s v="FB001201"/>
        <s v="FB001202"/>
        <s v="FB001203"/>
        <s v="FB001204"/>
        <s v="FB001205"/>
        <s v="FB001206"/>
        <s v="FB001207"/>
        <s v="FB001208"/>
        <s v="FB001209"/>
        <s v="FB001210"/>
        <s v="FB001211"/>
        <s v="FB001212"/>
        <s v="FB001213"/>
        <s v="FB001214"/>
        <s v="FB001215"/>
        <s v="FB001216"/>
        <s v="FB001217"/>
        <s v="FB001218"/>
        <s v="FB001219"/>
        <s v="FB001220"/>
        <s v="FB001221"/>
        <s v="FB001222"/>
        <s v="FB001223"/>
        <s v="FB001224"/>
        <s v="FB001225"/>
        <s v="FB001226"/>
        <s v="FB001227"/>
        <s v="FB001228"/>
        <s v="FB001229"/>
        <s v="FB001230"/>
        <s v="FB001231"/>
        <s v="FB001232"/>
        <s v="FB001233"/>
        <s v="FB001234"/>
        <s v="FB001235"/>
        <s v="FB001236"/>
        <s v="FB001237"/>
        <s v="FB001238"/>
        <s v="FB001239"/>
        <s v="FB001240"/>
        <s v="FB001241"/>
        <s v="FB001242"/>
        <s v="FB001243"/>
        <s v="FB001244"/>
        <s v="FB001245"/>
        <s v="FB001246"/>
        <s v="FB001247"/>
        <s v="FB001248"/>
        <s v="FB001249"/>
        <s v="FB001250"/>
        <s v="FB001251"/>
        <s v="FB001252"/>
        <s v="FB001253"/>
        <s v="FB001254"/>
        <s v="FB001255"/>
        <s v="FB001256"/>
        <s v="FB001257"/>
        <s v="FB001258"/>
        <s v="FB001259"/>
        <s v="FB001260"/>
        <s v="FB001261"/>
        <s v="FB001262"/>
        <s v="FB001263"/>
        <s v="FB001264"/>
        <s v="FB001265"/>
        <s v="FB001266"/>
        <s v="FB001267"/>
        <s v="FB001268"/>
        <s v="FB001269"/>
        <s v="FB001270"/>
        <s v="FB001271"/>
        <s v="FB001272"/>
        <s v="FB001273"/>
        <s v="FB001274"/>
        <s v="FB001275"/>
        <s v="FB001276"/>
        <s v="FB001277"/>
        <s v="FB001278"/>
        <s v="FB001279"/>
        <s v="FB001280"/>
        <s v="FB001281"/>
        <s v="FB001282"/>
        <s v="FB001283"/>
        <s v="FB001284"/>
        <s v="FB001285"/>
        <s v="FB001286"/>
        <s v="FB001287"/>
        <s v="FB001288"/>
        <s v="FB001289"/>
        <s v="FB001290"/>
        <s v="FB001291"/>
        <s v="FB001292"/>
        <s v="FB001293"/>
        <s v="FB001294"/>
        <s v="FB001295"/>
        <s v="FB001296"/>
        <s v="FB001297"/>
        <s v="FB001298"/>
        <s v="FB001299"/>
        <s v="FB001300"/>
        <s v="FB001301"/>
        <s v="FB001302"/>
        <s v="FB001303"/>
        <s v="FB001304"/>
        <s v="FB001305"/>
        <s v="FB001306"/>
        <s v="FB001307"/>
        <s v="FB001308"/>
        <s v="FB001309"/>
        <s v="FB001310"/>
        <s v="FB001311"/>
        <s v="FB001312"/>
        <s v="FB001313"/>
        <s v="FB001314"/>
        <s v="FB001315"/>
        <s v="FB001316"/>
        <s v="FB001317"/>
        <s v="FB001318"/>
        <s v="FB001319"/>
        <s v="FB001320"/>
        <s v="FB001321"/>
        <s v="FB001322"/>
        <s v="FB001323"/>
        <s v="FB001324"/>
        <s v="FB001325"/>
        <s v="FB001326"/>
        <s v="FB001327"/>
        <s v="FB001328"/>
        <s v="FB001329"/>
        <s v="FB001330"/>
        <s v="FB001331"/>
        <s v="FB001332"/>
        <s v="FB001333"/>
        <s v="FB001334"/>
        <s v="FB001335"/>
        <s v="FB001336"/>
        <s v="FB001337"/>
        <s v="FB001338"/>
        <s v="FB001339"/>
        <s v="FB001340"/>
        <s v="FB001341"/>
        <s v="FB001342"/>
        <s v="FB001343"/>
        <s v="FB001344"/>
        <s v="FB001345"/>
        <s v="FB001346"/>
        <s v="FB001347"/>
        <s v="FB001348"/>
        <s v="FB001349"/>
        <s v="FB001350"/>
        <s v="FB001351"/>
        <s v="FB001352"/>
        <s v="FB001353"/>
        <s v="FB001354"/>
        <s v="FB001355"/>
        <s v="FB001356"/>
        <s v="FB001357"/>
        <s v="FB001358"/>
        <s v="FB001359"/>
        <s v="FB001360"/>
        <s v="FB001361"/>
        <s v="FB001362"/>
        <s v="FB001363"/>
        <s v="FB001364"/>
        <s v="FB001365"/>
        <s v="FB001366"/>
        <s v="FB001367"/>
        <s v="FB001368"/>
        <s v="FB001369"/>
        <s v="FB001370"/>
        <s v="FB001371"/>
        <s v="FB001372"/>
        <s v="FB001373"/>
        <s v="FB001374"/>
        <s v="FB001375"/>
        <s v="FB001376"/>
        <s v="FB001377"/>
        <s v="FB001378"/>
        <s v="FB001379"/>
        <s v="FB001380"/>
        <s v="FB001381"/>
        <s v="FB001382"/>
        <s v="FB001383"/>
        <s v="FB001384"/>
        <s v="FB001385"/>
        <s v="FB001386"/>
        <s v="FB001387"/>
        <s v="FB001388"/>
        <s v="FB001389"/>
        <s v="FB001390"/>
        <s v="FB001391"/>
        <s v="FB001392"/>
        <s v="FB001393"/>
        <s v="FB001394"/>
        <s v="FB001395"/>
        <s v="FB001396"/>
        <s v="FB001397"/>
        <s v="FB001398"/>
        <s v="FB001399"/>
        <s v="FB001400"/>
        <s v="FB001401"/>
        <s v="FB001402"/>
        <s v="FB001403"/>
        <s v="FB001404"/>
        <s v="FB001405"/>
        <s v="FB001406"/>
        <s v="FB001407"/>
        <s v="FB001408"/>
        <s v="FB001409"/>
        <s v="FB001410"/>
        <s v="FB001411"/>
        <s v="FB001412"/>
        <s v="FB001413"/>
        <s v="FB001414"/>
        <s v="FB001415"/>
        <s v="FB001416"/>
        <s v="FB001417"/>
        <s v="FB001418"/>
        <s v="FB001419"/>
        <s v="FB001420"/>
        <s v="FB001421"/>
        <s v="FB001422"/>
        <s v="FB001423"/>
        <s v="FB001424"/>
        <s v="FB001425"/>
        <s v="FB001426"/>
        <s v="FB001427"/>
        <s v="FB001428"/>
        <s v="FB001429"/>
        <s v="FB001430"/>
        <s v="FB001431"/>
        <s v="FB001432"/>
        <s v="FB001433"/>
        <s v="FB001434"/>
        <s v="FB001435"/>
        <s v="FB001436"/>
        <s v="FB001437"/>
        <s v="FB001438"/>
        <s v="FB001439"/>
        <s v="FB001440"/>
        <s v="FB001441"/>
        <s v="FB001442"/>
        <s v="FB001443"/>
        <s v="FB001444"/>
        <s v="FB001445"/>
        <s v="FB001446"/>
        <s v="FB001447"/>
        <s v="FB001448"/>
        <s v="FB001449"/>
        <s v="FB001450"/>
        <s v="FB001451"/>
        <s v="FB001452"/>
        <s v="FB001453"/>
        <s v="FB001454"/>
        <s v="FB001455"/>
        <s v="FB001456"/>
        <s v="FB001457"/>
        <s v="FB001458"/>
        <s v="FB001459"/>
        <s v="FB001460"/>
        <s v="FB001461"/>
        <s v="FB001462"/>
        <s v="FB001463"/>
        <s v="FB001464"/>
        <s v="FB001465"/>
        <s v="FB001466"/>
        <s v="FB001467"/>
        <s v="FB001468"/>
        <s v="FB001469"/>
        <s v="FB001470"/>
        <s v="FB001471"/>
        <s v="FB001472"/>
        <s v="FB001473"/>
        <s v="FB001474"/>
        <s v="FB001475"/>
        <s v="FB001476"/>
        <s v="FB001477"/>
        <s v="FB001478"/>
        <s v="FB001479"/>
        <s v="FB001480"/>
        <s v="FB001481"/>
        <s v="FB001482"/>
        <s v="FB001483"/>
        <s v="FB001484"/>
        <s v="FB001485"/>
        <s v="FB001486"/>
        <s v="FB001487"/>
        <s v="FB001488"/>
        <s v="FB001489"/>
        <s v="FB001490"/>
        <s v="FB001491"/>
        <s v="FB001492"/>
        <s v="FB001493"/>
        <s v="FB001494"/>
        <s v="FB001495"/>
        <s v="FB001496"/>
        <s v="FB001497"/>
        <s v="FB001498"/>
        <s v="FB001499"/>
        <s v="FB001500"/>
        <s v="FB001501"/>
        <s v="FB001502"/>
        <s v="FB001503"/>
        <s v="FB001504"/>
        <s v="FB001505"/>
        <s v="FB001506"/>
        <s v="FB001507"/>
        <s v="FB001508"/>
        <s v="FB001509"/>
        <s v="FB001510"/>
        <s v="FB001511"/>
        <s v="FB001512"/>
        <s v="FB001513"/>
        <s v="FB001514"/>
        <s v="FB001515"/>
        <s v="FB001516"/>
        <s v="FB001517"/>
        <s v="FB001518"/>
        <s v="FB001519"/>
        <s v="FB001520"/>
        <s v="FB001521"/>
        <s v="FB001522"/>
        <s v="FB001523"/>
        <s v="FB001524"/>
        <s v="FB001525"/>
        <s v="FB001526"/>
        <s v="FB001527"/>
        <s v="FB001528"/>
        <s v="FB001529"/>
        <s v="FB001530"/>
        <s v="FB001531"/>
        <s v="FB001532"/>
        <s v="FB001533"/>
        <s v="FB001534"/>
        <s v="FB001535"/>
        <s v="FB001536"/>
        <s v="FB001537"/>
        <s v="FB001538"/>
        <s v="FB001539"/>
        <s v="FB001540"/>
        <s v="FB001541"/>
        <s v="FB001542"/>
        <s v="FB001543"/>
        <s v="FB001544"/>
        <s v="FB001545"/>
        <s v="FB001546"/>
        <s v="FB001547"/>
        <s v="FB001548"/>
        <s v="FB001549"/>
        <s v="FB001550"/>
        <s v="FB001551"/>
        <s v="FB001552"/>
        <s v="FB001553"/>
        <s v="FB001554"/>
        <s v="FB001555"/>
        <s v="FB001556"/>
        <s v="FB001557"/>
        <s v="FB001558"/>
        <s v="FB001559"/>
        <s v="FB001560"/>
        <s v="FB001561"/>
        <s v="FB001562"/>
        <s v="FB001563"/>
        <s v="FB001564"/>
        <s v="FB001565"/>
        <s v="FB001566"/>
        <s v="FB001567"/>
        <s v="FB001568"/>
        <s v="FB001569"/>
        <s v="FB001570"/>
        <s v="FB001571"/>
        <s v="FB001572"/>
        <s v="FB001573"/>
        <s v="FB001574"/>
        <s v="FB001575"/>
        <s v="FB001576"/>
        <s v="FB001577"/>
        <s v="FB001578"/>
        <s v="FB001579"/>
        <s v="FB001580"/>
        <s v="FB001581"/>
        <s v="FB001582"/>
        <s v="FB001583"/>
        <s v="FB001584"/>
        <s v="FB001585"/>
        <s v="FB001586"/>
        <s v="FB001587"/>
        <s v="FB001588"/>
        <s v="FB001589"/>
        <s v="FB001590"/>
        <s v="FB001591"/>
        <s v="FB001592"/>
        <s v="FB001593"/>
        <s v="FB001594"/>
        <s v="FB001595"/>
        <s v="FB001596"/>
        <s v="FB001597"/>
        <s v="FB001598"/>
        <s v="FB001599"/>
        <s v="FB001600"/>
        <s v="FB001601"/>
        <s v="FB001602"/>
        <s v="FB001603"/>
        <s v="FB001604"/>
        <s v="FB001605"/>
        <s v="FB001606"/>
        <s v="FB001607"/>
        <s v="FB001608"/>
        <s v="FB001609"/>
        <s v="FB001610"/>
        <s v="FB001611"/>
        <s v="FB001612"/>
        <s v="FB001613"/>
        <s v="FB001614"/>
        <s v="FB001615"/>
        <s v="FB001616"/>
        <s v="FB001617"/>
        <s v="FB001618"/>
        <s v="FB001619"/>
        <s v="FB001620"/>
        <s v="FB001621"/>
        <s v="FB001622"/>
        <s v="FB001623"/>
        <s v="FB001624"/>
        <s v="FB001625"/>
        <s v="FB001626"/>
        <s v="FB001627"/>
        <s v="FB001628"/>
        <s v="FB001629"/>
        <s v="FB001630"/>
        <s v="FB001631"/>
        <s v="FB001632"/>
        <s v="FB001633"/>
        <s v="FB001634"/>
        <s v="FB001635"/>
        <s v="FB001636"/>
        <s v="FB001637"/>
        <s v="FB001638"/>
        <s v="FB001639"/>
        <s v="FB001640"/>
        <s v="FB001641"/>
        <s v="FB001642"/>
        <s v="FB001643"/>
        <s v="FB001644"/>
        <s v="FB001645"/>
        <s v="FB001646"/>
        <s v="FB001647"/>
        <s v="FB001648"/>
        <s v="FB001649"/>
        <s v="FB001650"/>
        <s v="FB001651"/>
        <s v="FB001652"/>
        <s v="FB001653"/>
        <s v="FB001654"/>
        <s v="FB001655"/>
        <s v="FB001656"/>
        <s v="FB001657"/>
        <s v="FB001658"/>
        <s v="FB001659"/>
        <s v="FB001660"/>
        <s v="FB001661"/>
        <s v="FB001662"/>
        <s v="FB001663"/>
        <s v="FB001664"/>
        <s v="FB001665"/>
        <s v="FB001666"/>
        <s v="FB001667"/>
        <s v="FB001668"/>
        <s v="FB001669"/>
        <s v="FB001670"/>
        <s v="FB001671"/>
        <s v="FB001672"/>
        <s v="FB001673"/>
        <s v="FB001674"/>
        <s v="FB001675"/>
        <s v="FB001676"/>
        <s v="FB001677"/>
        <s v="FB001678"/>
        <s v="FB001679"/>
        <s v="FB001680"/>
        <s v="FB001681"/>
        <s v="FB001682"/>
        <s v="FB001683"/>
        <s v="FB001684"/>
        <s v="FB001685"/>
        <s v="FB001686"/>
        <s v="FB001687"/>
        <s v="FB001688"/>
        <s v="FB001689"/>
        <s v="FB001690"/>
        <s v="FB001691"/>
        <s v="FB001692"/>
        <s v="FB001693"/>
        <s v="FB001694"/>
        <s v="FB001695"/>
        <s v="FB001696"/>
        <s v="FB001697"/>
        <s v="FB001698"/>
        <s v="FB001699"/>
        <s v="FB001700"/>
        <s v="FB001701"/>
        <s v="FB001702"/>
        <s v="FB001703"/>
        <s v="FB001704"/>
        <s v="FB001705"/>
        <s v="FB001706"/>
        <s v="FB001707"/>
        <s v="FB001708"/>
        <s v="FB001709"/>
        <s v="FB001710"/>
        <s v="FB001711"/>
        <s v="FB001712"/>
        <s v="FB001713"/>
        <s v="FB001714"/>
        <s v="FB001715"/>
        <s v="FB001716"/>
        <s v="FB001717"/>
        <s v="FB001718"/>
        <s v="FB001719"/>
        <s v="FB001720"/>
        <s v="FB001721"/>
        <s v="FB001722"/>
        <s v="FB001723"/>
        <s v="FB001724"/>
        <s v="FB001725"/>
        <s v="FB001726"/>
        <s v="FB001727"/>
        <s v="FB001728"/>
        <s v="FB001729"/>
        <s v="FB001730"/>
        <s v="FB001731"/>
        <s v="FB001732"/>
        <s v="FB001733"/>
        <s v="FB001734"/>
        <s v="FB001735"/>
        <s v="FB001736"/>
        <s v="FB001737"/>
        <s v="FB001738"/>
        <s v="FB001739"/>
        <s v="FB001740"/>
        <s v="FB001741"/>
        <s v="FB001742"/>
        <s v="FB001743"/>
        <s v="FB001744"/>
        <s v="FB001745"/>
        <s v="FB001746"/>
        <s v="FB001747"/>
        <s v="FB001748"/>
        <s v="FB001749"/>
        <s v="FB001750"/>
        <s v="FB001751"/>
        <s v="FB001752"/>
        <s v="FB001753"/>
        <s v="FB001754"/>
        <s v="FB001755"/>
        <s v="FB001756"/>
        <s v="FB001757"/>
        <s v="FB001758"/>
        <s v="FB001759"/>
        <s v="FB001760"/>
        <s v="FB001761"/>
        <s v="FB001762"/>
        <s v="FB001763"/>
        <s v="FB001764"/>
        <s v="FB001765"/>
        <s v="FB001766"/>
        <s v="FB001767"/>
        <s v="FB001768"/>
        <s v="FB001769"/>
        <s v="FB001770"/>
        <s v="FB001771"/>
        <s v="FB001772"/>
        <s v="FB001773"/>
        <s v="FB001774"/>
        <s v="FB001775"/>
        <s v="FB001776"/>
        <s v="FB001777"/>
        <s v="FB001778"/>
        <s v="FB001779"/>
        <s v="FB001780"/>
        <s v="FB001781"/>
        <s v="FB001782"/>
        <s v="FB001783"/>
        <s v="FB001784"/>
        <s v="FB001785"/>
        <s v="FB001786"/>
        <s v="FB001787"/>
        <s v="FB001788"/>
        <s v="FB001789"/>
        <s v="FB001790"/>
        <s v="FB001791"/>
        <s v="FB001792"/>
        <s v="FB001793"/>
        <s v="FB001794"/>
        <s v="FB001795"/>
        <s v="FB001796"/>
        <s v="FB001797"/>
        <s v="FB001798"/>
        <s v="FB001799"/>
        <s v="FB001800"/>
        <s v="FB001801"/>
        <s v="FB001802"/>
        <s v="FB001803"/>
        <s v="FB001804"/>
        <s v="FB001805"/>
        <s v="FB001806"/>
        <s v="FB001807"/>
        <s v="FB001808"/>
        <s v="FB001809"/>
        <s v="FB001810"/>
        <s v="FB001811"/>
        <s v="FB001812"/>
        <s v="FB001813"/>
        <s v="FB001814"/>
        <s v="FB001815"/>
        <s v="FB001816"/>
        <s v="FB001817"/>
        <s v="FB001818"/>
        <s v="FB001819"/>
        <s v="FB001820"/>
        <s v="FB001821"/>
        <s v="FB001822"/>
        <s v="FB001823"/>
        <s v="FB001824"/>
        <s v="FB001825"/>
        <s v="FB001826"/>
        <s v="FB001827"/>
        <s v="FB001828"/>
        <s v="FB001829"/>
        <s v="FB001830"/>
        <s v="FB001831"/>
        <s v="FB001832"/>
        <s v="FB001833"/>
        <s v="FB001834"/>
        <s v="FB001835"/>
        <s v="FB001836"/>
        <s v="FB001837"/>
        <s v="FB001838"/>
        <s v="FB001839"/>
        <s v="FB001840"/>
        <s v="FB001841"/>
        <s v="FB001842"/>
        <s v="FB001843"/>
        <s v="FB001844"/>
        <s v="FB001845"/>
        <s v="FB001846"/>
        <s v="FB001847"/>
        <s v="FB001848"/>
        <s v="FB001849"/>
        <s v="FB001850"/>
        <s v="FB001851"/>
        <s v="FB001852"/>
        <s v="FB001853"/>
        <s v="FB001854"/>
        <s v="FB001855"/>
        <s v="FB001856"/>
        <s v="FB001857"/>
        <s v="FB001858"/>
        <s v="FB001859"/>
        <s v="FB001860"/>
        <s v="FB001861"/>
        <s v="FB001862"/>
        <s v="FB001863"/>
        <s v="FB001864"/>
        <s v="FB001865"/>
        <s v="FB001866"/>
        <s v="FB001867"/>
        <s v="FB001868"/>
        <s v="FB001869"/>
        <s v="FB001870"/>
        <s v="FB001871"/>
        <s v="FB001872"/>
        <s v="FB001873"/>
        <s v="FB001874"/>
        <s v="FB001875"/>
        <s v="FB001876"/>
        <s v="FB001877"/>
        <s v="FB001878"/>
        <s v="FB001879"/>
        <s v="FB001880"/>
        <s v="FB001881"/>
        <s v="FB001882"/>
        <s v="FB001883"/>
        <s v="FB001884"/>
        <s v="FB001885"/>
        <s v="FB001886"/>
        <s v="FB001887"/>
        <s v="FB001888"/>
        <s v="FB001889"/>
        <s v="FB001890"/>
        <s v="FB001891"/>
        <s v="FB001892"/>
        <s v="FB001893"/>
        <s v="FB001894"/>
        <s v="FB001895"/>
        <s v="FB001896"/>
        <s v="FB001897"/>
        <s v="FB001898"/>
        <s v="FB001899"/>
        <s v="FB001900"/>
        <s v="FB001901"/>
        <s v="FB001902"/>
        <s v="FB001903"/>
        <s v="FB001904"/>
        <s v="FB001905"/>
        <s v="FB001906"/>
        <s v="FB001907"/>
        <s v="FB001908"/>
        <s v="FB001909"/>
        <s v="FB001910"/>
        <s v="FB001911"/>
        <s v="FB001912"/>
        <s v="FB001913"/>
        <s v="FB001914"/>
        <s v="FB001915"/>
        <s v="FB001916"/>
        <s v="FB001917"/>
        <s v="FB001918"/>
        <s v="FB001919"/>
        <s v="FB001920"/>
        <s v="FB001921"/>
        <s v="FB001922"/>
        <s v="FB001923"/>
        <s v="FB001924"/>
        <s v="FB001925"/>
        <s v="FB001926"/>
        <s v="FB001927"/>
        <s v="FB001928"/>
        <s v="FB001929"/>
        <s v="FB001930"/>
        <s v="FB001931"/>
        <s v="FB001932"/>
        <s v="FB001933"/>
        <s v="FB001934"/>
        <s v="FB001935"/>
        <s v="FB001936"/>
        <s v="FB001937"/>
        <s v="FB001938"/>
        <s v="FB001939"/>
        <s v="FB001940"/>
        <s v="FB001941"/>
        <s v="FB001942"/>
        <s v="FB001943"/>
        <s v="FB001944"/>
        <s v="FB001945"/>
        <s v="FB001946"/>
        <s v="FB001947"/>
        <s v="FB001948"/>
        <s v="FB001949"/>
        <s v="FB001950"/>
        <s v="FB001951"/>
        <s v="FB001952"/>
        <s v="FB001953"/>
        <s v="FB001954"/>
        <s v="FB001955"/>
        <s v="FB001956"/>
        <s v="FB001957"/>
        <s v="FB001958"/>
        <s v="FB001959"/>
        <s v="FB001960"/>
        <s v="FB001961"/>
        <s v="FB001962"/>
        <s v="FB001963"/>
        <s v="FB001964"/>
        <s v="FB001965"/>
        <s v="FB001966"/>
        <s v="FB001967"/>
        <s v="FB001968"/>
        <s v="FB001969"/>
        <s v="FB001970"/>
        <s v="FB001971"/>
        <s v="FB001972"/>
        <s v="FB001973"/>
        <s v="FB001974"/>
        <s v="FB001975"/>
        <s v="FB001976"/>
        <s v="FB001977"/>
        <s v="FB001978"/>
        <s v="FB001979"/>
        <s v="FB001980"/>
        <s v="FB001981"/>
        <s v="FB001982"/>
        <s v="FB001983"/>
        <s v="FB001984"/>
        <s v="FB001985"/>
        <s v="FB001986"/>
        <s v="FB001987"/>
        <s v="FB001988"/>
        <s v="FB001989"/>
        <s v="FB001990"/>
        <s v="FB001991"/>
        <s v="FB001992"/>
        <s v="FB001993"/>
        <s v="FB001994"/>
        <s v="FB001995"/>
        <s v="FB001996"/>
        <s v="FB001997"/>
        <s v="FB001998"/>
        <s v="FB001999"/>
        <s v="FB002000"/>
        <s v="FB002001"/>
        <s v="FB002002"/>
        <s v="FB002003"/>
        <s v="FB002004"/>
        <s v="FB002005"/>
        <s v="FB002006"/>
        <s v="FB002007"/>
        <s v="FB002008"/>
        <s v="FB002009"/>
        <s v="FB002010"/>
        <s v="FB002011"/>
        <s v="FB002012"/>
        <s v="FB002013"/>
        <s v="FB002014"/>
        <s v="FB002015"/>
        <s v="FB002016"/>
        <s v="FB002017"/>
        <s v="FB002018"/>
        <s v="FB002019"/>
        <s v="FB002020"/>
        <s v="FB002021"/>
        <s v="FB002022"/>
        <s v="FB002023"/>
        <s v="FB002024"/>
        <s v="FB002025"/>
        <s v="FB002026"/>
        <s v="FB002027"/>
        <s v="FB002028"/>
        <s v="FB002029"/>
        <s v="FB002030"/>
        <s v="FB002031"/>
        <s v="FB002032"/>
        <s v="FB002033"/>
        <s v="FB002034"/>
        <s v="FB002035"/>
        <s v="FB002036"/>
        <s v="FB002037"/>
        <s v="FB002038"/>
        <s v="FB002039"/>
        <s v="FB002040"/>
        <s v="FB002041"/>
        <s v="FB002042"/>
        <s v="FB002043"/>
        <s v="FB002044"/>
        <s v="FB002045"/>
        <s v="FB002046"/>
        <s v="FB002047"/>
        <s v="FB002048"/>
        <s v="FB002049"/>
        <s v="FB002050"/>
        <s v="FB002051"/>
        <s v="FB002052"/>
        <s v="FB002053"/>
        <s v="FB002054"/>
        <s v="FB002055"/>
        <s v="FB002056"/>
        <s v="FB002057"/>
        <s v="FB002058"/>
        <s v="FB002059"/>
        <s v="FB002060"/>
        <s v="FB002061"/>
        <s v="FB002062"/>
        <s v="FB002063"/>
        <s v="FB002064"/>
        <s v="FB002065"/>
        <s v="FB002066"/>
        <s v="FB002067"/>
        <s v="FB002068"/>
        <s v="FB002069"/>
        <s v="FB002070"/>
        <s v="FB002071"/>
        <s v="FB002072"/>
        <s v="FB002073"/>
        <s v="FB002074"/>
        <s v="FB002075"/>
        <s v="FB002076"/>
        <s v="FB002077"/>
        <s v="FB002078"/>
        <s v="FB002079"/>
        <s v="FB002080"/>
        <s v="FB002081"/>
        <s v="FB002082"/>
        <s v="FB002083"/>
        <s v="FB002084"/>
        <s v="FB002085"/>
        <s v="FB002086"/>
        <s v="FB002087"/>
        <s v="FB002088"/>
        <s v="FB002089"/>
        <s v="FB002090"/>
        <s v="FB002091"/>
        <s v="FB002092"/>
        <s v="FB002093"/>
        <s v="FB002094"/>
        <s v="FB002095"/>
        <s v="FB002096"/>
        <s v="FB002097"/>
        <s v="FB002098"/>
        <s v="FB002099"/>
        <s v="FB002100"/>
        <s v="FB002101"/>
        <s v="FB002102"/>
        <s v="FB002103"/>
        <s v="FB002104"/>
        <s v="FB002105"/>
        <s v="FB002106"/>
        <s v="FB002107"/>
        <s v="FB002108"/>
        <s v="FB002109"/>
        <s v="FB002110"/>
        <s v="FB002111"/>
        <s v="FB002112"/>
        <s v="FB002113"/>
        <s v="FB002114"/>
        <s v="FB002115"/>
        <s v="FB002116"/>
        <s v="FB002117"/>
        <s v="FB002118"/>
        <s v="FB002119"/>
        <s v="FB002120"/>
        <s v="FB002121"/>
        <s v="FB002122"/>
        <s v="FB002123"/>
        <s v="FB002124"/>
        <s v="FB002125"/>
        <s v="FB002126"/>
        <s v="FB002127"/>
        <s v="FB002128"/>
        <s v="FB002129"/>
        <s v="FB002130"/>
        <s v="FB002131"/>
        <s v="FB002132"/>
        <s v="FB002133"/>
        <s v="FB002134"/>
        <s v="FB002135"/>
        <s v="FB002136"/>
        <s v="FB002137"/>
        <s v="FB002138"/>
        <s v="FB002139"/>
        <s v="FB002140"/>
        <s v="FB002141"/>
        <s v="FB002142"/>
        <s v="FB002143"/>
        <s v="FB002144"/>
        <s v="FB002145"/>
        <s v="FB002146"/>
        <s v="FB002147"/>
        <s v="FB002148"/>
        <s v="FB002149"/>
        <s v="FB002150"/>
        <s v="FB002151"/>
        <s v="FB002152"/>
        <s v="FB002153"/>
        <s v="FB002154"/>
        <s v="FB002155"/>
        <s v="FB002156"/>
        <s v="FB002157"/>
        <s v="FB002158"/>
        <s v="FB002159"/>
        <s v="FB002160"/>
        <s v="FB002161"/>
        <s v="FB002162"/>
        <s v="FB002163"/>
        <s v="FB002164"/>
        <s v="FB002165"/>
        <s v="FB002166"/>
        <s v="FB002167"/>
        <s v="FB002168"/>
        <s v="FB002169"/>
        <s v="FB002170"/>
        <s v="FB002171"/>
        <s v="FB002172"/>
        <s v="FB002173"/>
        <s v="FB002174"/>
        <s v="FB002175"/>
        <s v="FB002176"/>
      </sharedItems>
    </cacheField>
    <cacheField name="Brand" numFmtId="0">
      <sharedItems count="8">
        <s v="Zara"/>
        <s v="Uniqlo"/>
        <s v="Banana Republic"/>
        <s v="Mango"/>
        <s v="H&amp;M"/>
        <s v="Ann Taylor"/>
        <s v="Gap"/>
        <s v="Forever21"/>
      </sharedItems>
    </cacheField>
    <cacheField name="Category" numFmtId="0">
      <sharedItems count="6">
        <s v="Outerwear"/>
        <s v="Tops"/>
        <s v="Accessories"/>
        <s v="Shoes"/>
        <s v="Bottoms"/>
        <s v="Dresses"/>
      </sharedItems>
    </cacheField>
    <cacheField name="Season" numFmtId="0">
      <sharedItems count="4">
        <s v="Spring"/>
        <s v="Winter"/>
        <s v="Fall"/>
        <s v="Summer"/>
      </sharedItems>
    </cacheField>
    <cacheField name="Size" numFmtId="0">
      <sharedItems containsBlank="1" count="8">
        <s v="XL"/>
        <s v="L"/>
        <s v="N/A"/>
        <s v="S"/>
        <s v="XXL"/>
        <s v="XS"/>
        <s v="M"/>
        <m u="1"/>
      </sharedItems>
    </cacheField>
    <cacheField name="Color" numFmtId="0">
      <sharedItems count="12">
        <s v="Red"/>
        <s v="Pink"/>
        <s v="Black"/>
        <s v="N/A"/>
        <s v="Gray"/>
        <s v="Blue"/>
        <s v="Green"/>
        <s v="White"/>
        <s v="Beige"/>
        <s v="Navy"/>
        <s v="Purple"/>
        <s v="Brown"/>
      </sharedItems>
    </cacheField>
    <cacheField name="Original_Price" numFmtId="44">
      <sharedItems containsSemiMixedTypes="0" containsString="0" containsNumber="1" containsInteger="1" minValue="150" maxValue="4499"/>
    </cacheField>
    <cacheField name="Markdown%" numFmtId="9">
      <sharedItems containsSemiMixedTypes="0" containsString="0" containsNumber="1" minValue="0" maxValue="0.59899999999999998" count="458">
        <n v="0"/>
        <n v="0.35399999999999998"/>
        <n v="0.54500000000000004"/>
        <n v="0.221"/>
        <n v="0.128"/>
        <n v="0.109"/>
        <n v="0.58499999999999996"/>
        <n v="0.218"/>
        <n v="0.29100000000000004"/>
        <n v="0.34"/>
        <n v="0.36"/>
        <n v="0.24399999999999999"/>
        <n v="5.7000000000000002E-2"/>
        <n v="0.47799999999999998"/>
        <n v="0.14199999999999999"/>
        <n v="0.51400000000000001"/>
        <n v="0.30299999999999999"/>
        <n v="0.53900000000000003"/>
        <n v="0.55899999999999994"/>
        <n v="0.57100000000000006"/>
        <n v="0.50900000000000001"/>
        <n v="0.152"/>
        <n v="0.26300000000000001"/>
        <n v="2.6000000000000002E-2"/>
        <n v="6.6000000000000003E-2"/>
        <n v="1.1000000000000001E-2"/>
        <n v="0.18"/>
        <n v="2.4E-2"/>
        <n v="0.217"/>
        <n v="9.5000000000000001E-2"/>
        <n v="0.19800000000000001"/>
        <n v="7.400000000000001E-2"/>
        <n v="0.55200000000000005"/>
        <n v="0.48"/>
        <n v="0.22500000000000001"/>
        <n v="0.191"/>
        <n v="0.22600000000000001"/>
        <n v="0.11900000000000001"/>
        <n v="0.55299999999999994"/>
        <n v="0.4"/>
        <n v="6.4000000000000001E-2"/>
        <n v="0.495"/>
        <n v="0.52400000000000002"/>
        <n v="0.56399999999999995"/>
        <n v="0.03"/>
        <n v="0.19500000000000001"/>
        <n v="0.58200000000000007"/>
        <n v="0.59499999999999997"/>
        <n v="0.5"/>
        <n v="0.33799999999999997"/>
        <n v="0.255"/>
        <n v="0.45899999999999996"/>
        <n v="0.51500000000000001"/>
        <n v="0.215"/>
        <n v="0.27"/>
        <n v="0.58799999999999997"/>
        <n v="0.45299999999999996"/>
        <n v="0.158"/>
        <n v="0.254"/>
        <n v="0.57299999999999995"/>
        <n v="0.46"/>
        <n v="0.114"/>
        <n v="0.29399999999999998"/>
        <n v="0.28300000000000003"/>
        <n v="0.40600000000000003"/>
        <n v="0.214"/>
        <n v="1.7000000000000001E-2"/>
        <n v="0.2"/>
        <n v="0.39200000000000002"/>
        <n v="0.39799999999999996"/>
        <n v="3.9E-2"/>
        <n v="0.35899999999999999"/>
        <n v="7.0999999999999994E-2"/>
        <n v="0.12300000000000001"/>
        <n v="0.13"/>
        <n v="0.51700000000000002"/>
        <n v="0.42700000000000005"/>
        <n v="0.57499999999999996"/>
        <n v="0.56100000000000005"/>
        <n v="0.33299999999999996"/>
        <n v="0.17"/>
        <n v="0.23899999999999999"/>
        <n v="0.36399999999999999"/>
        <n v="8.8000000000000009E-2"/>
        <n v="0.16699999999999998"/>
        <n v="0.184"/>
        <n v="0.54799999999999993"/>
        <n v="1.3999999999999999E-2"/>
        <n v="0.433"/>
        <n v="0.22399999999999998"/>
        <n v="0.41700000000000004"/>
        <n v="0.47600000000000003"/>
        <n v="0.505"/>
        <n v="0.54600000000000004"/>
        <n v="0.14599999999999999"/>
        <n v="0.48799999999999999"/>
        <n v="0.17800000000000002"/>
        <n v="4.2999999999999997E-2"/>
        <n v="0.44700000000000001"/>
        <n v="9.1999999999999998E-2"/>
        <n v="4.0000000000000001E-3"/>
        <n v="0.371"/>
        <n v="0.10199999999999999"/>
        <n v="0.23"/>
        <n v="0.39399999999999996"/>
        <n v="0.14099999999999999"/>
        <n v="0.24299999999999999"/>
        <n v="0.504"/>
        <n v="5.4000000000000006E-2"/>
        <n v="0.42200000000000004"/>
        <n v="0.35200000000000004"/>
        <n v="9.0999999999999998E-2"/>
        <n v="0.57399999999999995"/>
        <n v="7.4999999999999997E-2"/>
        <n v="0.26100000000000001"/>
        <n v="0.16200000000000001"/>
        <n v="0.10800000000000001"/>
        <n v="0.36799999999999999"/>
        <n v="0.502"/>
        <n v="0.46500000000000002"/>
        <n v="0.29499999999999998"/>
        <n v="0.52100000000000002"/>
        <n v="0.111"/>
        <n v="0.36899999999999999"/>
        <n v="0.40700000000000003"/>
        <n v="0.54"/>
        <n v="9.0000000000000011E-3"/>
        <n v="4.2000000000000003E-2"/>
        <n v="0.29199999999999998"/>
        <n v="0.46700000000000003"/>
        <n v="0.16399999999999998"/>
        <n v="0.56499999999999995"/>
        <n v="0.28699999999999998"/>
        <n v="0.376"/>
        <n v="0.20199999999999999"/>
        <n v="0.45799999999999996"/>
        <n v="0.27800000000000002"/>
        <n v="0.496"/>
        <n v="0.27899999999999997"/>
        <n v="0.42899999999999999"/>
        <n v="0.40799999999999997"/>
        <n v="0.46799999999999997"/>
        <n v="0.56700000000000006"/>
        <n v="3.4000000000000002E-2"/>
        <n v="0.26899999999999996"/>
        <n v="0.35700000000000004"/>
        <n v="0.44600000000000001"/>
        <n v="0.32"/>
        <n v="0.11599999999999999"/>
        <n v="0.20600000000000002"/>
        <n v="3.3000000000000002E-2"/>
        <n v="0.156"/>
        <n v="0.59399999999999997"/>
        <n v="0.55000000000000004"/>
        <n v="0.52900000000000003"/>
        <n v="0.317"/>
        <n v="0.50600000000000001"/>
        <n v="3.0000000000000001E-3"/>
        <n v="0.11800000000000001"/>
        <n v="0.54299999999999993"/>
        <n v="9.9000000000000005E-2"/>
        <n v="0.54100000000000004"/>
        <n v="0.3"/>
        <n v="0.27600000000000002"/>
        <n v="0.377"/>
        <n v="6.3E-2"/>
        <n v="0.53"/>
        <n v="0.33399999999999996"/>
        <n v="0.38799999999999996"/>
        <n v="0.38100000000000001"/>
        <n v="5.9000000000000004E-2"/>
        <n v="0.318"/>
        <n v="0.51300000000000001"/>
        <n v="0.42499999999999999"/>
        <n v="0.43799999999999994"/>
        <n v="0.48200000000000004"/>
        <n v="0.36700000000000005"/>
        <n v="0.38900000000000001"/>
        <n v="0.22"/>
        <n v="0.49399999999999999"/>
        <n v="0.32600000000000001"/>
        <n v="0.28399999999999997"/>
        <n v="0.34499999999999997"/>
        <n v="0.18899999999999997"/>
        <n v="0.45"/>
        <n v="0.32700000000000001"/>
        <n v="0.14000000000000001"/>
        <n v="0.47100000000000003"/>
        <n v="0.40500000000000003"/>
        <n v="0.16600000000000001"/>
        <n v="0.28000000000000003"/>
        <n v="0.33700000000000002"/>
        <n v="0.13600000000000001"/>
        <n v="0.33600000000000002"/>
        <n v="0.124"/>
        <n v="0.183"/>
        <n v="0.113"/>
        <n v="0.106"/>
        <n v="0.46200000000000002"/>
        <n v="0.40399999999999997"/>
        <n v="0.45200000000000001"/>
        <n v="0.44799999999999995"/>
        <n v="2.1000000000000001E-2"/>
        <n v="0.36499999999999999"/>
        <n v="0.11"/>
        <n v="0.51900000000000002"/>
        <n v="0.58599999999999997"/>
        <n v="0.13900000000000001"/>
        <n v="0.26400000000000001"/>
        <n v="0.58299999999999996"/>
        <n v="5.0000000000000001E-3"/>
        <n v="0.126"/>
        <n v="0.52"/>
        <n v="0.46399999999999997"/>
        <n v="0.45399999999999996"/>
        <n v="0.34899999999999998"/>
        <n v="7.9000000000000001E-2"/>
        <n v="0.19699999999999998"/>
        <n v="0.35799999999999998"/>
        <n v="0.43700000000000006"/>
        <n v="0.39700000000000002"/>
        <n v="0.54899999999999993"/>
        <n v="0.56999999999999995"/>
        <n v="0.157"/>
        <n v="0.35499999999999998"/>
        <n v="0.06"/>
        <n v="9.6000000000000002E-2"/>
        <n v="1.6E-2"/>
        <n v="0.25900000000000001"/>
        <n v="0.52800000000000002"/>
        <n v="0.27300000000000002"/>
        <n v="0.45500000000000002"/>
        <n v="0.50700000000000001"/>
        <n v="0.35299999999999998"/>
        <n v="0.59899999999999998"/>
        <n v="0.17300000000000001"/>
        <n v="0.53500000000000003"/>
        <n v="0.375"/>
        <n v="0.43"/>
        <n v="0.20699999999999999"/>
        <n v="0.36599999999999999"/>
        <n v="0.127"/>
        <n v="0.58399999999999996"/>
        <n v="8.0000000000000002E-3"/>
        <n v="0.308"/>
        <n v="0.13699999999999998"/>
        <n v="0.161"/>
        <n v="0.20499999999999999"/>
        <n v="8.6999999999999994E-2"/>
        <n v="0.38"/>
        <n v="0.32200000000000001"/>
        <n v="0.187"/>
        <n v="0.17600000000000002"/>
        <n v="0.53700000000000003"/>
        <n v="0.23100000000000001"/>
        <n v="1.2E-2"/>
        <n v="0.441"/>
        <n v="0.16800000000000001"/>
        <n v="0.44299999999999995"/>
        <n v="0.44900000000000001"/>
        <n v="0.10400000000000001"/>
        <n v="0.31"/>
        <n v="0.33100000000000002"/>
        <n v="8.199999999999999E-2"/>
        <n v="0.22800000000000001"/>
        <n v="0.57799999999999996"/>
        <n v="0.49"/>
        <n v="0.122"/>
        <n v="0.16"/>
        <n v="0.37799999999999995"/>
        <n v="0.501"/>
        <n v="0.53200000000000003"/>
        <n v="0.23699999999999999"/>
        <n v="0.37"/>
        <n v="0.19899999999999998"/>
        <n v="0.28499999999999998"/>
        <n v="0.59099999999999997"/>
        <n v="0.39"/>
        <n v="0.129"/>
        <n v="0.41200000000000003"/>
        <n v="0.13300000000000001"/>
        <n v="0.48399999999999999"/>
        <n v="0.19"/>
        <n v="0.16899999999999998"/>
        <n v="5.5E-2"/>
        <n v="0.42100000000000004"/>
        <n v="0.23600000000000002"/>
        <n v="0.56600000000000006"/>
        <n v="0.47399999999999998"/>
        <n v="0.28800000000000003"/>
        <n v="0.34299999999999997"/>
        <n v="0.40200000000000002"/>
        <n v="0.47700000000000004"/>
        <n v="0.38299999999999995"/>
        <n v="0.28999999999999998"/>
        <n v="0.34600000000000003"/>
        <n v="0.24199999999999999"/>
        <n v="0.47499999999999998"/>
        <n v="0.121"/>
        <n v="0.38600000000000001"/>
        <n v="0.55399999999999994"/>
        <n v="0.41299999999999998"/>
        <n v="8.1000000000000003E-2"/>
        <n v="0.16500000000000001"/>
        <n v="0.56299999999999994"/>
        <n v="0.11199999999999999"/>
        <n v="0.18100000000000002"/>
        <n v="0.57899999999999996"/>
        <n v="0.10099999999999999"/>
        <n v="0.55500000000000005"/>
        <n v="0.49700000000000005"/>
        <n v="7.5999999999999998E-2"/>
        <n v="0.14699999999999999"/>
        <n v="0.47"/>
        <n v="0.54200000000000004"/>
        <n v="0.17499999999999999"/>
        <n v="0.26800000000000002"/>
        <n v="6.8000000000000005E-2"/>
        <n v="0.32100000000000001"/>
        <n v="0.40899999999999997"/>
        <n v="5.0999999999999997E-2"/>
        <n v="0.48700000000000004"/>
        <n v="0.59799999999999998"/>
        <n v="0.503"/>
        <n v="0.21600000000000003"/>
        <n v="2.8999999999999998E-2"/>
        <n v="3.1E-2"/>
        <n v="8.4000000000000005E-2"/>
        <n v="0.13500000000000001"/>
        <n v="0.41899999999999998"/>
        <n v="0.26200000000000001"/>
        <n v="0.20899999999999999"/>
        <n v="0.52600000000000002"/>
        <n v="8.3000000000000004E-2"/>
        <n v="0.56799999999999995"/>
        <n v="0.24600000000000002"/>
        <n v="0.15"/>
        <n v="9.8000000000000004E-2"/>
        <n v="0.21100000000000002"/>
        <n v="9.3000000000000013E-2"/>
        <n v="0.20100000000000001"/>
        <n v="0.23300000000000001"/>
        <n v="0.57999999999999996"/>
        <n v="0.22899999999999998"/>
        <n v="0.08"/>
        <n v="0.51600000000000001"/>
        <n v="0.19600000000000001"/>
        <n v="0.192"/>
        <n v="0.125"/>
        <n v="0.25700000000000001"/>
        <n v="0.27399999999999997"/>
        <n v="0.27699999999999997"/>
        <n v="0.309"/>
        <n v="3.7000000000000005E-2"/>
        <n v="0.23399999999999999"/>
        <n v="0.498"/>
        <n v="3.5000000000000003E-2"/>
        <n v="0.107"/>
        <n v="0.34200000000000003"/>
        <n v="0.316"/>
        <n v="0.41"/>
        <n v="0.23199999999999998"/>
        <n v="0.29899999999999999"/>
        <n v="0.01"/>
        <n v="0.35100000000000003"/>
        <n v="0.252"/>
        <n v="0.44"/>
        <n v="4.5999999999999999E-2"/>
        <n v="0.436"/>
        <n v="0.14800000000000002"/>
        <n v="1.8000000000000002E-2"/>
        <n v="0.25800000000000001"/>
        <n v="0.499"/>
        <n v="0.14899999999999999"/>
        <n v="0.30499999999999999"/>
        <n v="6.2E-2"/>
        <n v="1.3000000000000001E-2"/>
        <n v="0.434"/>
        <n v="0.20300000000000001"/>
        <n v="0.29799999999999999"/>
        <n v="0.435"/>
        <n v="2.5000000000000001E-2"/>
        <n v="0.46100000000000002"/>
        <n v="5.2999999999999999E-2"/>
        <n v="0.39899999999999997"/>
        <n v="0.379"/>
        <n v="0.47299999999999998"/>
        <n v="0.28199999999999997"/>
        <n v="0.52300000000000002"/>
        <n v="0.05"/>
        <n v="0.10300000000000001"/>
        <n v="8.900000000000001E-2"/>
        <n v="0.54700000000000004"/>
        <n v="0.12"/>
        <n v="0.34399999999999997"/>
        <n v="6.9999999999999993E-3"/>
        <n v="0.48899999999999999"/>
        <n v="0.38400000000000001"/>
        <n v="7.2999999999999995E-2"/>
        <n v="5.2000000000000005E-2"/>
        <n v="0.40299999999999997"/>
        <n v="0.43200000000000005"/>
        <n v="0.53600000000000003"/>
        <n v="3.6000000000000004E-2"/>
        <n v="7.8E-2"/>
        <n v="4.8000000000000001E-2"/>
        <n v="0.27100000000000002"/>
        <n v="0.24100000000000002"/>
        <n v="0.59699999999999998"/>
        <n v="0.34700000000000003"/>
        <n v="0.27500000000000002"/>
        <n v="0.39100000000000001"/>
        <n v="0.41499999999999998"/>
        <n v="0.17399999999999999"/>
        <n v="0.248"/>
        <n v="0.56000000000000005"/>
        <n v="0.14300000000000002"/>
        <n v="0.48100000000000004"/>
        <n v="0.29600000000000004"/>
        <n v="0.40100000000000002"/>
        <n v="0.28899999999999998"/>
        <n v="6.7000000000000004E-2"/>
        <n v="0.48299999999999998"/>
        <n v="0.43099999999999999"/>
        <n v="6.0999999999999999E-2"/>
        <n v="0.35"/>
        <n v="0.48499999999999999"/>
        <n v="9.6999999999999989E-2"/>
        <n v="2.7000000000000003E-2"/>
        <n v="0.58099999999999996"/>
        <n v="0.26"/>
        <n v="0.58700000000000008"/>
        <n v="0.59299999999999997"/>
        <n v="0.28100000000000003"/>
        <n v="0.29299999999999998"/>
        <n v="0.14400000000000002"/>
        <n v="0.32799999999999996"/>
        <n v="0.311"/>
        <n v="0.1"/>
        <n v="3.2000000000000001E-2"/>
        <n v="0.188"/>
        <n v="0.24"/>
        <n v="0.26500000000000001"/>
        <n v="0.55700000000000005"/>
        <n v="0.245"/>
        <n v="0.20800000000000002"/>
        <n v="0.222"/>
        <n v="0.307"/>
        <n v="0.38500000000000001"/>
        <n v="7.6999999999999999E-2"/>
        <n v="5.7999999999999996E-2"/>
        <n v="0.51"/>
        <n v="0.14499999999999999"/>
        <n v="0.26600000000000001"/>
        <n v="8.5999999999999993E-2"/>
        <n v="0.51800000000000002"/>
        <n v="0.46899999999999997"/>
        <n v="0.314"/>
      </sharedItems>
    </cacheField>
    <cacheField name="Current_Price" numFmtId="44">
      <sharedItems containsSemiMixedTypes="0" containsString="0" containsNumber="1" minValue="76.105000000000004" maxValue="4496"/>
    </cacheField>
    <cacheField name="Stock_Quantity" numFmtId="0">
      <sharedItems containsSemiMixedTypes="0" containsString="0" containsNumber="1" containsInteger="1" minValue="0" maxValue="50"/>
    </cacheField>
    <cacheField name="customer_rating" numFmtId="0">
      <sharedItems containsString="0" containsBlank="1" containsNumber="1" minValue="1" maxValue="5" count="42">
        <n v="3"/>
        <n v="2.5"/>
        <n v="2.6"/>
        <m/>
        <n v="2.9"/>
        <n v="1.6"/>
        <n v="4.4000000000000004"/>
        <n v="1.7"/>
        <n v="2"/>
        <n v="4.5999999999999996"/>
        <n v="3.5"/>
        <n v="4.0999999999999996"/>
        <n v="3.7"/>
        <n v="1.2"/>
        <n v="3.6"/>
        <n v="1.1000000000000001"/>
        <n v="3.8"/>
        <n v="1.5"/>
        <n v="4.9000000000000004"/>
        <n v="3.4"/>
        <n v="4.3"/>
        <n v="4"/>
        <n v="3.3"/>
        <n v="2.4"/>
        <n v="2.8"/>
        <n v="1.8"/>
        <n v="4.5"/>
        <n v="4.2"/>
        <n v="3.9"/>
        <n v="2.2999999999999998"/>
        <n v="1.4"/>
        <n v="1.9"/>
        <n v="3.1"/>
        <n v="1.3"/>
        <n v="1"/>
        <n v="4.8"/>
        <n v="4.7"/>
        <n v="3.2"/>
        <n v="2.1"/>
        <n v="5"/>
        <n v="2.7"/>
        <n v="2.2000000000000002"/>
      </sharedItems>
    </cacheField>
    <cacheField name="Return_Status" numFmtId="0">
      <sharedItems count="2">
        <b v="0"/>
        <b v="1"/>
      </sharedItems>
    </cacheField>
    <cacheField name="Return_Reason" numFmtId="0">
      <sharedItems containsBlank="1" count="8">
        <m/>
        <s v="Changed Mind"/>
        <s v="UNDISCLOSED"/>
        <s v="Size Issue"/>
        <s v="Quality Not As Expected"/>
        <s v="Color Mismatch"/>
        <s v="Damaged Product"/>
        <s v="Wrong Item Sent"/>
      </sharedItems>
    </cacheField>
    <cacheField name="Estimated_cost_price" numFmtId="44">
      <sharedItems containsSemiMixedTypes="0" containsString="0" containsNumber="1" minValue="31.964100000000002" maxValue="1888.32"/>
    </cacheField>
    <cacheField name="Gross_Profit" numFmtId="44">
      <sharedItems containsSemiMixedTypes="0" containsString="0" containsNumber="1" minValue="44.140900000000002" maxValue="2607.6800000000003"/>
    </cacheField>
    <cacheField name="Return_Shipping_Cost" numFmtId="44">
      <sharedItems containsSemiMixedTypes="0" containsString="0" containsNumber="1" containsInteger="1" minValue="0" maxValue="150"/>
    </cacheField>
    <cacheField name="Restocking_Fees" numFmtId="44">
      <sharedItems containsSemiMixedTypes="0" containsString="0" containsNumber="1" minValue="0" maxValue="449.6"/>
    </cacheField>
    <cacheField name="Returned Value" numFmtId="44">
      <sharedItems containsSemiMixedTypes="0" containsString="0" containsNumber="1" minValue="0" maxValue="4496"/>
    </cacheField>
    <cacheField name="NET PROFIT" numFmtId="2">
      <sharedItems containsSemiMixedTypes="0" containsString="0" containsNumber="1" minValue="-2487.9199999999996" maxValue="2607.6800000000003" count="2032">
        <n v="2097.2799999999997"/>
        <n v="817.22"/>
        <n v="154.28"/>
        <n v="-2374.5600000000004"/>
        <n v="645.54"/>
        <n v="-233.98000000000002"/>
        <n v="780.35230000000001"/>
        <n v="-1224.27216"/>
        <n v="1878.3926400000003"/>
        <n v="2247.9929999999999"/>
        <n v="641.48"/>
        <n v="-2323.08"/>
        <n v="-1558.1599999999999"/>
        <n v="1277.74"/>
        <n v="-777.12"/>
        <n v="-391.79999999999995"/>
        <n v="2245.1800000000003"/>
        <n v="842.74"/>
        <n v="-803.01080000000002"/>
        <n v="2128.02"/>
        <n v="1185.6058400000002"/>
        <n v="267.96000000000004"/>
        <n v="-281.56"/>
        <n v="1535.26"/>
        <n v="-499.50864000000001"/>
        <n v="-1176.1679999999997"/>
        <n v="1091.328"/>
        <n v="1571.22"/>
        <n v="-1545.68"/>
        <n v="2002.74"/>
        <n v="2570.5600000000004"/>
        <n v="429.27192000000002"/>
        <n v="1837.44"/>
        <n v="880.44"/>
        <n v="255.78"/>
        <n v="599.99317999999994"/>
        <n v="637.3098"/>
        <n v="1316.6"/>
        <n v="-1564.7733599999999"/>
        <n v="-1221.7199999999998"/>
        <n v="-816.64"/>
        <n v="995.86"/>
        <n v="1002.64716"/>
        <n v="-1727.1599999999999"/>
        <n v="556.22"/>
        <n v="1266.72"/>
        <n v="-1630.20496"/>
        <n v="49.465299999999999"/>
        <n v="1478.42"/>
        <n v="117.40302000000003"/>
        <n v="-1409.44"/>
        <n v="2414.54"/>
        <n v="-1140.4751999999999"/>
        <n v="-2175.9199999999996"/>
        <n v="44.140900000000002"/>
        <n v="-1969.8419199999998"/>
        <n v="875.80000000000007"/>
        <n v="865.60649999999998"/>
        <n v="875.22"/>
        <n v="-2252.9049599999998"/>
        <n v="2128.9596000000001"/>
        <n v="2202.84"/>
        <n v="146.84672"/>
        <n v="-2050.4648000000002"/>
        <n v="798.17280000000005"/>
        <n v="1238.4397800000002"/>
        <n v="-320.56"/>
        <n v="-786.4799999999999"/>
        <n v="-1491.6805999999999"/>
        <n v="679.13360000000011"/>
        <n v="1766.1000000000001"/>
        <n v="2025.3286800000001"/>
        <n v="1094.7059199999999"/>
        <n v="555.05999999999995"/>
        <n v="-1540.48"/>
        <n v="-1320.8319999999999"/>
        <n v="1711"/>
        <n v="-301.93100000000004"/>
        <n v="553.31999999999994"/>
        <n v="122.38000000000001"/>
        <n v="437.31304"/>
        <n v="513.3266799999999"/>
        <n v="1291.08"/>
        <n v="2385.54"/>
        <n v="1829.3490000000002"/>
        <n v="1394.4644199999998"/>
        <n v="1959.24"/>
        <n v="1562.52"/>
        <n v="-1184.1255600000002"/>
        <n v="978.57600000000002"/>
        <n v="2176.4059200000002"/>
        <n v="274.34000000000003"/>
        <n v="1009.9192"/>
        <n v="1339.22"/>
        <n v="656.79431999999997"/>
        <n v="104.4"/>
        <n v="-656.7192"/>
        <n v="1494.08"/>
        <n v="1130.2634"/>
        <n v="-796.3599999999999"/>
        <n v="-1039.1063999999999"/>
        <n v="-1210.2800000000002"/>
        <n v="-1691.8"/>
        <n v="-797.5154399999999"/>
        <n v="-2352.7199999999998"/>
        <n v="-1694.92"/>
        <n v="1536.42"/>
        <n v="1310.22"/>
        <n v="-2016.8000000000002"/>
        <n v="513.25650000000007"/>
        <n v="2468.48"/>
        <n v="108.46000000000001"/>
        <n v="-860.06"/>
        <n v="438.09836000000001"/>
        <n v="1120.8674000000001"/>
        <n v="882.76"/>
        <n v="144.42000000000002"/>
        <n v="1507.42"/>
        <n v="1338.6399999999999"/>
        <n v="-1942.44"/>
        <n v="-2250.2800000000002"/>
        <n v="-1320.52"/>
        <n v="1137.1387199999999"/>
        <n v="-2171.9284799999996"/>
        <n v="-236.7568"/>
        <n v="-690.13440000000014"/>
        <n v="2596.08"/>
        <n v="1614.4938000000002"/>
        <n v="-2129.12"/>
        <n v="-2486.3599999999997"/>
        <n v="1525.4"/>
        <n v="1268.46"/>
        <n v="600.88"/>
        <n v="-296.14600000000002"/>
        <n v="787.06000000000006"/>
        <n v="789.38"/>
        <n v="986"/>
        <n v="-2351.6799999999998"/>
        <n v="560.60015999999996"/>
        <n v="-1903.44"/>
        <n v="1224.96"/>
        <n v="2065.96"/>
        <n v="-1749.52"/>
        <n v="647.86"/>
        <n v="957.80794000000003"/>
        <n v="734.49343999999996"/>
        <n v="522.67743999999993"/>
        <n v="-753.28268000000003"/>
        <n v="-514.19759999999997"/>
        <n v="2099.6000000000004"/>
        <n v="918.72"/>
        <n v="2055.00612"/>
        <n v="1062.19112"/>
        <n v="2317.1000000000004"/>
        <n v="1346.18"/>
        <n v="843.32"/>
        <n v="-1348.3077600000001"/>
        <n v="2520.1000000000004"/>
        <n v="-2147.3200000000002"/>
        <n v="1206.98"/>
        <n v="-1614.84"/>
        <n v="103.70052"/>
        <n v="1494.2800999999999"/>
        <n v="96.86"/>
        <n v="2365.8200000000002"/>
        <n v="1873.98"/>
        <n v="149.06"/>
        <n v="127.46080000000002"/>
        <n v="1292.8756800000001"/>
        <n v="-2050.6"/>
        <n v="1156.8140600000002"/>
        <n v="-648.67999999999995"/>
        <n v="-325.24"/>
        <n v="2228.36"/>
        <n v="-1431.28"/>
        <n v="592.18000000000006"/>
        <n v="2143.6800000000003"/>
        <n v="-1995.7920000000004"/>
        <n v="327.60256000000004"/>
        <n v="154.67788000000002"/>
        <n v="2581"/>
        <n v="537.66000000000008"/>
        <n v="829.4"/>
        <n v="987.74"/>
        <n v="1166.96"/>
        <n v="-1412.2927199999999"/>
        <n v="-482.32003999999995"/>
        <n v="526.05999999999995"/>
        <n v="1409.98"/>
        <n v="1162.3200000000002"/>
        <n v="1147.1477800000002"/>
        <n v="-1050.6399999999999"/>
        <n v="1890.18056"/>
        <n v="1404.3018000000002"/>
        <n v="1871.0800000000002"/>
        <n v="1106.00548"/>
        <n v="798.67913999999996"/>
        <n v="1328.6953199999998"/>
        <n v="423.2405"/>
        <n v="392.87865999999997"/>
        <n v="949.35444000000007"/>
        <n v="-1746.4884"/>
        <n v="1481.2712800000002"/>
        <n v="1770.16"/>
        <n v="125.3032"/>
        <n v="240.12"/>
        <n v="375.88872000000003"/>
        <n v="800.31648000000007"/>
        <n v="-919.6"/>
        <n v="764.44"/>
        <n v="491.83651999999995"/>
        <n v="1027.76"/>
        <n v="557.38"/>
        <n v="-334.6"/>
        <n v="1715.06"/>
        <n v="987.16000000000008"/>
        <n v="2007.38"/>
        <n v="1034.1399999999999"/>
        <n v="-1228.48"/>
        <n v="1194.0854400000001"/>
        <n v="-2204.52"/>
        <n v="534.76"/>
        <n v="2081.62"/>
        <n v="2466.7399999999998"/>
        <n v="1456.96"/>
        <n v="909.95736000000022"/>
        <n v="1104.8721599999999"/>
        <n v="1221.8767199999998"/>
        <n v="2082.1999999999998"/>
        <n v="135.72"/>
        <n v="115.75871999999998"/>
        <n v="1021.2315200000002"/>
        <n v="548.68000000000006"/>
        <n v="-965.3599999999999"/>
        <n v="1395.48"/>
        <n v="146.39663999999999"/>
        <n v="273.18"/>
        <n v="2108.3000000000002"/>
        <n v="-2305.9199999999996"/>
        <n v="1319.5"/>
        <n v="-980.65839999999992"/>
        <n v="143.26"/>
        <n v="-1329.8384000000001"/>
        <n v="703.39499999999998"/>
        <n v="-908.76112000000001"/>
        <n v="642.46367999999995"/>
        <n v="1307.9000000000001"/>
        <n v="-2070.88"/>
        <n v="1918.8696799999998"/>
        <n v="1037.8751999999999"/>
        <n v="-1945.56"/>
        <n v="-814.04"/>
        <n v="-2045.9199999999996"/>
        <n v="-1318.62096"/>
        <n v="1709.26"/>
        <n v="186.76"/>
        <n v="2083.69524"/>
        <n v="2252.1400000000003"/>
        <n v="84.033879999999996"/>
        <n v="1827"/>
        <n v="1172.76"/>
        <n v="1754.2378400000002"/>
        <n v="1063.72"/>
        <n v="1621.1000000000001"/>
        <n v="-262.32"/>
        <n v="1235.98"/>
        <n v="-718.3599999999999"/>
        <n v="218.94072"/>
        <n v="1565.42"/>
        <n v="-1175.44"/>
        <n v="1233.6600000000001"/>
        <n v="1334.58"/>
        <n v="-940.92"/>
        <n v="1786.4"/>
        <n v="-1000.4080000000001"/>
        <n v="-2042.2800000000002"/>
        <n v="1374.02"/>
        <n v="1642.2085200000001"/>
        <n v="-389.72"/>
        <n v="88.740000000000009"/>
        <n v="1371.7"/>
        <n v="-1486.1348"/>
        <n v="-634.65456000000006"/>
        <n v="2017.24"/>
        <n v="136.51227999999998"/>
        <n v="-1749"/>
        <n v="1681.42"/>
        <n v="2291.58"/>
        <n v="81.66516"/>
        <n v="712.82"/>
        <n v="1973.74"/>
        <n v="-1465.0800000000002"/>
        <n v="2584.48"/>
        <n v="-1578.3776"/>
        <n v="2515.46"/>
        <n v="-376.2"/>
        <n v="574.78464000000008"/>
        <n v="-1253.44"/>
        <n v="2070.4538400000001"/>
        <n v="765.02"/>
        <n v="2285.1999999999998"/>
        <n v="1293.2387599999997"/>
        <n v="723.11267999999995"/>
        <n v="339.75935999999996"/>
        <n v="-2258.6"/>
        <n v="103.82000000000001"/>
        <n v="1209.3000000000002"/>
        <n v="631.04"/>
        <n v="1778.8600000000001"/>
        <n v="-1474.4493600000001"/>
        <n v="1407.66"/>
        <n v="-1337.6799999999998"/>
        <n v="-435.76080000000002"/>
        <n v="2267.2200000000003"/>
        <n v="1367.5385000000001"/>
        <n v="462.48097999999999"/>
        <n v="1674.46"/>
        <n v="-387.12"/>
        <n v="2066.54"/>
        <n v="1257.3854799999999"/>
        <n v="1356.5179200000002"/>
        <n v="1579.3400000000001"/>
        <n v="-1082.6803199999999"/>
        <n v="936.41928000000007"/>
        <n v="1349.3769600000001"/>
        <n v="860.4618999999999"/>
        <n v="150.10631999999998"/>
        <n v="1733.7360000000001"/>
        <n v="96.28"/>
        <n v="2171.52"/>
        <n v="519.80122000000006"/>
        <n v="1246.42"/>
        <n v="236.06"/>
        <n v="1451.74"/>
        <n v="-2435.9199999999996"/>
        <n v="-1280.7368799999999"/>
        <n v="1492.8324200000002"/>
        <n v="1347.3400000000001"/>
        <n v="1213.3994399999999"/>
        <n v="961.65624000000003"/>
        <n v="1521.92"/>
        <n v="2133.8200000000002"/>
        <n v="-978.58879999999999"/>
        <n v="93.114360000000005"/>
        <n v="926.26"/>
        <n v="1338.53676"/>
        <n v="993.54000000000008"/>
        <n v="195.05399999999997"/>
        <n v="-708.75455999999986"/>
        <n v="232.74240000000003"/>
        <n v="1315.44"/>
        <n v="1051.54"/>
        <n v="-299.24"/>
        <n v="1071.8400000000001"/>
        <n v="1851.94"/>
        <n v="156.02000000000001"/>
        <n v="151.91708"/>
        <n v="563.38590000000011"/>
        <n v="551"/>
        <n v="-883.72"/>
        <n v="-1279.44"/>
        <n v="1128.1359600000001"/>
        <n v="2077.56"/>
        <n v="1143.0245600000003"/>
        <n v="223.88"/>
        <n v="-1828.56"/>
        <n v="895.52"/>
        <n v="956.51279999999997"/>
        <n v="170.82624000000001"/>
        <n v="1800.4476000000002"/>
        <n v="2312.46"/>
        <n v="981.55836000000022"/>
        <n v="596.81999999999994"/>
        <n v="805.72149999999999"/>
        <n v="1968.52"/>
        <n v="201.26000000000002"/>
        <n v="817.33600000000001"/>
        <n v="-277.92"/>
        <n v="246.5"/>
        <n v="672.94731999999999"/>
        <n v="2072.4931200000001"/>
        <n v="165.88"/>
        <n v="1820.6200000000001"/>
        <n v="601.59456"/>
        <n v="711.08"/>
        <n v="148.48000000000002"/>
        <n v="90.48"/>
        <n v="-1385.2423199999998"/>
        <n v="1581.0800000000002"/>
        <n v="807.94"/>
        <n v="738.49428000000012"/>
        <n v="1131.1769000000002"/>
        <n v="547.79376000000002"/>
        <n v="-531.74448000000007"/>
        <n v="564.32375999999999"/>
        <n v="-1137.48"/>
        <n v="51.332900000000002"/>
        <n v="-1084.6022400000002"/>
        <n v="885.87576000000001"/>
        <n v="180.2988"/>
        <n v="-302.88"/>
        <n v="2536.92"/>
        <n v="-530.07007999999996"/>
        <n v="1791.6200000000001"/>
        <n v="2065.1920799999998"/>
        <n v="2014.3400000000001"/>
        <n v="273.76"/>
        <n v="-737.08"/>
        <n v="-1864.9599999999998"/>
        <n v="2271.86"/>
        <n v="963.70654000000013"/>
        <n v="1249.3200000000002"/>
        <n v="670.67720000000008"/>
        <n v="-2238.84"/>
        <n v="2314.7799999999997"/>
        <n v="1624.1537000000001"/>
        <n v="-706.85864000000004"/>
        <n v="736.6"/>
        <n v="384.53999999999996"/>
        <n v="1113.1058399999999"/>
        <n v="2200.52"/>
        <n v="684.98"/>
        <n v="-1591.0968"/>
        <n v="1548.02"/>
        <n v="1267.3000000000002"/>
        <n v="1928.1972400000002"/>
        <n v="-328.88"/>
        <n v="2015.5"/>
        <n v="-1493.1599999999999"/>
        <n v="-2405.7600000000002"/>
        <n v="-2307.5309599999996"/>
        <n v="-1111.92668"/>
        <n v="2540.4"/>
        <n v="2310.7200000000003"/>
        <n v="1212.7800000000002"/>
        <n v="2016.2917"/>
        <n v="272.02"/>
        <n v="215.18"/>
        <n v="-1967.92"/>
        <n v="-267.52000000000004"/>
        <n v="526.64"/>
        <n v="1458.1200000000001"/>
        <n v="2246.92"/>
        <n v="-278.15295999999995"/>
        <n v="1230.18"/>
        <n v="139.78"/>
        <n v="-359.85328000000004"/>
        <n v="1580.5"/>
        <n v="-238.92"/>
        <n v="295.97399999999999"/>
        <n v="1178.56"/>
        <n v="1113.2085"/>
        <n v="1619.0241800000001"/>
        <n v="723.26"/>
        <n v="-706.40207999999996"/>
        <n v="558.86480000000006"/>
        <n v="189.66"/>
        <n v="1037.6432"/>
        <n v="1574.1200000000001"/>
        <n v="-2332.6324"/>
        <n v="858.4"/>
        <n v="1280.06"/>
        <n v="593.61144000000002"/>
        <n v="116.12412"/>
        <n v="1876.88"/>
        <n v="1346.76"/>
        <n v="594.52958000000012"/>
        <n v="2096.6999999999998"/>
        <n v="-1957.55016"/>
        <n v="2299.6999999999998"/>
        <n v="-1186.8259199999998"/>
        <n v="-806.76"/>
        <n v="203.58"/>
        <n v="1036.9762000000001"/>
        <n v="1955.76"/>
        <n v="-2147.84"/>
        <n v="757.59599999999989"/>
        <n v="2223.7200000000003"/>
        <n v="1950.54"/>
        <n v="757.48"/>
        <n v="160.82936000000001"/>
        <n v="2361.1800000000003"/>
        <n v="-229.04624000000001"/>
        <n v="2391.2240000000002"/>
        <n v="252.3"/>
        <n v="1080.8868400000001"/>
        <n v="-1221.694"/>
        <n v="1665.18"/>
        <n v="2539.8200000000002"/>
        <n v="-2209.7199999999998"/>
        <n v="-743.93880000000013"/>
        <n v="-2071.3999999999996"/>
        <n v="979.33464000000015"/>
        <n v="-1092.1427599999997"/>
        <n v="-2120.8000000000002"/>
        <n v="-1411.52"/>
        <n v="2062.48"/>
        <n v="1194.22"/>
        <n v="-1622.3435999999999"/>
        <n v="1358.9921999999999"/>
        <n v="223.3"/>
        <n v="-1409.9599999999998"/>
        <n v="167.62"/>
        <n v="-1223.2800000000002"/>
        <n v="1398.38"/>
        <n v="1379.31772"/>
        <n v="237.8"/>
        <n v="1496.98"/>
        <n v="-219.89424"/>
        <n v="1847.3"/>
        <n v="1174.5"/>
        <n v="-673.84799999999996"/>
        <n v="1157.8099200000001"/>
        <n v="182.12"/>
        <n v="1735.94"/>
        <n v="226.20000000000002"/>
        <n v="1700.56"/>
        <n v="1245.26"/>
        <n v="211.12"/>
        <n v="-369.30583999999999"/>
        <n v="-781.28"/>
        <n v="1073.08584"/>
        <n v="2307.8200000000002"/>
        <n v="81.719680000000011"/>
        <n v="99.49494"/>
        <n v="2154.12"/>
        <n v="199.52"/>
        <n v="-2274.1999999999998"/>
        <n v="870.71165999999994"/>
        <n v="2021.3232"/>
        <n v="1221.48"/>
        <n v="-1884.7199999999998"/>
        <n v="1103.1913200000001"/>
        <n v="-2370.9199999999996"/>
        <n v="606.1"/>
        <n v="1154.2"/>
        <n v="2098.44"/>
        <n v="-1833.24"/>
        <n v="1830.48"/>
        <n v="2068.86"/>
        <n v="141.90395999999998"/>
        <n v="1563.68"/>
        <n v="-246.2"/>
        <n v="1695.3400000000001"/>
        <n v="1023.24992"/>
        <n v="1244.0999999999999"/>
        <n v="-1279.0890000000004"/>
        <n v="1155.3600000000001"/>
        <n v="730.49260000000004"/>
        <n v="480.25798000000003"/>
        <n v="-850.44"/>
        <n v="1054.75146"/>
        <n v="1383.3000000000002"/>
        <n v="-1078.7199999999998"/>
        <n v="-923.80211999999995"/>
        <n v="1695.92"/>
        <n v="2402.94"/>
        <n v="1326.46"/>
        <n v="1368.8000000000002"/>
        <n v="1913.42"/>
        <n v="-1748.48"/>
        <n v="750.42371999999989"/>
        <n v="137.21466000000001"/>
        <n v="-541.82000000000005"/>
        <n v="115.93098000000001"/>
        <n v="-691.32"/>
        <n v="1616.2314800000001"/>
        <n v="854.92000000000007"/>
        <n v="2260.84"/>
        <n v="-354.36"/>
        <n v="1000.0603600000001"/>
        <n v="2524.7399999999998"/>
        <n v="209.38"/>
        <n v="560.28"/>
        <n v="2361.7600000000002"/>
        <n v="1328.2"/>
        <n v="778.94"/>
        <n v="-789.15487999999993"/>
        <n v="-639.37616000000003"/>
        <n v="-1871.7199999999998"/>
        <n v="-517.23179999999991"/>
        <n v="91.451499999999996"/>
        <n v="995.01204000000007"/>
        <n v="165.3"/>
        <n v="795.11039999999991"/>
        <n v="-1485.25548"/>
        <n v="197.78"/>
        <n v="806.80319999999995"/>
        <n v="884.23551999999995"/>
        <n v="1696.5"/>
        <n v="-2028.76"/>
        <n v="1858.32"/>
        <n v="-1317.92"/>
        <n v="-1879"/>
        <n v="1940.1000000000001"/>
        <n v="1439.56"/>
        <n v="270.86"/>
        <n v="-1309.5999999999999"/>
        <n v="1486.54"/>
        <n v="205.32"/>
        <n v="-305.86688000000004"/>
        <n v="151.38"/>
        <n v="126.24453999999999"/>
        <n v="1559.04"/>
        <n v="1554.98"/>
        <n v="1815.7375600000003"/>
        <n v="249.4"/>
        <n v="286.52"/>
        <n v="-346.56"/>
        <n v="1276"/>
        <n v="226.78"/>
        <n v="1551.5"/>
        <n v="1721.44"/>
        <n v="2434.2600000000002"/>
        <n v="948.88"/>
        <n v="171.68"/>
        <n v="-330.44"/>
        <n v="143.84"/>
        <n v="-1312.1999999999998"/>
        <n v="1254.54"/>
        <n v="-745.92"/>
        <n v="2109.0400799999998"/>
        <n v="-1288.8"/>
        <n v="1481.9"/>
        <n v="954.1"/>
        <n v="-681.80399999999997"/>
        <n v="1120.50432"/>
        <n v="126.99448"/>
        <n v="1759.72"/>
        <n v="-805.42203999999992"/>
        <n v="-1736.52"/>
        <n v="-1197.37464"/>
        <n v="-1357.9912000000002"/>
        <n v="1106.06"/>
        <n v="659.65256000000011"/>
        <n v="1445.3600000000001"/>
        <n v="1896.02"/>
        <n v="1456.0041600000002"/>
        <n v="-1272.1600000000001"/>
        <n v="-807.68039999999996"/>
        <n v="1288.76"/>
        <n v="845.64"/>
        <n v="-2458.8000000000002"/>
        <n v="2308.4"/>
        <n v="108.85440000000001"/>
        <n v="-2119.7600000000002"/>
        <n v="-1550.36"/>
        <n v="232"/>
        <n v="883.27736000000004"/>
        <n v="1378.08"/>
        <n v="109.62"/>
        <n v="2605.36"/>
        <n v="50.265120000000003"/>
        <n v="629.71237999999994"/>
        <n v="256.36"/>
        <n v="-926.96059999999989"/>
        <n v="1363.8004000000001"/>
        <n v="241.28"/>
        <n v="549.84"/>
        <n v="979.23604"/>
        <n v="589.20576000000005"/>
        <n v="2400.62"/>
        <n v="809.92475999999999"/>
        <n v="-1304.6698799999999"/>
        <n v="-1015.3299199999999"/>
        <n v="1412.88"/>
        <n v="127.02000000000001"/>
        <n v="834.04000000000008"/>
        <n v="2521.84"/>
        <n v="113.19048000000001"/>
        <n v="115.30748000000001"/>
        <n v="232.58"/>
        <n v="2063.06"/>
        <n v="-1708.9599999999998"/>
        <n v="-1780.7199999999998"/>
        <n v="1732.46"/>
        <n v="1403.02"/>
        <n v="1766.5031000000001"/>
        <n v="-2126.9880000000003"/>
        <n v="1309.5936000000002"/>
        <n v="823.22879999999998"/>
        <n v="335.12864000000002"/>
        <n v="1440.72"/>
        <n v="310.97976000000006"/>
        <n v="1539.32"/>
        <n v="681.5"/>
        <n v="1911.1000000000001"/>
        <n v="1639.7760000000003"/>
        <n v="622.34"/>
        <n v="266.8"/>
        <n v="-1063.1199999999999"/>
        <n v="-1652.28"/>
        <n v="-303.92"/>
        <n v="-299.62583999999998"/>
        <n v="-1056.3599999999999"/>
        <n v="-1531.12"/>
        <n v="1278.9000000000001"/>
        <n v="-377.96591999999998"/>
        <n v="922.46216000000004"/>
        <n v="750.30714"/>
        <n v="111.15468000000001"/>
        <n v="-2049.04"/>
        <n v="658.7048400000001"/>
        <n v="1175.6600000000001"/>
        <n v="-2109.3599999999997"/>
        <n v="808.20680000000004"/>
        <n v="-1978.3200000000002"/>
        <n v="1467.7973"/>
        <n v="1470.3069599999999"/>
        <n v="-835.88"/>
        <n v="655.98"/>
        <n v="1020.9467400000001"/>
        <n v="-893.07999999999993"/>
        <n v="1412.3000000000002"/>
        <n v="1793.94"/>
        <n v="-1096.4988000000001"/>
        <n v="-1437.52"/>
        <n v="-344.47999999999996"/>
        <n v="1519.02"/>
        <n v="1215.68"/>
        <n v="1335.16"/>
        <n v="1367.6399999999999"/>
        <n v="2052.5701199999999"/>
        <n v="128.76"/>
        <n v="253.46"/>
        <n v="-1457.8"/>
        <n v="1073.6669999999999"/>
        <n v="1408.24"/>
        <n v="1026.02"/>
        <n v="1372.2800000000002"/>
        <n v="1024.1384800000001"/>
        <n v="-548.7983999999999"/>
        <n v="668.96039999999994"/>
        <n v="-727.2"/>
        <n v="197.20000000000002"/>
        <n v="1645.2744000000002"/>
        <n v="147.9"/>
        <n v="-1381.1395199999997"/>
        <n v="222.14000000000001"/>
        <n v="1649.52"/>
        <n v="2176.16"/>
        <n v="256.94"/>
        <n v="1874.56"/>
        <n v="-402.2"/>
        <n v="2117.58"/>
        <n v="132.82"/>
        <n v="-1269.04"/>
        <n v="160.07999999999998"/>
        <n v="1393.74"/>
        <n v="1051.2616"/>
        <n v="118.88840000000002"/>
        <n v="-1890.9215199999999"/>
        <n v="1049.3940000000002"/>
        <n v="2262"/>
        <n v="1474.94"/>
        <n v="1632.7"/>
        <n v="899.53824000000009"/>
        <n v="820.12"/>
        <n v="625.50911999999994"/>
        <n v="1487.1200000000001"/>
        <n v="1290.5"/>
        <n v="-1432.3449599999999"/>
        <n v="904.77679999999987"/>
        <n v="241.86"/>
        <n v="388.77051999999998"/>
        <n v="1717.96"/>
        <n v="-938.41879999999992"/>
        <n v="945.0317"/>
        <n v="-1515.52"/>
        <n v="2437.7399999999998"/>
        <n v="-1203.73008"/>
        <n v="-922.05024000000014"/>
        <n v="49.306960000000004"/>
        <n v="2009.7753999999998"/>
        <n v="2333.34"/>
        <n v="949.74767999999995"/>
        <n v="838.68000000000006"/>
        <n v="-839.61359999999991"/>
        <n v="-1494.7199999999998"/>
        <n v="1805.1572000000001"/>
        <n v="639.8125"/>
        <n v="1347.8562000000002"/>
        <n v="1008.64842"/>
        <n v="2402.36"/>
        <n v="82.737000000000009"/>
        <n v="2197.62"/>
        <n v="1776.54"/>
        <n v="1436.9929200000001"/>
        <n v="-836.81600000000014"/>
        <n v="823.91552000000013"/>
        <n v="718.7406400000001"/>
        <n v="1211.7058399999999"/>
        <n v="-275.83999999999997"/>
        <n v="-1588.84"/>
        <n v="-327.84"/>
        <n v="878.6976800000001"/>
        <n v="688.37473999999997"/>
        <n v="1055.0890200000001"/>
        <n v="2575.7799999999997"/>
        <n v="-1705.84"/>
        <n v="616.54"/>
        <n v="-1380.3199999999997"/>
        <n v="1196.54"/>
        <n v="1458.07302"/>
        <n v="-2315.2800000000002"/>
        <n v="612.30600000000004"/>
        <n v="-1290.3599999999999"/>
        <n v="1727.24"/>
        <n v="-1037.6930400000001"/>
        <n v="-1276.9112399999999"/>
        <n v="2064.8058000000001"/>
        <n v="245.34"/>
        <n v="-888.4"/>
        <n v="1560.78"/>
        <n v="-1934.12"/>
        <n v="93.728580000000008"/>
        <n v="-1846.76"/>
        <n v="816.64"/>
        <n v="1679.68"/>
        <n v="2164.56"/>
        <n v="1566.5800000000002"/>
        <n v="2109.46"/>
        <n v="1945.9"/>
        <n v="1435.5"/>
        <n v="872.38959999999997"/>
        <n v="968.6"/>
        <n v="1813.66"/>
        <n v="87.299279999999996"/>
        <n v="-1191.56"/>
        <n v="-1413.8496"/>
        <n v="-1073.7165600000001"/>
        <n v="-1094.4458399999999"/>
        <n v="457.36944"/>
        <n v="1133.7758799999999"/>
        <n v="-1687.1387199999999"/>
        <n v="2248.66"/>
        <n v="1349.1148000000001"/>
        <n v="2250.4"/>
        <n v="1021.15728"/>
        <n v="100.83242"/>
        <n v="-1398"/>
        <n v="1477.8400000000001"/>
        <n v="1601.96"/>
        <n v="439.12960000000004"/>
        <n v="702.65550000000007"/>
        <n v="113.10000000000001"/>
        <n v="1149.5292599999998"/>
        <n v="-912.50563999999997"/>
        <n v="1083.0131200000001"/>
        <n v="2415.12"/>
        <n v="-223.55399999999997"/>
        <n v="1137.96"/>
        <n v="1037.04"/>
        <n v="150.80000000000001"/>
        <n v="1623.0876600000001"/>
        <n v="474.35705999999993"/>
        <n v="2073.3213599999999"/>
        <n v="-287.27999999999997"/>
        <n v="167.05101999999999"/>
        <n v="865.85879999999997"/>
        <n v="1468.56"/>
        <n v="1991.72"/>
        <n v="1222.6399999999999"/>
        <n v="1994.04"/>
        <n v="110.2"/>
        <n v="1188.8027999999999"/>
        <n v="102.93375999999999"/>
        <n v="198.36"/>
        <n v="-2298.12"/>
        <n v="1564.8400000000001"/>
        <n v="-2084.9199999999996"/>
        <n v="64.797600000000017"/>
        <n v="-1931"/>
        <n v="983.20092000000011"/>
        <n v="284.55960000000005"/>
        <n v="1010.36"/>
        <n v="278.39999999999998"/>
        <n v="1448.26"/>
        <n v="1992.3"/>
        <n v="2558.96"/>
        <n v="223.04712000000001"/>
        <n v="2079.3000000000002"/>
        <n v="224.59920000000002"/>
        <n v="-2293.4399999999996"/>
        <n v="765.89348000000018"/>
        <n v="-1182.9898800000001"/>
        <n v="-704.37408000000005"/>
        <n v="1806.6941999999999"/>
        <n v="2334.5"/>
        <n v="497.41496000000001"/>
        <n v="1046.9301599999999"/>
        <n v="1392.9048"/>
        <n v="-710.56"/>
        <n v="1193.5060200000003"/>
        <n v="2276.5"/>
        <n v="1073.2436000000002"/>
        <n v="993.81840000000022"/>
        <n v="-251.44836000000001"/>
        <n v="245.92000000000002"/>
        <n v="2410.48"/>
        <n v="1231.92"/>
        <n v="551.58000000000004"/>
        <n v="-298.13240000000002"/>
        <n v="-1697.6276399999999"/>
        <n v="-336.15999999999997"/>
        <n v="945.98"/>
        <n v="-210.84623999999999"/>
        <n v="1363.58"/>
        <n v="193.72"/>
        <n v="-1572.8510399999998"/>
        <n v="-2400.5600000000004"/>
        <n v="2377.42"/>
        <n v="2063.6400000000003"/>
        <n v="143.11152000000004"/>
        <n v="609"/>
        <n v="575.51544000000001"/>
        <n v="818.55051999999989"/>
        <n v="1740.5800000000002"/>
        <n v="2001.5800000000002"/>
        <n v="1581.66"/>
        <n v="210.00060000000005"/>
        <n v="155.44"/>
        <n v="109.04"/>
        <n v="1886.9516999999998"/>
        <n v="-1175.8247999999999"/>
        <n v="2445.86"/>
        <n v="-1796.3200000000002"/>
        <n v="1219.4215800000002"/>
        <n v="1331.1"/>
        <n v="1693.6000000000001"/>
        <n v="-217.78512000000001"/>
        <n v="-881.69460000000004"/>
        <n v="2550.84"/>
        <n v="1511.48"/>
        <n v="1266.0414000000001"/>
        <n v="780.68000000000006"/>
        <n v="-1623.51152"/>
        <n v="837.72415999999998"/>
        <n v="1354.8457800000001"/>
        <n v="1079.9832000000001"/>
        <n v="740.43727999999999"/>
        <n v="1947.4601999999998"/>
        <n v="685.61220000000003"/>
        <n v="1096.44128"/>
        <n v="1728.98"/>
        <n v="193.14000000000001"/>
        <n v="1492.92"/>
        <n v="1550.9142000000002"/>
        <n v="-1372"/>
        <n v="2034.64"/>
        <n v="-1270.2609600000001"/>
        <n v="1220.7074400000001"/>
        <n v="137.34863999999999"/>
        <n v="-2287.7199999999998"/>
        <n v="792.77879999999982"/>
        <n v="1855.42"/>
        <n v="-1202.48"/>
        <n v="756.66510000000005"/>
        <n v="2565.34"/>
        <n v="2210.38"/>
        <n v="-2088.04"/>
        <n v="2507.92"/>
        <n v="196.62"/>
        <n v="1481.9266800000003"/>
        <n v="1678.52"/>
        <n v="1929.0800000000002"/>
        <n v="1420.42"/>
        <n v="2074.9297000000001"/>
        <n v="1098.1952000000001"/>
        <n v="1114.0889400000001"/>
        <n v="565.72910000000002"/>
        <n v="-933.64"/>
        <n v="82.3078"/>
        <n v="1685.9091999999998"/>
        <n v="-263.36"/>
        <n v="113.03735999999998"/>
        <n v="153.43145999999999"/>
        <n v="931.59716000000003"/>
        <n v="1169.8600000000001"/>
        <n v="-384.58968000000004"/>
        <n v="2163.98"/>
        <n v="2607.6800000000003"/>
        <n v="1400.5167199999999"/>
        <n v="1104.7260000000001"/>
        <n v="1467.98"/>
        <n v="503.70215999999999"/>
        <n v="726.74"/>
        <n v="-2199.84"/>
        <n v="931.48"/>
        <n v="-300.8"/>
        <n v="965.12"/>
        <n v="923.36"/>
        <n v="827.97900000000004"/>
        <n v="-1451.6515200000001"/>
        <n v="-1829.08"/>
        <n v="-1866.52"/>
        <n v="-502.75032000000004"/>
        <n v="547.45967999999993"/>
        <n v="1267.8800000000001"/>
        <n v="1382.1399999999999"/>
        <n v="329.77872000000002"/>
        <n v="1409.1598800000002"/>
        <n v="908.86"/>
        <n v="937.86"/>
        <n v="220.67028000000002"/>
        <n v="-854.07999999999993"/>
        <n v="1751.2287999999999"/>
        <n v="-668.44"/>
        <n v="170.00495999999998"/>
        <n v="-1659.04"/>
        <n v="-398.56"/>
        <n v="-708.32867999999996"/>
        <n v="-832.48127999999997"/>
        <n v="-2366.7600000000002"/>
        <n v="543.46"/>
        <n v="-695.4799999999999"/>
        <n v="1632.1200000000001"/>
        <n v="1106.6399999999999"/>
        <n v="-1650.7199999999998"/>
        <n v="-2308"/>
        <n v="-1539.64644"/>
        <n v="1746.96"/>
        <n v="-2469.7199999999998"/>
        <n v="-1762"/>
        <n v="86.043000000000006"/>
        <n v="162.4"/>
        <n v="-525.28919999999994"/>
        <n v="1639.66"/>
        <n v="706.16856000000007"/>
        <n v="-1260.1641199999999"/>
        <n v="-2019.4525199999998"/>
        <n v="930.96669999999995"/>
        <n v="432.94215999999994"/>
        <n v="468.33318000000008"/>
        <n v="2018.98"/>
        <n v="-867.6"/>
        <n v="610.16000000000008"/>
        <n v="1354.88"/>
        <n v="1444.8403200000002"/>
        <n v="-1359"/>
        <n v="-1897.1828399999999"/>
        <n v="179.8"/>
        <n v="615.82428000000004"/>
        <n v="1170.5792000000001"/>
        <n v="-1243.04"/>
        <n v="726.79103999999995"/>
        <n v="-1417.76"/>
        <n v="-915.99536000000012"/>
        <n v="1043.77728"/>
        <n v="687.62364000000014"/>
        <n v="2391.34"/>
        <n v="2340.3000000000002"/>
        <n v="509.13096000000002"/>
        <n v="1195.96"/>
        <n v="2239.96"/>
        <n v="-350.72"/>
        <n v="-338.24"/>
        <n v="-901.15976000000012"/>
        <n v="1569.48"/>
        <n v="1321.3374400000002"/>
        <n v="2039.8454999999999"/>
        <n v="1155.7961600000001"/>
        <n v="1217.7685799999999"/>
        <n v="136.14224000000002"/>
        <n v="1223.8000000000002"/>
        <n v="1740"/>
        <n v="664.43640000000005"/>
        <n v="-233.92228"/>
        <n v="-1204.04"/>
        <n v="-2173.3200000000002"/>
        <n v="1171.5999999999999"/>
        <n v="591.02"/>
        <n v="1179.1399999999999"/>
        <n v="1800.9"/>
        <n v="560.54680000000008"/>
        <n v="2301.44"/>
        <n v="2470.2200000000003"/>
        <n v="1234.9650000000001"/>
        <n v="721.32743999999991"/>
        <n v="1049.22"/>
        <n v="-1811.3999999999999"/>
        <n v="-1166.2370400000002"/>
        <n v="2547.94"/>
        <n v="1255.1803199999999"/>
        <n v="693.51702"/>
        <n v="2194.7200000000003"/>
        <n v="1427.38"/>
        <n v="-1911.24"/>
        <n v="2509.66"/>
        <n v="754.80155999999988"/>
        <n v="1903.9027799999999"/>
        <n v="-874.52015999999981"/>
        <n v="948.49488000000008"/>
        <n v="203.88102000000001"/>
        <n v="-859.41780000000006"/>
        <n v="-1923.7199999999998"/>
        <n v="1406.5"/>
        <n v="-1348.6"/>
        <n v="-2200.88"/>
        <n v="562.28448000000003"/>
        <n v="-2126"/>
        <n v="-238.87423999999999"/>
        <n v="-881.37792000000013"/>
        <n v="1840.3400000000001"/>
        <n v="265.06"/>
        <n v="694.48504000000003"/>
        <n v="1019.64"/>
        <n v="183.75850000000003"/>
        <n v="2115.84"/>
        <n v="987.06952000000001"/>
        <n v="-909.19999999999993"/>
        <n v="1247.4436999999998"/>
        <n v="889.67765999999995"/>
        <n v="916.4"/>
        <n v="466.28288000000009"/>
        <n v="2332.1800000000003"/>
        <n v="1508.58"/>
        <n v="1840.92"/>
        <n v="1539.6494400000001"/>
        <n v="-650.76"/>
        <n v="128.93690000000001"/>
        <n v="994.12"/>
        <n v="673.28139999999996"/>
        <n v="99.18"/>
        <n v="1734.78"/>
        <n v="652.99299999999994"/>
        <n v="1599.06"/>
        <n v="-735.46436000000006"/>
        <n v="-1234.8697599999996"/>
        <n v="972.18730000000005"/>
        <n v="1094.4425999999999"/>
        <n v="-1355.2929199999999"/>
        <n v="1934.3"/>
        <n v="724.12013999999999"/>
        <n v="1170.44"/>
        <n v="2019.56"/>
        <n v="1260.92"/>
        <n v="1271.3600000000001"/>
        <n v="-1403.1999999999998"/>
        <n v="2349"/>
        <n v="-2072.96"/>
        <n v="138.04000000000002"/>
        <n v="2601.3000000000002"/>
        <n v="628.71942000000001"/>
        <n v="1485.96"/>
        <n v="113.00256"/>
        <n v="-2180.6"/>
        <n v="-345.98591999999996"/>
        <n v="1176.1512599999999"/>
        <n v="460.15634000000006"/>
        <n v="-1609.2234800000001"/>
        <n v="-846.00024000000019"/>
        <n v="870.12180000000001"/>
        <n v="2349.7574800000002"/>
        <n v="2592.02"/>
        <n v="1488.8600000000001"/>
        <n v="182.70000000000002"/>
        <n v="-709.26415999999995"/>
        <n v="990.06000000000006"/>
        <n v="1841.41184"/>
        <n v="-342.51907999999997"/>
        <n v="1948.8"/>
        <n v="767.21472000000006"/>
        <n v="-2017.84"/>
        <n v="950.04000000000008"/>
        <n v="-242.1388"/>
        <n v="91.185279999999992"/>
        <n v="2065.38"/>
        <n v="-2186.84"/>
        <n v="1938.94"/>
        <n v="1517.8600000000001"/>
        <n v="1050.4032"/>
        <n v="592.76"/>
        <n v="1188.1590000000001"/>
        <n v="-1824.0037599999998"/>
        <n v="-935.72"/>
        <n v="178.56286000000003"/>
        <n v="403.04895999999997"/>
        <n v="2238.2200000000003"/>
        <n v="242.44"/>
        <n v="1988.0462800000003"/>
        <n v="2254.46"/>
        <n v="-310.21823999999998"/>
        <n v="-1201.44"/>
        <n v="1334.6669999999999"/>
        <n v="985.77089999999998"/>
        <n v="-366.32"/>
        <n v="-236.32"/>
        <n v="-669.4799999999999"/>
        <n v="2364.08"/>
        <n v="-316.92"/>
        <n v="-2058.9199999999996"/>
        <n v="1437.82"/>
        <n v="966.86"/>
        <n v="-1958.04"/>
        <n v="1072.2750000000001"/>
        <n v="1666.3400000000001"/>
        <n v="144.39215999999999"/>
        <n v="1661.1200000000001"/>
        <n v="972.44249999999988"/>
        <n v="-1209.24"/>
        <n v="1098.52"/>
        <n v="-1265.9002399999999"/>
        <n v="2509.08"/>
        <n v="-2330.3599999999997"/>
        <n v="1775.96"/>
        <n v="1725.4675199999999"/>
        <n v="1925.02"/>
        <n v="1160"/>
        <n v="-816.84540000000004"/>
        <n v="-1320.1965600000001"/>
        <n v="206.48000000000002"/>
        <n v="2213.2799999999997"/>
        <n v="653.08000000000004"/>
        <n v="2322.9"/>
        <n v="734.51083999999992"/>
        <n v="52.61760000000001"/>
        <n v="1226.1675599999999"/>
        <n v="1926.76"/>
        <n v="-259.2"/>
        <n v="620.6"/>
        <n v="-1168.4179199999999"/>
        <n v="2117"/>
        <n v="1676.78"/>
        <n v="1574.7"/>
        <n v="836.36"/>
        <n v="1466.24"/>
        <n v="181.42400000000001"/>
        <n v="-2109.88"/>
        <n v="-2399"/>
        <n v="1202.3400000000001"/>
        <n v="2009.1200000000001"/>
        <n v="-2130.16"/>
        <n v="-973.68"/>
        <n v="796.34"/>
        <n v="-950.94871999999987"/>
        <n v="2407.58"/>
        <n v="900.61008000000004"/>
        <n v="442.80448000000001"/>
        <n v="-1445.84"/>
        <n v="-753.52864"/>
        <n v="672.95776000000001"/>
        <n v="123.54"/>
        <n v="206.52408000000003"/>
        <n v="2338.5600000000004"/>
        <n v="1776.21288"/>
        <n v="909.16102000000012"/>
        <n v="1228.7740800000001"/>
        <n v="175.595"/>
        <n v="-688.2514799999999"/>
        <n v="2329.2799999999997"/>
        <n v="1285.0630800000001"/>
        <n v="-1768.42824"/>
        <n v="213.08794000000003"/>
        <n v="2505.02"/>
        <n v="102.23775999999999"/>
        <n v="219.82"/>
        <n v="1103.3108"/>
        <n v="598.81752000000006"/>
        <n v="-580.10604000000001"/>
        <n v="653.47439999999995"/>
        <n v="266.98212000000001"/>
        <n v="111.69408000000001"/>
        <n v="1227.96324"/>
        <n v="184.60008000000002"/>
        <n v="818.80804000000001"/>
        <n v="2076.98"/>
        <n v="1619.3292600000002"/>
        <n v="-871.25351999999998"/>
        <n v="-1861.38968"/>
        <n v="-1553.48"/>
        <n v="-2456.1999999999998"/>
        <n v="346.02568000000008"/>
        <n v="2030"/>
        <n v="86.737259999999992"/>
        <n v="1582.2719"/>
        <n v="1875.1481200000001"/>
        <n v="-1510.3200000000002"/>
        <n v="1662.28"/>
        <n v="101.5"/>
        <n v="-1568.04"/>
        <n v="-752.68"/>
        <n v="1301.4863599999999"/>
        <n v="977.88"/>
        <n v="501.84035999999998"/>
        <n v="1217.3962200000001"/>
        <n v="153.36359999999996"/>
        <n v="-1385.8361600000003"/>
        <n v="-1583.01496"/>
        <n v="1503.6615999999997"/>
        <n v="-1713.12"/>
        <n v="-247.76"/>
        <n v="1751.6000000000001"/>
        <n v="1875.14"/>
        <n v="1758.56"/>
        <n v="613.43352000000004"/>
        <n v="-1002.5649599999998"/>
        <n v="1082.28"/>
        <n v="819.54000000000008"/>
        <n v="1323.56"/>
        <n v="-884.17240000000004"/>
        <n v="1742.1158400000002"/>
        <n v="1891.96"/>
        <n v="-1300.76"/>
        <n v="-788.56"/>
        <n v="-222.90400000000002"/>
        <n v="540.89640000000009"/>
        <n v="1801.5055199999999"/>
        <n v="639.16000000000008"/>
        <n v="2315.36"/>
        <n v="1293.98"/>
        <n v="1341.2006999999999"/>
        <n v="-1747.44"/>
        <n v="403.52224000000007"/>
        <n v="763.28"/>
        <n v="1826.42"/>
        <n v="1224.35448"/>
        <n v="-1832.7199999999998"/>
        <n v="-837.44"/>
        <n v="1563.1255200000001"/>
        <n v="1877.46"/>
        <n v="1644.88"/>
        <n v="127.21314"/>
        <n v="2079.88"/>
        <n v="128.62080000000003"/>
        <n v="135.13999999999999"/>
        <n v="1036.8625200000001"/>
        <n v="1537.5800000000002"/>
        <n v="1340.38"/>
        <n v="74.599600000000009"/>
        <n v="1159.6925999999999"/>
        <n v="1769.5800000000002"/>
        <n v="618.15007999999989"/>
        <n v="1912.29306"/>
        <n v="1068.94"/>
        <n v="1045.4094"/>
        <n v="2005.06"/>
        <n v="1445.8251599999999"/>
        <n v="779.10065999999995"/>
        <n v="-2249.2399999999998"/>
        <n v="-904"/>
        <n v="1249.9000000000001"/>
        <n v="2567.08"/>
        <n v="893.2"/>
        <n v="378.32703999999995"/>
        <n v="1021.33824"/>
        <n v="880.32864000000018"/>
        <n v="1014.4200000000001"/>
        <n v="-2410.96"/>
        <n v="-2097.3999999999996"/>
        <n v="664.68000000000006"/>
        <n v="511.28856000000002"/>
        <n v="2145.42"/>
        <n v="968.02"/>
        <n v="1039.7404799999999"/>
        <n v="1201.30296"/>
        <n v="-1158.9679599999999"/>
        <n v="-668.96"/>
        <n v="272.60000000000002"/>
        <n v="2029.42"/>
        <n v="922.96908000000008"/>
        <n v="1878.04"/>
        <n v="90.560040000000001"/>
        <n v="-1648.12"/>
        <n v="836.94"/>
        <n v="1624"/>
        <n v="-1230.56"/>
        <n v="1334.54636"/>
        <n v="1944.74"/>
        <n v="-753.15840000000003"/>
        <n v="593.99423999999999"/>
        <n v="-216.94272000000001"/>
        <n v="637.42000000000007"/>
        <n v="1147.8200000000002"/>
        <n v="-283.12"/>
        <n v="766.76"/>
        <n v="-2076.8371199999997"/>
        <n v="1068.3600000000001"/>
        <n v="2586.2200000000003"/>
        <n v="1538.16"/>
        <n v="872.32"/>
        <n v="72.935580000000002"/>
        <n v="1701.72"/>
        <n v="2243.44"/>
        <n v="1899.9895200000001"/>
        <n v="668.74"/>
        <n v="-2114.3462799999998"/>
        <n v="1305.58"/>
        <n v="1533.3924000000002"/>
        <n v="-346.04"/>
        <n v="1251.06"/>
        <n v="201.83884"/>
        <n v="899"/>
        <n v="2431.2376199999999"/>
        <n v="-403.23999999999995"/>
        <n v="575.36"/>
        <n v="-379.84"/>
        <n v="1381.4022400000001"/>
        <n v="-453.35136"/>
        <n v="235.48000000000002"/>
        <n v="274.92"/>
        <n v="1515.54"/>
        <n v="244.18"/>
        <n v="1564.26"/>
        <n v="-2384.4399999999996"/>
        <n v="1672.14"/>
        <n v="1441.88"/>
        <n v="2112.94"/>
        <n v="1527.72"/>
        <n v="-1857.4928"/>
        <n v="132.55435999999997"/>
        <n v="-1528.52"/>
        <n v="2303.1800000000003"/>
        <n v="-382.96"/>
        <n v="-371"/>
        <n v="1433.1179400000001"/>
        <n v="755.74"/>
        <n v="92.018159999999995"/>
        <n v="717.46"/>
        <n v="1133.3200000000002"/>
        <n v="700.95029999999997"/>
        <n v="807.11640000000011"/>
        <n v="178.64000000000001"/>
        <n v="1011.6766"/>
        <n v="727.9"/>
        <n v="1251.1904999999999"/>
        <n v="-351.279"/>
        <n v="2074.08"/>
        <n v="-912.84"/>
        <n v="2045.4889000000001"/>
        <n v="2393.08"/>
        <n v="1934.88"/>
        <n v="2086.2600000000002"/>
        <n v="1097.3600000000001"/>
        <n v="2319.3005199999998"/>
        <n v="852.6"/>
        <n v="2111.7799999999997"/>
        <n v="167.04000000000002"/>
        <n v="1718.54"/>
        <n v="-1110.44"/>
        <n v="1405.3400000000001"/>
        <n v="1122.6335000000001"/>
        <n v="1675.04"/>
        <n v="1966.2"/>
        <n v="1244.2275999999999"/>
        <n v="-1596.29628"/>
        <n v="1340.96"/>
        <n v="526.00721999999996"/>
        <n v="94.053960000000004"/>
        <n v="-254.52"/>
        <n v="1584.4759000000001"/>
        <n v="1652.42"/>
        <n v="-1906.56"/>
        <n v="985.45248000000004"/>
        <n v="-225.90908000000002"/>
        <n v="-1220.1600000000001"/>
        <n v="137.46"/>
        <n v="146.74"/>
        <n v="-1851.9599999999998"/>
        <n v="2360.02"/>
        <n v="-1223.8"/>
        <n v="-204.8184"/>
        <n v="2491.1000000000004"/>
        <n v="-335.12"/>
        <n v="2302.6000000000004"/>
        <n v="-1142.2016000000001"/>
        <n v="1120.2050399999998"/>
        <n v="280.31052"/>
        <n v="-191.23183999999998"/>
        <n v="1211.6199999999999"/>
        <n v="-1739.3935200000001"/>
        <n v="759.43169999999998"/>
        <n v="912.92000000000007"/>
        <n v="954.68000000000006"/>
        <n v="1854.8400000000001"/>
        <n v="1303.0511999999999"/>
        <n v="108.89384"/>
        <n v="173.42000000000002"/>
        <n v="1252.8000000000002"/>
        <n v="1850.925"/>
        <n v="207.06"/>
        <n v="1409.4"/>
        <n v="180.96"/>
        <n v="1245.1045600000002"/>
        <n v="876.96"/>
        <n v="-1543.9936400000001"/>
        <n v="619.44000000000005"/>
        <n v="-1193.328"/>
        <n v="2318.2600000000002"/>
        <n v="-972.64"/>
        <n v="2520.6800000000003"/>
        <n v="1637.92"/>
        <n v="-1027.24"/>
        <n v="-1037.6504"/>
        <n v="-1311.9020399999999"/>
        <n v="1811.81502"/>
        <n v="2484.1400000000003"/>
        <n v="-1608.0800000000002"/>
        <n v="-2375.08"/>
        <n v="123.60263999999999"/>
        <n v="719.38211999999999"/>
        <n v="1149.125"/>
        <n v="-361.86879999999996"/>
        <n v="-561.81711999999993"/>
        <n v="987.3456000000001"/>
        <n v="2423.8200000000002"/>
        <n v="-1522.9404"/>
        <n v="-1912.3366799999999"/>
        <n v="608.42000000000007"/>
        <n v="-828.16787999999997"/>
        <n v="641.36632000000009"/>
        <n v="-1773.9599999999998"/>
        <n v="-1070.3396799999998"/>
        <n v="-216.56"/>
        <n v="-358.52"/>
        <n v="771.01023999999995"/>
        <n v="226.49464"/>
        <n v="413.85899999999998"/>
        <n v="914.08"/>
        <n v="-1341.3199999999997"/>
        <n v="1654.74"/>
        <n v="183.35888000000003"/>
        <n v="633.36"/>
        <n v="-2352.1999999999998"/>
        <n v="-2004.3200000000002"/>
        <n v="2103.66"/>
        <n v="1506.8400000000001"/>
        <n v="1306.74"/>
        <n v="-2082.3200000000002"/>
        <n v="2456.3000000000002"/>
        <n v="-233.5068"/>
        <n v="-1946.6"/>
        <n v="1572.96"/>
        <n v="1738.8400000000001"/>
        <n v="1788.14"/>
        <n v="971.5"/>
        <n v="112.90860000000001"/>
        <n v="188.59512000000001"/>
        <n v="1350.24"/>
        <n v="802.97694000000001"/>
        <n v="1289.09872"/>
        <n v="1280.6399999999999"/>
        <n v="1152.6021000000001"/>
        <n v="1759.14"/>
        <n v="2485.3000000000002"/>
        <n v="1743.9747400000001"/>
        <n v="2284.04"/>
        <n v="-1939.3200000000002"/>
        <n v="-1666.5030399999998"/>
        <n v="-623.15007999999989"/>
        <n v="-537.11868000000004"/>
        <n v="1278.4731200000001"/>
        <n v="1342.2122200000001"/>
        <n v="615.19730000000004"/>
        <n v="1020.4404000000001"/>
        <n v="-2236.7600000000002"/>
        <n v="95.12"/>
        <n v="438.61920000000003"/>
        <n v="164.14"/>
        <n v="1994.2540200000001"/>
        <n v="-943"/>
        <n v="1250.1923200000001"/>
        <n v="380.30135999999999"/>
        <n v="85.6631"/>
        <n v="-1845.3289599999998"/>
        <n v="-244.12"/>
        <n v="-1930.48"/>
        <n v="91.64"/>
        <n v="1184.3600000000001"/>
        <n v="662.72482000000014"/>
        <n v="466.15759999999995"/>
        <n v="-2152"/>
        <n v="1577.5918799999997"/>
        <n v="1136.24784"/>
        <n v="2106.4196400000001"/>
        <n v="-1293.5424"/>
        <n v="-1536.84"/>
        <n v="-560.93155999999988"/>
        <n v="93.960000000000008"/>
        <n v="427.28310000000005"/>
        <n v="910.6"/>
        <n v="2517.7799999999997"/>
        <n v="756.32"/>
        <n v="101.05398"/>
        <n v="-395.64540000000005"/>
        <n v="-857.19999999999993"/>
        <n v="1925.6000000000001"/>
        <n v="1677.94"/>
        <n v="-1577.92"/>
        <n v="-847.31583999999998"/>
        <n v="1425.64"/>
        <n v="1579.92"/>
        <n v="1980.5497800000001"/>
        <n v="2364.66"/>
        <n v="916.26080000000002"/>
        <n v="615.96"/>
        <n v="277.24"/>
        <n v="-1237.3199999999997"/>
        <n v="287.10000000000002"/>
        <n v="1755.0800000000002"/>
        <n v="1970.8400000000001"/>
        <n v="2600.1400000000003"/>
        <n v="438.20218000000006"/>
        <n v="985.42000000000007"/>
        <n v="-1028.1604"/>
        <n v="768.33064000000002"/>
        <n v="926.97281999999996"/>
        <n v="713.16800000000001"/>
        <n v="1593.26"/>
        <n v="2292.7399999999998"/>
        <n v="230.84"/>
        <n v="-331.92928000000001"/>
        <n v="127.06698"/>
        <n v="53.724240000000002"/>
        <n v="160.74351999999999"/>
        <n v="590.97476000000006"/>
        <n v="106.32096000000001"/>
        <n v="1230.6184800000001"/>
        <n v="2170.8048600000002"/>
        <n v="756.50328000000002"/>
        <n v="163.56"/>
        <n v="496.42779999999999"/>
        <n v="1242.3600000000001"/>
        <n v="862.91646000000003"/>
        <n v="-1125"/>
        <n v="-1025.6799999999998"/>
        <n v="-1624.7199999999998"/>
        <n v="914.66"/>
        <n v="-757.6902"/>
        <n v="797.82596000000012"/>
        <n v="1336.0798800000002"/>
        <n v="1476.68"/>
        <n v="1283.54"/>
        <n v="1575.28"/>
        <n v="58.249400000000009"/>
        <n v="749.51369999999997"/>
        <n v="696.23316000000023"/>
        <n v="-882.4122000000001"/>
        <n v="2038.0063200000002"/>
        <n v="1086.9107199999999"/>
        <n v="-402.72"/>
        <n v="2359.8993600000003"/>
        <n v="1490.6000000000001"/>
        <n v="-959.92704000000003"/>
        <n v="444.85245999999995"/>
        <n v="1562.8053599999998"/>
        <n v="983.28559999999982"/>
        <n v="1458.7"/>
        <n v="2488.7799999999997"/>
        <n v="1985.92"/>
        <n v="1324.72"/>
        <n v="861.30000000000007"/>
        <n v="883.92000000000007"/>
        <n v="731.96"/>
        <n v="-1516.33224"/>
        <n v="1926.6034"/>
        <n v="1478.0586599999999"/>
        <n v="1259.76"/>
        <n v="-2487.9199999999996"/>
        <n v="806.78"/>
        <n v="-254.26"/>
        <n v="-1411.5725200000002"/>
        <n v="369.05051999999995"/>
        <n v="689.04"/>
        <n v="2010.8600000000001"/>
        <n v="649.02"/>
        <n v="1868.76"/>
        <n v="2227.1999999999998"/>
        <n v="1167.54"/>
        <n v="1202.92464"/>
        <n v="278.98"/>
        <n v="843.42382000000009"/>
        <n v="838.52339999999992"/>
        <n v="-2335.0795200000002"/>
        <n v="-252.44"/>
        <n v="-1219.1199999999999"/>
        <n v="-2137.4399999999996"/>
        <n v="968.94335999999998"/>
        <n v="1690.7"/>
        <n v="141.99792000000002"/>
        <n v="133.4"/>
        <n v="-206.33472"/>
        <n v="747.04"/>
        <n v="2356.4692399999999"/>
        <n v="-2438.52"/>
        <n v="-1218.4278800000002"/>
        <n v="-358.93600000000004"/>
        <n v="1623.42"/>
        <n v="468.84474000000006"/>
        <n v="-2447.88"/>
        <n v="145"/>
        <n v="1854.26"/>
        <n v="1794.52"/>
        <n v="98.600000000000009"/>
        <n v="-1798.92"/>
        <n v="-581.71127999999999"/>
        <n v="1607.18"/>
        <n v="92.22"/>
        <n v="-286.24"/>
        <n v="1330.1928800000001"/>
        <n v="2288.6800000000003"/>
        <n v="2442.96"/>
        <n v="1342.12"/>
        <n v="1106.8279200000002"/>
        <n v="199.86684000000002"/>
        <n v="269.12"/>
        <n v="-1558.68"/>
        <n v="-1543.6"/>
        <n v="970.65436"/>
        <n v="962.96298000000013"/>
        <n v="222.72"/>
        <n v="2192.98"/>
        <n v="150.22"/>
        <n v="171.10000000000002"/>
        <n v="-974.72"/>
        <n v="-321.67488000000003"/>
        <n v="1792.78"/>
        <n v="1786.7387200000001"/>
        <n v="-2436.4399999999996"/>
        <n v="1546.28"/>
        <n v="191.98000000000002"/>
        <n v="-720.06768000000011"/>
        <n v="-1081.0859999999998"/>
        <n v="1373.44"/>
        <n v="1812.761"/>
        <n v="1345.02"/>
        <n v="-1919.56"/>
        <n v="566.66000000000008"/>
        <n v="734.58044000000007"/>
        <n v="-1197.9456000000002"/>
        <n v="284.56713999999999"/>
        <n v="1625.26208"/>
        <n v="1122.8898600000002"/>
        <n v="-1684.89492"/>
        <n v="1687.5517599999998"/>
        <n v="1543.96"/>
        <n v="2514.3000000000002"/>
        <n v="-1619.52"/>
        <n v="745.88"/>
        <n v="2110.62"/>
        <n v="-1165.1232"/>
        <n v="-897.24"/>
        <n v="1087.0858800000001"/>
        <n v="-203.8408"/>
        <n v="2235.9"/>
        <n v="-1658.52"/>
        <n v="720.36"/>
        <n v="2398.88"/>
        <n v="1262.08"/>
        <n v="-338.76"/>
        <n v="1461.6000000000001"/>
        <n v="-692.51184000000001"/>
        <n v="-1229.7612800000002"/>
        <n v="-987.33000000000015"/>
        <n v="231.46350000000004"/>
        <n v="-1461.44"/>
        <n v="-291.63551999999999"/>
        <n v="694.44443999999999"/>
        <n v="-1222.76"/>
        <n v="581.4372400000002"/>
        <n v="1705.78"/>
        <n v="-1112.9687600000002"/>
        <n v="-1126.404"/>
        <n v="1638.5"/>
        <n v="129.34"/>
        <n v="810.49199999999996"/>
        <n v="-1374.6"/>
        <n v="-762.7940000000001"/>
        <n v="1786.5948800000001"/>
        <n v="809.1"/>
        <n v="-423.15600000000006"/>
        <n v="845.47992000000011"/>
        <n v="-254.99736000000001"/>
        <n v="-1853"/>
        <n v="-1196.1099999999999"/>
        <n v="-1532.7309599999999"/>
        <n v="2395.4"/>
        <n v="1071.57204"/>
        <n v="570.72"/>
        <n v="2054.36"/>
        <n v="765.58085999999992"/>
        <n v="-1925.3819199999998"/>
        <n v="87.580000000000013"/>
        <n v="2180.2200000000003"/>
        <n v="132.24"/>
        <n v="2554.9"/>
        <n v="-885.15987999999993"/>
        <n v="542.42064000000005"/>
        <n v="604.94000000000005"/>
        <n v="2168.62"/>
        <n v="1372.33278"/>
        <n v="-1688.0128400000001"/>
        <n v="1788.72"/>
        <n v="1949.9924800000001"/>
        <n v="115.53484"/>
        <n v="1669.82"/>
        <n v="1830.7189599999999"/>
        <n v="-1560.5124800000001"/>
        <n v="2104.8200000000002"/>
        <n v="793.44"/>
        <n v="448.0616"/>
        <n v="1176.4766400000001"/>
        <n v="-755.28"/>
        <n v="152.54000000000002"/>
        <n v="1336.3200000000002"/>
        <n v="-1046.5840000000001"/>
        <n v="-274.27999999999997"/>
        <n v="960.03049999999996"/>
        <n v="107.88000000000001"/>
        <n v="1764.71496"/>
        <n v="-1929.9599999999998"/>
        <n v="-2134.3200000000002"/>
        <n v="992.89329999999984"/>
        <n v="1469.14"/>
        <n v="-2128.08"/>
        <n v="276.65999999999997"/>
        <n v="527.75011999999992"/>
        <n v="-2399.52"/>
        <n v="416.88196000000005"/>
        <n v="-1463.52"/>
        <n v="-905.04000000000008"/>
        <n v="-1181.1600000000001"/>
        <n v="1452.32"/>
        <n v="2431.94"/>
        <n v="965.24296000000015"/>
        <n v="797.66820000000018"/>
        <n v="1893.7"/>
        <n v="589.28"/>
        <n v="1612.1993199999999"/>
        <n v="1233.8311000000001"/>
        <n v="-1362.9738400000001"/>
        <n v="1733.3236200000003"/>
        <n v="-228.37335999999999"/>
        <n v="937.90175999999997"/>
        <n v="-1048.3228800000002"/>
        <n v="-2051.12"/>
        <n v="1784.66"/>
        <n v="2355.96"/>
        <n v="1774.22"/>
        <n v="2333.92"/>
        <n v="-699.56616000000008"/>
        <n v="-2397.4399999999996"/>
        <n v="1246.6984"/>
        <n v="1787.0971599999998"/>
        <n v="160.85952"/>
        <n v="2568.8200000000002"/>
        <n v="-1476.52"/>
        <n v="812.50344000000007"/>
        <n v="-1232.1199999999999"/>
        <n v="-1385"/>
        <n v="2590.2799999999997"/>
        <n v="2390.1800000000003"/>
        <n v="-1509.8"/>
        <n v="2185.44"/>
        <n v="-1619.0457600000002"/>
        <n v="1502.2"/>
        <n v="1547.32864"/>
        <n v="-1057.92"/>
        <n v="2430.7799999999997"/>
        <n v="-1159.8399999999999"/>
        <n v="229.1"/>
        <n v="1685.48"/>
        <n v="1966.78"/>
        <n v="1035.8800000000001"/>
        <n v="1418.2740000000001"/>
        <n v="2022.46"/>
        <n v="1503.94"/>
        <n v="786.48"/>
        <n v="1023.27138"/>
        <n v="126.44"/>
        <n v="813.16"/>
        <n v="98.02"/>
        <n v="1931.2289000000001"/>
        <n v="1082.4192000000003"/>
        <n v="1090.3860800000002"/>
        <n v="169.36"/>
        <n v="464.76096000000001"/>
        <n v="1866.44"/>
        <n v="-2188.3999999999996"/>
        <n v="176.9"/>
        <n v="845.85228000000018"/>
        <n v="1578.18"/>
        <n v="-886.23887999999988"/>
        <n v="1132.74"/>
        <n v="1270.7800000000002"/>
        <n v="655.72944000000007"/>
        <n v="-1594.1101999999998"/>
        <n v="1425.06"/>
        <n v="2352.4336000000003"/>
        <n v="1418.68"/>
        <n v="-1920.08"/>
        <n v="-784.4"/>
        <n v="191.20976000000002"/>
        <n v="-228.18979999999999"/>
        <n v="1410.56"/>
        <n v="1201.18"/>
        <n v="-1631.15552"/>
        <n v="-2292.5039999999999"/>
        <n v="-1363.6799999999998"/>
        <n v="-1344.9599999999998"/>
        <n v="906.54000000000008"/>
        <n v="773.60400000000004"/>
        <n v="801.56000000000006"/>
        <n v="-280.52000000000004"/>
        <n v="683.81999999999994"/>
        <n v="1005.4155"/>
        <n v="634.42372"/>
        <n v="1289.1311999999998"/>
        <n v="1740.5684000000001"/>
        <n v="184.75435999999999"/>
        <n v="-765.49487999999997"/>
        <n v="162.71262000000002"/>
        <n v="783.58"/>
        <n v="2482.4"/>
        <n v="-633.98635999999988"/>
        <n v="-773.06816000000003"/>
        <n v="2225.46"/>
        <n v="1815.98"/>
        <n v="-473.92931999999996"/>
        <n v="-1607.56"/>
        <n v="1289.3400000000001"/>
        <n v="807.92549999999994"/>
        <n v="1388.0768800000001"/>
        <n v="865.26720000000012"/>
        <n v="-1591.8518399999998"/>
        <n v="2374.52"/>
        <n v="282.46000000000004"/>
        <n v="-314.27839999999998"/>
        <n v="1166.6108400000003"/>
        <n v="342.89136000000002"/>
        <n v="2357.12"/>
        <n v="1209.12716"/>
        <n v="-345"/>
        <n v="-315.36"/>
        <n v="2064.8000000000002"/>
        <n v="-937.8"/>
        <n v="1630.38"/>
        <n v="1595.5800000000002"/>
        <n v="639.51959999999997"/>
        <n v="-399.6"/>
        <n v="2147.7168000000001"/>
        <n v="929.10199999999998"/>
        <n v="142.68"/>
        <n v="-1014.76"/>
        <n v="-2300.7199999999998"/>
        <n v="2435.42"/>
        <n v="1770.74"/>
        <n v="-311.2"/>
        <n v="866.08326000000011"/>
        <n v="-984.49860000000001"/>
        <n v="699.1093800000001"/>
        <n v="2231.2600000000002"/>
        <n v="86.313280000000006"/>
        <n v="2376.84"/>
        <n v="1664.6000000000001"/>
        <n v="-1599.24"/>
        <n v="1984.18"/>
        <n v="1397.22"/>
        <n v="-1312.3008800000002"/>
        <n v="-246.72"/>
        <n v="-1103.5125599999999"/>
        <n v="1980.1200000000001"/>
        <n v="2204.58"/>
        <n v="2551.42"/>
        <n v="1384.46"/>
        <n v="759.80000000000007"/>
        <n v="216.92000000000002"/>
        <n v="-631.52"/>
        <n v="-394.4"/>
        <n v="-782.32"/>
        <n v="121.63470000000001"/>
        <n v="281.3"/>
        <n v="1118.8200000000002"/>
        <n v="-1963.2888799999998"/>
        <n v="-2198.0277999999998"/>
        <n v="-2243.0863199999999"/>
        <n v="79.291800000000009"/>
        <n v="1135.6110000000001"/>
        <n v="-1364.7652399999999"/>
        <n v="1520.18"/>
        <n v="1304.42"/>
        <n v="676.28"/>
        <n v="496.75723999999997"/>
        <n v="1392"/>
        <n v="-1217.6676399999999"/>
        <n v="2455.1400000000003"/>
        <n v="1777.1200000000001"/>
        <n v="1009.78"/>
        <n v="-1446.5669599999999"/>
        <n v="2163.4"/>
        <n v="-382.44"/>
        <n v="1631.54"/>
        <n v="-1188.9599999999998"/>
        <n v="-284.12100000000004"/>
        <n v="63.671240000000004"/>
        <n v="1659.38"/>
        <n v="1394.9"/>
        <n v="1183.2"/>
        <n v="-853.56"/>
        <n v="915.82"/>
        <n v="-2274.8536400000003"/>
        <n v="-826.02287999999999"/>
        <n v="-2112.4311200000002"/>
        <n v="280.14"/>
        <n v="-1645.52"/>
        <n v="1376.9582800000003"/>
        <n v="-1436.44516"/>
        <n v="218.08"/>
        <n v="661.11300000000006"/>
        <n v="-793.71579999999994"/>
        <n v="-244.97695999999999"/>
        <n v="432.19976000000003"/>
        <n v="-1656.6937600000001"/>
        <n v="1126.3136"/>
        <n v="1542.8"/>
        <n v="88.082280000000011"/>
        <n v="1369.38"/>
        <n v="2170.36"/>
        <n v="1126.94"/>
        <n v="2209.2200000000003"/>
        <n v="-369.44"/>
        <n v="2240.54"/>
        <n v="168.70112"/>
        <n v="-395.96"/>
        <n v="1867.9450999999999"/>
        <n v="2324.6400000000003"/>
        <n v="2070.6000000000004"/>
        <n v="611.90000000000009"/>
        <n v="-1565.44"/>
        <n v="-214.63600000000002"/>
        <n v="1325.88"/>
        <n v="-2062.04"/>
      </sharedItems>
    </cacheField>
    <cacheField name="Months (Purchase_Date)" numFmtId="0" databaseField="0">
      <fieldGroup base="1">
        <rangePr groupBy="months" startDate="2024-04-01T00:00:00" endDate="2025-11-04T00:00:00"/>
        <groupItems count="14">
          <s v="&lt;01-04-2024"/>
          <s v="Jan"/>
          <s v="Feb"/>
          <s v="Mar"/>
          <s v="Apr"/>
          <s v="May"/>
          <s v="Jun"/>
          <s v="Jul"/>
          <s v="Aug"/>
          <s v="Sep"/>
          <s v="Oct"/>
          <s v="Nov"/>
          <s v="Dec"/>
          <s v="&gt;04-11-2025"/>
        </groupItems>
      </fieldGroup>
    </cacheField>
    <cacheField name="Quarters (Purchase_Date)" numFmtId="0" databaseField="0">
      <fieldGroup base="1">
        <rangePr groupBy="quarters" startDate="2024-04-01T00:00:00" endDate="2025-11-04T00:00:00"/>
        <groupItems count="6">
          <s v="&lt;01-04-2024"/>
          <s v="Qtr1"/>
          <s v="Qtr2"/>
          <s v="Qtr3"/>
          <s v="Qtr4"/>
          <s v="&gt;04-11-2025"/>
        </groupItems>
      </fieldGroup>
    </cacheField>
    <cacheField name="Years (Purchase_Date)" numFmtId="0" databaseField="0">
      <fieldGroup base="1">
        <rangePr groupBy="years" startDate="2024-04-01T00:00:00" endDate="2025-11-04T00:00:00"/>
        <groupItems count="4">
          <s v="&lt;01-04-2024"/>
          <s v="2024"/>
          <s v="2025"/>
          <s v="&gt;04-11-2025"/>
        </groupItems>
      </fieldGroup>
    </cacheField>
  </cacheFields>
  <extLst>
    <ext xmlns:x14="http://schemas.microsoft.com/office/spreadsheetml/2009/9/main" uri="{725AE2AE-9491-48be-B2B4-4EB974FC3084}">
      <x14:pivotCacheDefinition pivotCacheId="14434295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76">
  <r>
    <x v="0"/>
    <x v="0"/>
    <x v="0"/>
    <x v="0"/>
    <x v="0"/>
    <x v="0"/>
    <x v="0"/>
    <x v="0"/>
    <n v="3616"/>
    <x v="0"/>
    <n v="3616"/>
    <n v="37"/>
    <x v="0"/>
    <x v="0"/>
    <x v="0"/>
    <n v="1518.72"/>
    <n v="2097.2799999999997"/>
    <n v="0"/>
    <n v="0"/>
    <n v="0"/>
    <x v="0"/>
  </r>
  <r>
    <x v="1"/>
    <x v="0"/>
    <x v="1"/>
    <x v="1"/>
    <x v="1"/>
    <x v="1"/>
    <x v="1"/>
    <x v="1"/>
    <n v="1409"/>
    <x v="0"/>
    <n v="1409"/>
    <n v="2"/>
    <x v="1"/>
    <x v="0"/>
    <x v="0"/>
    <n v="591.78"/>
    <n v="817.22"/>
    <n v="0"/>
    <n v="0"/>
    <n v="0"/>
    <x v="1"/>
  </r>
  <r>
    <x v="2"/>
    <x v="1"/>
    <x v="2"/>
    <x v="1"/>
    <x v="2"/>
    <x v="1"/>
    <x v="2"/>
    <x v="2"/>
    <n v="266"/>
    <x v="0"/>
    <n v="266"/>
    <n v="22"/>
    <x v="0"/>
    <x v="0"/>
    <x v="0"/>
    <n v="111.72"/>
    <n v="154.28"/>
    <n v="0"/>
    <n v="0"/>
    <n v="0"/>
    <x v="2"/>
  </r>
  <r>
    <x v="3"/>
    <x v="2"/>
    <x v="3"/>
    <x v="1"/>
    <x v="3"/>
    <x v="0"/>
    <x v="0"/>
    <x v="2"/>
    <n v="4278"/>
    <x v="0"/>
    <n v="4278"/>
    <n v="48"/>
    <x v="2"/>
    <x v="1"/>
    <x v="1"/>
    <n v="1796.76"/>
    <n v="2481.2399999999998"/>
    <n v="150"/>
    <n v="427.8"/>
    <n v="4278"/>
    <x v="3"/>
  </r>
  <r>
    <x v="4"/>
    <x v="2"/>
    <x v="4"/>
    <x v="2"/>
    <x v="1"/>
    <x v="1"/>
    <x v="0"/>
    <x v="2"/>
    <n v="1113"/>
    <x v="0"/>
    <n v="1113"/>
    <n v="10"/>
    <x v="3"/>
    <x v="0"/>
    <x v="0"/>
    <n v="467.46"/>
    <n v="645.54"/>
    <n v="0"/>
    <n v="0"/>
    <n v="0"/>
    <x v="4"/>
  </r>
  <r>
    <x v="5"/>
    <x v="2"/>
    <x v="5"/>
    <x v="0"/>
    <x v="2"/>
    <x v="2"/>
    <x v="2"/>
    <x v="3"/>
    <n v="250"/>
    <x v="1"/>
    <n v="161.5"/>
    <n v="38"/>
    <x v="4"/>
    <x v="1"/>
    <x v="2"/>
    <n v="67.83"/>
    <n v="93.67"/>
    <n v="150"/>
    <n v="16.150000000000002"/>
    <n v="161.5"/>
    <x v="5"/>
  </r>
  <r>
    <x v="6"/>
    <x v="3"/>
    <x v="6"/>
    <x v="0"/>
    <x v="4"/>
    <x v="0"/>
    <x v="3"/>
    <x v="4"/>
    <n v="2957"/>
    <x v="2"/>
    <n v="1345.4349999999999"/>
    <n v="38"/>
    <x v="2"/>
    <x v="0"/>
    <x v="0"/>
    <n v="565.08269999999993"/>
    <n v="780.35230000000001"/>
    <n v="0"/>
    <n v="0"/>
    <n v="0"/>
    <x v="6"/>
  </r>
  <r>
    <x v="7"/>
    <x v="3"/>
    <x v="7"/>
    <x v="3"/>
    <x v="5"/>
    <x v="1"/>
    <x v="0"/>
    <x v="5"/>
    <n v="2652"/>
    <x v="3"/>
    <n v="2065.9079999999999"/>
    <n v="47"/>
    <x v="5"/>
    <x v="1"/>
    <x v="3"/>
    <n v="867.68135999999993"/>
    <n v="1198.2266399999999"/>
    <n v="150"/>
    <n v="206.5908"/>
    <n v="2065.9079999999999"/>
    <x v="7"/>
  </r>
  <r>
    <x v="8"/>
    <x v="4"/>
    <x v="8"/>
    <x v="1"/>
    <x v="0"/>
    <x v="0"/>
    <x v="0"/>
    <x v="6"/>
    <n v="3714"/>
    <x v="4"/>
    <n v="3238.6080000000002"/>
    <n v="14"/>
    <x v="3"/>
    <x v="0"/>
    <x v="0"/>
    <n v="1360.2153599999999"/>
    <n v="1878.3926400000003"/>
    <n v="0"/>
    <n v="0"/>
    <n v="0"/>
    <x v="8"/>
  </r>
  <r>
    <x v="9"/>
    <x v="4"/>
    <x v="9"/>
    <x v="4"/>
    <x v="0"/>
    <x v="2"/>
    <x v="4"/>
    <x v="1"/>
    <n v="4350"/>
    <x v="5"/>
    <n v="3875.85"/>
    <n v="37"/>
    <x v="3"/>
    <x v="0"/>
    <x v="0"/>
    <n v="1627.857"/>
    <n v="2247.9929999999999"/>
    <n v="0"/>
    <n v="0"/>
    <n v="0"/>
    <x v="9"/>
  </r>
  <r>
    <x v="10"/>
    <x v="4"/>
    <x v="10"/>
    <x v="3"/>
    <x v="1"/>
    <x v="0"/>
    <x v="1"/>
    <x v="2"/>
    <n v="1106"/>
    <x v="0"/>
    <n v="1106"/>
    <n v="3"/>
    <x v="6"/>
    <x v="0"/>
    <x v="0"/>
    <n v="464.52"/>
    <n v="641.48"/>
    <n v="0"/>
    <n v="0"/>
    <n v="0"/>
    <x v="10"/>
  </r>
  <r>
    <x v="3"/>
    <x v="4"/>
    <x v="11"/>
    <x v="1"/>
    <x v="3"/>
    <x v="1"/>
    <x v="3"/>
    <x v="5"/>
    <n v="4179"/>
    <x v="0"/>
    <n v="4179"/>
    <n v="2"/>
    <x v="3"/>
    <x v="1"/>
    <x v="3"/>
    <n v="1755.1799999999998"/>
    <n v="2423.8200000000002"/>
    <n v="150"/>
    <n v="417.90000000000003"/>
    <n v="4179"/>
    <x v="11"/>
  </r>
  <r>
    <x v="11"/>
    <x v="5"/>
    <x v="12"/>
    <x v="5"/>
    <x v="4"/>
    <x v="0"/>
    <x v="3"/>
    <x v="7"/>
    <n v="2708"/>
    <x v="0"/>
    <n v="2708"/>
    <n v="43"/>
    <x v="3"/>
    <x v="1"/>
    <x v="4"/>
    <n v="1137.3599999999999"/>
    <n v="1570.64"/>
    <n v="150"/>
    <n v="270.8"/>
    <n v="2708"/>
    <x v="12"/>
  </r>
  <r>
    <x v="12"/>
    <x v="5"/>
    <x v="13"/>
    <x v="1"/>
    <x v="5"/>
    <x v="2"/>
    <x v="5"/>
    <x v="8"/>
    <n v="2203"/>
    <x v="0"/>
    <n v="2203"/>
    <n v="39"/>
    <x v="5"/>
    <x v="0"/>
    <x v="0"/>
    <n v="925.26"/>
    <n v="1277.74"/>
    <n v="0"/>
    <n v="0"/>
    <n v="0"/>
    <x v="13"/>
  </r>
  <r>
    <x v="10"/>
    <x v="6"/>
    <x v="14"/>
    <x v="3"/>
    <x v="1"/>
    <x v="1"/>
    <x v="6"/>
    <x v="8"/>
    <n v="1206"/>
    <x v="0"/>
    <n v="1206"/>
    <n v="7"/>
    <x v="7"/>
    <x v="1"/>
    <x v="5"/>
    <n v="506.52"/>
    <n v="699.48"/>
    <n v="150"/>
    <n v="120.60000000000001"/>
    <n v="1206"/>
    <x v="14"/>
  </r>
  <r>
    <x v="13"/>
    <x v="7"/>
    <x v="15"/>
    <x v="3"/>
    <x v="2"/>
    <x v="1"/>
    <x v="2"/>
    <x v="6"/>
    <n v="465"/>
    <x v="0"/>
    <n v="465"/>
    <n v="17"/>
    <x v="8"/>
    <x v="1"/>
    <x v="4"/>
    <n v="195.29999999999998"/>
    <n v="269.70000000000005"/>
    <n v="150"/>
    <n v="46.5"/>
    <n v="465"/>
    <x v="15"/>
  </r>
  <r>
    <x v="14"/>
    <x v="7"/>
    <x v="16"/>
    <x v="6"/>
    <x v="3"/>
    <x v="3"/>
    <x v="3"/>
    <x v="8"/>
    <n v="3871"/>
    <x v="0"/>
    <n v="3871"/>
    <n v="14"/>
    <x v="9"/>
    <x v="0"/>
    <x v="0"/>
    <n v="1625.82"/>
    <n v="2245.1800000000003"/>
    <n v="0"/>
    <n v="0"/>
    <n v="0"/>
    <x v="16"/>
  </r>
  <r>
    <x v="15"/>
    <x v="7"/>
    <x v="17"/>
    <x v="5"/>
    <x v="1"/>
    <x v="1"/>
    <x v="1"/>
    <x v="9"/>
    <n v="1453"/>
    <x v="0"/>
    <n v="1453"/>
    <n v="14"/>
    <x v="10"/>
    <x v="0"/>
    <x v="0"/>
    <n v="610.26"/>
    <n v="842.74"/>
    <n v="0"/>
    <n v="0"/>
    <n v="0"/>
    <x v="17"/>
  </r>
  <r>
    <x v="16"/>
    <x v="7"/>
    <x v="18"/>
    <x v="3"/>
    <x v="0"/>
    <x v="3"/>
    <x v="6"/>
    <x v="10"/>
    <n v="3026"/>
    <x v="6"/>
    <n v="1255.7900000000002"/>
    <n v="16"/>
    <x v="11"/>
    <x v="1"/>
    <x v="3"/>
    <n v="527.43180000000007"/>
    <n v="728.35820000000012"/>
    <n v="150"/>
    <n v="125.57900000000002"/>
    <n v="1255.7900000000002"/>
    <x v="18"/>
  </r>
  <r>
    <x v="17"/>
    <x v="8"/>
    <x v="19"/>
    <x v="2"/>
    <x v="0"/>
    <x v="3"/>
    <x v="4"/>
    <x v="4"/>
    <n v="3669"/>
    <x v="0"/>
    <n v="3669"/>
    <n v="1"/>
    <x v="12"/>
    <x v="0"/>
    <x v="0"/>
    <n v="1540.98"/>
    <n v="2128.02"/>
    <n v="0"/>
    <n v="0"/>
    <n v="0"/>
    <x v="19"/>
  </r>
  <r>
    <x v="18"/>
    <x v="9"/>
    <x v="20"/>
    <x v="3"/>
    <x v="4"/>
    <x v="2"/>
    <x v="1"/>
    <x v="8"/>
    <n v="2614"/>
    <x v="7"/>
    <n v="2044.1480000000001"/>
    <n v="42"/>
    <x v="3"/>
    <x v="0"/>
    <x v="0"/>
    <n v="858.54216000000008"/>
    <n v="1185.6058400000002"/>
    <n v="0"/>
    <n v="0"/>
    <n v="0"/>
    <x v="20"/>
  </r>
  <r>
    <x v="5"/>
    <x v="9"/>
    <x v="21"/>
    <x v="0"/>
    <x v="2"/>
    <x v="0"/>
    <x v="2"/>
    <x v="3"/>
    <n v="462"/>
    <x v="0"/>
    <n v="462"/>
    <n v="10"/>
    <x v="1"/>
    <x v="0"/>
    <x v="0"/>
    <n v="194.04"/>
    <n v="267.96000000000004"/>
    <n v="0"/>
    <n v="0"/>
    <n v="0"/>
    <x v="21"/>
  </r>
  <r>
    <x v="5"/>
    <x v="10"/>
    <x v="22"/>
    <x v="0"/>
    <x v="2"/>
    <x v="1"/>
    <x v="2"/>
    <x v="3"/>
    <n v="253"/>
    <x v="0"/>
    <n v="253"/>
    <n v="46"/>
    <x v="13"/>
    <x v="1"/>
    <x v="3"/>
    <n v="106.25999999999999"/>
    <n v="146.74"/>
    <n v="150"/>
    <n v="25.3"/>
    <n v="253"/>
    <x v="22"/>
  </r>
  <r>
    <x v="19"/>
    <x v="10"/>
    <x v="23"/>
    <x v="2"/>
    <x v="5"/>
    <x v="3"/>
    <x v="0"/>
    <x v="6"/>
    <n v="2647"/>
    <x v="0"/>
    <n v="2647"/>
    <n v="37"/>
    <x v="13"/>
    <x v="0"/>
    <x v="0"/>
    <n v="1111.74"/>
    <n v="1535.26"/>
    <n v="0"/>
    <n v="0"/>
    <n v="0"/>
    <x v="23"/>
  </r>
  <r>
    <x v="20"/>
    <x v="10"/>
    <x v="24"/>
    <x v="7"/>
    <x v="1"/>
    <x v="2"/>
    <x v="5"/>
    <x v="5"/>
    <n v="948"/>
    <x v="8"/>
    <n v="672.13199999999995"/>
    <n v="38"/>
    <x v="14"/>
    <x v="1"/>
    <x v="3"/>
    <n v="282.29543999999999"/>
    <n v="389.83655999999996"/>
    <n v="150"/>
    <n v="67.213200000000001"/>
    <n v="672.13199999999995"/>
    <x v="24"/>
  </r>
  <r>
    <x v="21"/>
    <x v="11"/>
    <x v="25"/>
    <x v="1"/>
    <x v="4"/>
    <x v="0"/>
    <x v="6"/>
    <x v="0"/>
    <n v="2990"/>
    <x v="9"/>
    <n v="1973.3999999999999"/>
    <n v="16"/>
    <x v="12"/>
    <x v="1"/>
    <x v="3"/>
    <n v="828.82799999999986"/>
    <n v="1144.5720000000001"/>
    <n v="150"/>
    <n v="197.34"/>
    <n v="1973.3999999999999"/>
    <x v="25"/>
  </r>
  <r>
    <x v="22"/>
    <x v="11"/>
    <x v="26"/>
    <x v="2"/>
    <x v="4"/>
    <x v="3"/>
    <x v="1"/>
    <x v="0"/>
    <n v="2940"/>
    <x v="10"/>
    <n v="1881.6000000000001"/>
    <n v="25"/>
    <x v="15"/>
    <x v="0"/>
    <x v="0"/>
    <n v="790.27200000000005"/>
    <n v="1091.328"/>
    <n v="0"/>
    <n v="0"/>
    <n v="0"/>
    <x v="26"/>
  </r>
  <r>
    <x v="23"/>
    <x v="11"/>
    <x v="27"/>
    <x v="6"/>
    <x v="4"/>
    <x v="3"/>
    <x v="6"/>
    <x v="5"/>
    <n v="2709"/>
    <x v="0"/>
    <n v="2709"/>
    <n v="28"/>
    <x v="16"/>
    <x v="0"/>
    <x v="0"/>
    <n v="1137.78"/>
    <n v="1571.22"/>
    <n v="0"/>
    <n v="0"/>
    <n v="0"/>
    <x v="27"/>
  </r>
  <r>
    <x v="24"/>
    <x v="12"/>
    <x v="28"/>
    <x v="5"/>
    <x v="5"/>
    <x v="3"/>
    <x v="1"/>
    <x v="7"/>
    <n v="2684"/>
    <x v="0"/>
    <n v="2684"/>
    <n v="6"/>
    <x v="13"/>
    <x v="1"/>
    <x v="1"/>
    <n v="1127.28"/>
    <n v="1556.72"/>
    <n v="150"/>
    <n v="268.40000000000003"/>
    <n v="2684"/>
    <x v="28"/>
  </r>
  <r>
    <x v="14"/>
    <x v="12"/>
    <x v="29"/>
    <x v="6"/>
    <x v="3"/>
    <x v="0"/>
    <x v="0"/>
    <x v="0"/>
    <n v="3453"/>
    <x v="0"/>
    <n v="3453"/>
    <n v="1"/>
    <x v="3"/>
    <x v="0"/>
    <x v="0"/>
    <n v="1450.26"/>
    <n v="2002.74"/>
    <n v="0"/>
    <n v="0"/>
    <n v="0"/>
    <x v="29"/>
  </r>
  <r>
    <x v="3"/>
    <x v="12"/>
    <x v="30"/>
    <x v="1"/>
    <x v="3"/>
    <x v="3"/>
    <x v="3"/>
    <x v="0"/>
    <n v="4432"/>
    <x v="0"/>
    <n v="4432"/>
    <n v="37"/>
    <x v="11"/>
    <x v="0"/>
    <x v="0"/>
    <n v="1861.4399999999998"/>
    <n v="2570.5600000000004"/>
    <n v="0"/>
    <n v="0"/>
    <n v="0"/>
    <x v="30"/>
  </r>
  <r>
    <x v="25"/>
    <x v="12"/>
    <x v="31"/>
    <x v="6"/>
    <x v="1"/>
    <x v="0"/>
    <x v="1"/>
    <x v="10"/>
    <n v="979"/>
    <x v="11"/>
    <n v="740.12400000000002"/>
    <n v="5"/>
    <x v="3"/>
    <x v="0"/>
    <x v="0"/>
    <n v="310.85208"/>
    <n v="429.27192000000002"/>
    <n v="0"/>
    <n v="0"/>
    <n v="0"/>
    <x v="31"/>
  </r>
  <r>
    <x v="26"/>
    <x v="13"/>
    <x v="32"/>
    <x v="0"/>
    <x v="3"/>
    <x v="0"/>
    <x v="0"/>
    <x v="10"/>
    <n v="3168"/>
    <x v="0"/>
    <n v="3168"/>
    <n v="43"/>
    <x v="15"/>
    <x v="0"/>
    <x v="0"/>
    <n v="1330.56"/>
    <n v="1837.44"/>
    <n v="0"/>
    <n v="0"/>
    <n v="0"/>
    <x v="32"/>
  </r>
  <r>
    <x v="4"/>
    <x v="13"/>
    <x v="33"/>
    <x v="2"/>
    <x v="1"/>
    <x v="3"/>
    <x v="0"/>
    <x v="4"/>
    <n v="1518"/>
    <x v="0"/>
    <n v="1518"/>
    <n v="44"/>
    <x v="5"/>
    <x v="0"/>
    <x v="0"/>
    <n v="637.55999999999995"/>
    <n v="880.44"/>
    <n v="0"/>
    <n v="0"/>
    <n v="0"/>
    <x v="33"/>
  </r>
  <r>
    <x v="27"/>
    <x v="14"/>
    <x v="34"/>
    <x v="7"/>
    <x v="2"/>
    <x v="2"/>
    <x v="2"/>
    <x v="3"/>
    <n v="441"/>
    <x v="0"/>
    <n v="441"/>
    <n v="38"/>
    <x v="17"/>
    <x v="0"/>
    <x v="0"/>
    <n v="185.22"/>
    <n v="255.78"/>
    <n v="0"/>
    <n v="0"/>
    <n v="0"/>
    <x v="34"/>
  </r>
  <r>
    <x v="1"/>
    <x v="14"/>
    <x v="35"/>
    <x v="1"/>
    <x v="1"/>
    <x v="1"/>
    <x v="4"/>
    <x v="7"/>
    <n v="1097"/>
    <x v="12"/>
    <n v="1034.471"/>
    <n v="37"/>
    <x v="18"/>
    <x v="0"/>
    <x v="0"/>
    <n v="434.47782000000001"/>
    <n v="599.99317999999994"/>
    <n v="0"/>
    <n v="0"/>
    <n v="0"/>
    <x v="35"/>
  </r>
  <r>
    <x v="22"/>
    <x v="14"/>
    <x v="36"/>
    <x v="2"/>
    <x v="4"/>
    <x v="2"/>
    <x v="4"/>
    <x v="6"/>
    <n v="2105"/>
    <x v="13"/>
    <n v="1098.81"/>
    <n v="31"/>
    <x v="11"/>
    <x v="0"/>
    <x v="0"/>
    <n v="461.50019999999995"/>
    <n v="637.3098"/>
    <n v="0"/>
    <n v="0"/>
    <n v="0"/>
    <x v="36"/>
  </r>
  <r>
    <x v="19"/>
    <x v="14"/>
    <x v="37"/>
    <x v="2"/>
    <x v="5"/>
    <x v="3"/>
    <x v="1"/>
    <x v="7"/>
    <n v="2270"/>
    <x v="0"/>
    <n v="2270"/>
    <n v="32"/>
    <x v="19"/>
    <x v="0"/>
    <x v="0"/>
    <n v="953.4"/>
    <n v="1316.6"/>
    <n v="0"/>
    <n v="0"/>
    <n v="0"/>
    <x v="37"/>
  </r>
  <r>
    <x v="26"/>
    <x v="14"/>
    <x v="38"/>
    <x v="0"/>
    <x v="3"/>
    <x v="1"/>
    <x v="5"/>
    <x v="6"/>
    <n v="3171"/>
    <x v="14"/>
    <n v="2720.7179999999998"/>
    <n v="10"/>
    <x v="3"/>
    <x v="1"/>
    <x v="6"/>
    <n v="1142.70156"/>
    <n v="1578.0164399999999"/>
    <n v="150"/>
    <n v="272.0718"/>
    <n v="2720.7179999999998"/>
    <x v="38"/>
  </r>
  <r>
    <x v="22"/>
    <x v="15"/>
    <x v="39"/>
    <x v="2"/>
    <x v="4"/>
    <x v="1"/>
    <x v="2"/>
    <x v="10"/>
    <n v="2061"/>
    <x v="0"/>
    <n v="2061"/>
    <n v="40"/>
    <x v="3"/>
    <x v="1"/>
    <x v="3"/>
    <n v="865.62"/>
    <n v="1195.3800000000001"/>
    <n v="150"/>
    <n v="206.10000000000002"/>
    <n v="2061"/>
    <x v="39"/>
  </r>
  <r>
    <x v="1"/>
    <x v="15"/>
    <x v="40"/>
    <x v="1"/>
    <x v="1"/>
    <x v="3"/>
    <x v="3"/>
    <x v="7"/>
    <n v="1282"/>
    <x v="0"/>
    <n v="1282"/>
    <n v="6"/>
    <x v="3"/>
    <x v="1"/>
    <x v="4"/>
    <n v="538.43999999999994"/>
    <n v="743.56000000000006"/>
    <n v="150"/>
    <n v="128.20000000000002"/>
    <n v="1282"/>
    <x v="40"/>
  </r>
  <r>
    <x v="15"/>
    <x v="15"/>
    <x v="41"/>
    <x v="5"/>
    <x v="1"/>
    <x v="3"/>
    <x v="6"/>
    <x v="6"/>
    <n v="1717"/>
    <x v="0"/>
    <n v="1717"/>
    <n v="22"/>
    <x v="20"/>
    <x v="0"/>
    <x v="0"/>
    <n v="721.14"/>
    <n v="995.86"/>
    <n v="0"/>
    <n v="0"/>
    <n v="0"/>
    <x v="41"/>
  </r>
  <r>
    <x v="0"/>
    <x v="16"/>
    <x v="42"/>
    <x v="0"/>
    <x v="0"/>
    <x v="1"/>
    <x v="5"/>
    <x v="9"/>
    <n v="3557"/>
    <x v="15"/>
    <n v="1728.702"/>
    <n v="36"/>
    <x v="21"/>
    <x v="0"/>
    <x v="0"/>
    <n v="726.05484000000001"/>
    <n v="1002.64716"/>
    <n v="0"/>
    <n v="0"/>
    <n v="0"/>
    <x v="42"/>
  </r>
  <r>
    <x v="26"/>
    <x v="16"/>
    <x v="43"/>
    <x v="0"/>
    <x v="3"/>
    <x v="0"/>
    <x v="0"/>
    <x v="1"/>
    <n v="3033"/>
    <x v="0"/>
    <n v="3033"/>
    <n v="36"/>
    <x v="22"/>
    <x v="1"/>
    <x v="3"/>
    <n v="1273.8599999999999"/>
    <n v="1759.14"/>
    <n v="150"/>
    <n v="303.3"/>
    <n v="3033"/>
    <x v="43"/>
  </r>
  <r>
    <x v="4"/>
    <x v="16"/>
    <x v="44"/>
    <x v="2"/>
    <x v="1"/>
    <x v="1"/>
    <x v="4"/>
    <x v="6"/>
    <n v="959"/>
    <x v="0"/>
    <n v="959"/>
    <n v="11"/>
    <x v="7"/>
    <x v="0"/>
    <x v="0"/>
    <n v="402.78"/>
    <n v="556.22"/>
    <n v="0"/>
    <n v="0"/>
    <n v="0"/>
    <x v="44"/>
  </r>
  <r>
    <x v="12"/>
    <x v="17"/>
    <x v="45"/>
    <x v="1"/>
    <x v="5"/>
    <x v="3"/>
    <x v="0"/>
    <x v="11"/>
    <n v="2184"/>
    <x v="0"/>
    <n v="2184"/>
    <n v="33"/>
    <x v="14"/>
    <x v="0"/>
    <x v="0"/>
    <n v="917.28"/>
    <n v="1266.72"/>
    <n v="0"/>
    <n v="0"/>
    <n v="0"/>
    <x v="45"/>
  </r>
  <r>
    <x v="28"/>
    <x v="17"/>
    <x v="46"/>
    <x v="3"/>
    <x v="3"/>
    <x v="3"/>
    <x v="1"/>
    <x v="1"/>
    <n v="4084"/>
    <x v="16"/>
    <n v="2846.5480000000002"/>
    <n v="13"/>
    <x v="6"/>
    <x v="1"/>
    <x v="4"/>
    <n v="1195.55016"/>
    <n v="1650.9978400000002"/>
    <n v="150"/>
    <n v="284.65480000000002"/>
    <n v="2846.5480000000002"/>
    <x v="46"/>
  </r>
  <r>
    <x v="29"/>
    <x v="17"/>
    <x v="47"/>
    <x v="5"/>
    <x v="2"/>
    <x v="1"/>
    <x v="2"/>
    <x v="6"/>
    <n v="185"/>
    <x v="17"/>
    <n v="85.284999999999997"/>
    <n v="42"/>
    <x v="23"/>
    <x v="0"/>
    <x v="0"/>
    <n v="35.819699999999997"/>
    <n v="49.465299999999999"/>
    <n v="0"/>
    <n v="0"/>
    <n v="0"/>
    <x v="47"/>
  </r>
  <r>
    <x v="30"/>
    <x v="17"/>
    <x v="48"/>
    <x v="7"/>
    <x v="4"/>
    <x v="3"/>
    <x v="2"/>
    <x v="7"/>
    <n v="2549"/>
    <x v="0"/>
    <n v="2549"/>
    <n v="7"/>
    <x v="24"/>
    <x v="0"/>
    <x v="0"/>
    <n v="1070.58"/>
    <n v="1478.42"/>
    <n v="0"/>
    <n v="0"/>
    <n v="0"/>
    <x v="48"/>
  </r>
  <r>
    <x v="31"/>
    <x v="17"/>
    <x v="49"/>
    <x v="2"/>
    <x v="2"/>
    <x v="3"/>
    <x v="2"/>
    <x v="11"/>
    <n v="459"/>
    <x v="18"/>
    <n v="202.41900000000004"/>
    <n v="43"/>
    <x v="3"/>
    <x v="0"/>
    <x v="0"/>
    <n v="85.015980000000013"/>
    <n v="117.40302000000003"/>
    <n v="0"/>
    <n v="0"/>
    <n v="0"/>
    <x v="49"/>
  </r>
  <r>
    <x v="32"/>
    <x v="18"/>
    <x v="50"/>
    <x v="4"/>
    <x v="4"/>
    <x v="2"/>
    <x v="6"/>
    <x v="8"/>
    <n v="2422"/>
    <x v="0"/>
    <n v="2422"/>
    <n v="3"/>
    <x v="25"/>
    <x v="1"/>
    <x v="1"/>
    <n v="1017.24"/>
    <n v="1404.76"/>
    <n v="150"/>
    <n v="242.20000000000002"/>
    <n v="2422"/>
    <x v="50"/>
  </r>
  <r>
    <x v="33"/>
    <x v="18"/>
    <x v="51"/>
    <x v="7"/>
    <x v="0"/>
    <x v="0"/>
    <x v="3"/>
    <x v="7"/>
    <n v="4163"/>
    <x v="0"/>
    <n v="4163"/>
    <n v="50"/>
    <x v="26"/>
    <x v="0"/>
    <x v="0"/>
    <n v="1748.46"/>
    <n v="2414.54"/>
    <n v="0"/>
    <n v="0"/>
    <n v="0"/>
    <x v="51"/>
  </r>
  <r>
    <x v="14"/>
    <x v="19"/>
    <x v="52"/>
    <x v="6"/>
    <x v="3"/>
    <x v="3"/>
    <x v="3"/>
    <x v="9"/>
    <n v="4440"/>
    <x v="19"/>
    <n v="1904.7599999999998"/>
    <n v="14"/>
    <x v="25"/>
    <x v="1"/>
    <x v="4"/>
    <n v="799.99919999999986"/>
    <n v="1104.7608"/>
    <n v="150"/>
    <n v="190.476"/>
    <n v="1904.7599999999998"/>
    <x v="52"/>
  </r>
  <r>
    <x v="0"/>
    <x v="19"/>
    <x v="53"/>
    <x v="0"/>
    <x v="0"/>
    <x v="0"/>
    <x v="3"/>
    <x v="7"/>
    <n v="3896"/>
    <x v="0"/>
    <n v="3896"/>
    <n v="21"/>
    <x v="27"/>
    <x v="1"/>
    <x v="3"/>
    <n v="1636.32"/>
    <n v="2259.6800000000003"/>
    <n v="150"/>
    <n v="389.6"/>
    <n v="3896"/>
    <x v="53"/>
  </r>
  <r>
    <x v="31"/>
    <x v="20"/>
    <x v="54"/>
    <x v="2"/>
    <x v="2"/>
    <x v="2"/>
    <x v="2"/>
    <x v="2"/>
    <n v="155"/>
    <x v="20"/>
    <n v="76.105000000000004"/>
    <n v="21"/>
    <x v="0"/>
    <x v="0"/>
    <x v="0"/>
    <n v="31.964100000000002"/>
    <n v="44.140900000000002"/>
    <n v="0"/>
    <n v="0"/>
    <n v="0"/>
    <x v="54"/>
  </r>
  <r>
    <x v="34"/>
    <x v="20"/>
    <x v="55"/>
    <x v="6"/>
    <x v="0"/>
    <x v="3"/>
    <x v="3"/>
    <x v="3"/>
    <n v="4127"/>
    <x v="21"/>
    <n v="3499.6959999999999"/>
    <n v="42"/>
    <x v="3"/>
    <x v="1"/>
    <x v="5"/>
    <n v="1469.8723199999999"/>
    <n v="2029.82368"/>
    <n v="150"/>
    <n v="349.96960000000001"/>
    <n v="3499.6959999999999"/>
    <x v="55"/>
  </r>
  <r>
    <x v="35"/>
    <x v="20"/>
    <x v="56"/>
    <x v="4"/>
    <x v="1"/>
    <x v="0"/>
    <x v="3"/>
    <x v="8"/>
    <n v="1510"/>
    <x v="0"/>
    <n v="1510"/>
    <n v="35"/>
    <x v="28"/>
    <x v="0"/>
    <x v="0"/>
    <n v="634.19999999999993"/>
    <n v="875.80000000000007"/>
    <n v="0"/>
    <n v="0"/>
    <n v="0"/>
    <x v="56"/>
  </r>
  <r>
    <x v="6"/>
    <x v="20"/>
    <x v="57"/>
    <x v="0"/>
    <x v="4"/>
    <x v="0"/>
    <x v="0"/>
    <x v="11"/>
    <n v="2025"/>
    <x v="22"/>
    <n v="1492.425"/>
    <n v="19"/>
    <x v="29"/>
    <x v="0"/>
    <x v="0"/>
    <n v="626.81849999999997"/>
    <n v="865.60649999999998"/>
    <n v="0"/>
    <n v="0"/>
    <n v="0"/>
    <x v="57"/>
  </r>
  <r>
    <x v="10"/>
    <x v="21"/>
    <x v="58"/>
    <x v="3"/>
    <x v="1"/>
    <x v="3"/>
    <x v="5"/>
    <x v="2"/>
    <n v="1509"/>
    <x v="0"/>
    <n v="1509"/>
    <n v="39"/>
    <x v="30"/>
    <x v="0"/>
    <x v="0"/>
    <n v="633.78"/>
    <n v="875.22"/>
    <n v="0"/>
    <n v="0"/>
    <n v="0"/>
    <x v="58"/>
  </r>
  <r>
    <x v="28"/>
    <x v="21"/>
    <x v="59"/>
    <x v="3"/>
    <x v="3"/>
    <x v="1"/>
    <x v="4"/>
    <x v="5"/>
    <n v="4152"/>
    <x v="23"/>
    <n v="4044.0479999999998"/>
    <n v="27"/>
    <x v="3"/>
    <x v="1"/>
    <x v="4"/>
    <n v="1698.5001599999998"/>
    <n v="2345.5478400000002"/>
    <n v="150"/>
    <n v="404.40480000000002"/>
    <n v="4044.0479999999998"/>
    <x v="59"/>
  </r>
  <r>
    <x v="36"/>
    <x v="21"/>
    <x v="60"/>
    <x v="5"/>
    <x v="3"/>
    <x v="3"/>
    <x v="6"/>
    <x v="7"/>
    <n v="3930"/>
    <x v="24"/>
    <n v="3670.62"/>
    <n v="15"/>
    <x v="21"/>
    <x v="0"/>
    <x v="0"/>
    <n v="1541.6604"/>
    <n v="2128.9596000000001"/>
    <n v="0"/>
    <n v="0"/>
    <n v="0"/>
    <x v="60"/>
  </r>
  <r>
    <x v="34"/>
    <x v="22"/>
    <x v="61"/>
    <x v="6"/>
    <x v="0"/>
    <x v="2"/>
    <x v="6"/>
    <x v="10"/>
    <n v="3798"/>
    <x v="0"/>
    <n v="3798"/>
    <n v="33"/>
    <x v="6"/>
    <x v="0"/>
    <x v="0"/>
    <n v="1595.1599999999999"/>
    <n v="2202.84"/>
    <n v="0"/>
    <n v="0"/>
    <n v="0"/>
    <x v="61"/>
  </r>
  <r>
    <x v="27"/>
    <x v="22"/>
    <x v="62"/>
    <x v="7"/>
    <x v="2"/>
    <x v="1"/>
    <x v="2"/>
    <x v="3"/>
    <n v="256"/>
    <x v="25"/>
    <n v="253.184"/>
    <n v="30"/>
    <x v="31"/>
    <x v="0"/>
    <x v="0"/>
    <n v="106.33727999999999"/>
    <n v="146.84672"/>
    <n v="0"/>
    <n v="0"/>
    <n v="0"/>
    <x v="62"/>
  </r>
  <r>
    <x v="37"/>
    <x v="23"/>
    <x v="63"/>
    <x v="4"/>
    <x v="3"/>
    <x v="3"/>
    <x v="2"/>
    <x v="6"/>
    <n v="4457"/>
    <x v="26"/>
    <n v="3654.7400000000002"/>
    <n v="11"/>
    <x v="26"/>
    <x v="1"/>
    <x v="3"/>
    <n v="1534.9908"/>
    <n v="2119.7492000000002"/>
    <n v="150"/>
    <n v="365.47400000000005"/>
    <n v="3654.7400000000002"/>
    <x v="63"/>
  </r>
  <r>
    <x v="38"/>
    <x v="23"/>
    <x v="64"/>
    <x v="0"/>
    <x v="1"/>
    <x v="1"/>
    <x v="5"/>
    <x v="4"/>
    <n v="1410"/>
    <x v="27"/>
    <n v="1376.16"/>
    <n v="20"/>
    <x v="27"/>
    <x v="0"/>
    <x v="0"/>
    <n v="577.98720000000003"/>
    <n v="798.17280000000005"/>
    <n v="0"/>
    <n v="0"/>
    <n v="0"/>
    <x v="64"/>
  </r>
  <r>
    <x v="18"/>
    <x v="23"/>
    <x v="65"/>
    <x v="3"/>
    <x v="4"/>
    <x v="0"/>
    <x v="5"/>
    <x v="7"/>
    <n v="2727"/>
    <x v="28"/>
    <n v="2135.241"/>
    <n v="21"/>
    <x v="14"/>
    <x v="0"/>
    <x v="0"/>
    <n v="896.80121999999994"/>
    <n v="1238.4397800000002"/>
    <n v="0"/>
    <n v="0"/>
    <n v="0"/>
    <x v="65"/>
  </r>
  <r>
    <x v="29"/>
    <x v="24"/>
    <x v="66"/>
    <x v="5"/>
    <x v="2"/>
    <x v="3"/>
    <x v="2"/>
    <x v="6"/>
    <n v="328"/>
    <x v="0"/>
    <n v="328"/>
    <n v="44"/>
    <x v="16"/>
    <x v="1"/>
    <x v="4"/>
    <n v="137.76"/>
    <n v="190.24"/>
    <n v="150"/>
    <n v="32.800000000000004"/>
    <n v="328"/>
    <x v="66"/>
  </r>
  <r>
    <x v="20"/>
    <x v="24"/>
    <x v="67"/>
    <x v="7"/>
    <x v="1"/>
    <x v="0"/>
    <x v="0"/>
    <x v="2"/>
    <n v="1224"/>
    <x v="0"/>
    <n v="1224"/>
    <n v="17"/>
    <x v="9"/>
    <x v="1"/>
    <x v="4"/>
    <n v="514.07999999999993"/>
    <n v="709.92000000000007"/>
    <n v="150"/>
    <n v="122.4"/>
    <n v="1224"/>
    <x v="67"/>
  </r>
  <r>
    <x v="39"/>
    <x v="24"/>
    <x v="68"/>
    <x v="7"/>
    <x v="5"/>
    <x v="0"/>
    <x v="5"/>
    <x v="6"/>
    <n v="2851"/>
    <x v="29"/>
    <n v="2580.1550000000002"/>
    <n v="17"/>
    <x v="3"/>
    <x v="1"/>
    <x v="1"/>
    <n v="1083.6650999999999"/>
    <n v="1496.4899000000003"/>
    <n v="150"/>
    <n v="258.01550000000003"/>
    <n v="2580.1550000000002"/>
    <x v="68"/>
  </r>
  <r>
    <x v="38"/>
    <x v="24"/>
    <x v="69"/>
    <x v="0"/>
    <x v="1"/>
    <x v="3"/>
    <x v="0"/>
    <x v="10"/>
    <n v="1460"/>
    <x v="30"/>
    <n v="1170.92"/>
    <n v="17"/>
    <x v="2"/>
    <x v="0"/>
    <x v="0"/>
    <n v="491.78640000000001"/>
    <n v="679.13360000000011"/>
    <n v="0"/>
    <n v="0"/>
    <n v="0"/>
    <x v="69"/>
  </r>
  <r>
    <x v="36"/>
    <x v="25"/>
    <x v="70"/>
    <x v="5"/>
    <x v="3"/>
    <x v="1"/>
    <x v="0"/>
    <x v="7"/>
    <n v="3045"/>
    <x v="0"/>
    <n v="3045"/>
    <n v="46"/>
    <x v="3"/>
    <x v="0"/>
    <x v="0"/>
    <n v="1278.8999999999999"/>
    <n v="1766.1000000000001"/>
    <n v="0"/>
    <n v="0"/>
    <n v="0"/>
    <x v="70"/>
  </r>
  <r>
    <x v="16"/>
    <x v="25"/>
    <x v="71"/>
    <x v="3"/>
    <x v="0"/>
    <x v="3"/>
    <x v="4"/>
    <x v="0"/>
    <n v="3771"/>
    <x v="31"/>
    <n v="3491.9459999999999"/>
    <n v="49"/>
    <x v="3"/>
    <x v="0"/>
    <x v="0"/>
    <n v="1466.6173199999998"/>
    <n v="2025.3286800000001"/>
    <n v="0"/>
    <n v="0"/>
    <n v="0"/>
    <x v="71"/>
  </r>
  <r>
    <x v="17"/>
    <x v="26"/>
    <x v="72"/>
    <x v="2"/>
    <x v="0"/>
    <x v="3"/>
    <x v="6"/>
    <x v="7"/>
    <n v="4213"/>
    <x v="32"/>
    <n v="1887.4239999999998"/>
    <n v="21"/>
    <x v="26"/>
    <x v="0"/>
    <x v="0"/>
    <n v="792.71807999999987"/>
    <n v="1094.7059199999999"/>
    <n v="0"/>
    <n v="0"/>
    <n v="0"/>
    <x v="72"/>
  </r>
  <r>
    <x v="10"/>
    <x v="26"/>
    <x v="73"/>
    <x v="3"/>
    <x v="1"/>
    <x v="2"/>
    <x v="5"/>
    <x v="0"/>
    <n v="957"/>
    <x v="0"/>
    <n v="957"/>
    <n v="8"/>
    <x v="4"/>
    <x v="0"/>
    <x v="0"/>
    <n v="401.94"/>
    <n v="555.05999999999995"/>
    <n v="0"/>
    <n v="0"/>
    <n v="0"/>
    <x v="73"/>
  </r>
  <r>
    <x v="7"/>
    <x v="26"/>
    <x v="74"/>
    <x v="3"/>
    <x v="5"/>
    <x v="0"/>
    <x v="5"/>
    <x v="6"/>
    <n v="2674"/>
    <x v="0"/>
    <n v="2674"/>
    <n v="32"/>
    <x v="22"/>
    <x v="1"/>
    <x v="3"/>
    <n v="1123.08"/>
    <n v="1550.92"/>
    <n v="150"/>
    <n v="267.40000000000003"/>
    <n v="2674"/>
    <x v="74"/>
  </r>
  <r>
    <x v="34"/>
    <x v="27"/>
    <x v="75"/>
    <x v="6"/>
    <x v="0"/>
    <x v="0"/>
    <x v="0"/>
    <x v="3"/>
    <n v="4330"/>
    <x v="33"/>
    <n v="2251.6"/>
    <n v="22"/>
    <x v="6"/>
    <x v="1"/>
    <x v="4"/>
    <n v="945.67199999999991"/>
    <n v="1305.9279999999999"/>
    <n v="150"/>
    <n v="225.16"/>
    <n v="2251.6"/>
    <x v="75"/>
  </r>
  <r>
    <x v="7"/>
    <x v="27"/>
    <x v="76"/>
    <x v="3"/>
    <x v="5"/>
    <x v="0"/>
    <x v="4"/>
    <x v="0"/>
    <n v="2950"/>
    <x v="0"/>
    <n v="2950"/>
    <n v="43"/>
    <x v="4"/>
    <x v="0"/>
    <x v="0"/>
    <n v="1239"/>
    <n v="1711"/>
    <n v="0"/>
    <n v="0"/>
    <n v="0"/>
    <x v="76"/>
  </r>
  <r>
    <x v="2"/>
    <x v="27"/>
    <x v="77"/>
    <x v="1"/>
    <x v="2"/>
    <x v="2"/>
    <x v="2"/>
    <x v="10"/>
    <n v="377"/>
    <x v="34"/>
    <n v="292.17500000000001"/>
    <n v="7"/>
    <x v="31"/>
    <x v="1"/>
    <x v="3"/>
    <n v="122.7135"/>
    <n v="169.4615"/>
    <n v="150"/>
    <n v="29.217500000000001"/>
    <n v="292.17500000000001"/>
    <x v="77"/>
  </r>
  <r>
    <x v="35"/>
    <x v="27"/>
    <x v="78"/>
    <x v="4"/>
    <x v="1"/>
    <x v="3"/>
    <x v="3"/>
    <x v="6"/>
    <n v="954"/>
    <x v="0"/>
    <n v="954"/>
    <n v="36"/>
    <x v="19"/>
    <x v="0"/>
    <x v="0"/>
    <n v="400.68"/>
    <n v="553.31999999999994"/>
    <n v="0"/>
    <n v="0"/>
    <n v="0"/>
    <x v="78"/>
  </r>
  <r>
    <x v="2"/>
    <x v="28"/>
    <x v="79"/>
    <x v="1"/>
    <x v="2"/>
    <x v="2"/>
    <x v="2"/>
    <x v="11"/>
    <n v="211"/>
    <x v="0"/>
    <n v="211"/>
    <n v="38"/>
    <x v="21"/>
    <x v="0"/>
    <x v="0"/>
    <n v="88.61999999999999"/>
    <n v="122.38000000000001"/>
    <n v="0"/>
    <n v="0"/>
    <n v="0"/>
    <x v="79"/>
  </r>
  <r>
    <x v="4"/>
    <x v="28"/>
    <x v="80"/>
    <x v="2"/>
    <x v="1"/>
    <x v="0"/>
    <x v="3"/>
    <x v="9"/>
    <n v="932"/>
    <x v="35"/>
    <n v="753.98799999999994"/>
    <n v="23"/>
    <x v="3"/>
    <x v="0"/>
    <x v="0"/>
    <n v="316.67495999999994"/>
    <n v="437.31304"/>
    <n v="0"/>
    <n v="0"/>
    <n v="0"/>
    <x v="80"/>
  </r>
  <r>
    <x v="15"/>
    <x v="28"/>
    <x v="81"/>
    <x v="5"/>
    <x v="1"/>
    <x v="2"/>
    <x v="6"/>
    <x v="7"/>
    <n v="1094"/>
    <x v="35"/>
    <n v="885.04599999999994"/>
    <n v="15"/>
    <x v="18"/>
    <x v="0"/>
    <x v="0"/>
    <n v="371.71931999999998"/>
    <n v="513.3266799999999"/>
    <n v="0"/>
    <n v="0"/>
    <n v="0"/>
    <x v="81"/>
  </r>
  <r>
    <x v="24"/>
    <x v="28"/>
    <x v="82"/>
    <x v="5"/>
    <x v="5"/>
    <x v="1"/>
    <x v="3"/>
    <x v="5"/>
    <n v="2226"/>
    <x v="0"/>
    <n v="2226"/>
    <n v="34"/>
    <x v="12"/>
    <x v="0"/>
    <x v="0"/>
    <n v="934.92"/>
    <n v="1291.08"/>
    <n v="0"/>
    <n v="0"/>
    <n v="0"/>
    <x v="82"/>
  </r>
  <r>
    <x v="26"/>
    <x v="28"/>
    <x v="83"/>
    <x v="0"/>
    <x v="3"/>
    <x v="3"/>
    <x v="5"/>
    <x v="10"/>
    <n v="4113"/>
    <x v="0"/>
    <n v="4113"/>
    <n v="50"/>
    <x v="3"/>
    <x v="0"/>
    <x v="0"/>
    <n v="1727.46"/>
    <n v="2385.54"/>
    <n v="0"/>
    <n v="0"/>
    <n v="0"/>
    <x v="83"/>
  </r>
  <r>
    <x v="40"/>
    <x v="29"/>
    <x v="84"/>
    <x v="5"/>
    <x v="0"/>
    <x v="0"/>
    <x v="0"/>
    <x v="8"/>
    <n v="4075"/>
    <x v="36"/>
    <n v="3154.05"/>
    <n v="50"/>
    <x v="3"/>
    <x v="0"/>
    <x v="0"/>
    <n v="1324.701"/>
    <n v="1829.3490000000002"/>
    <n v="0"/>
    <n v="0"/>
    <n v="0"/>
    <x v="84"/>
  </r>
  <r>
    <x v="30"/>
    <x v="29"/>
    <x v="85"/>
    <x v="7"/>
    <x v="4"/>
    <x v="1"/>
    <x v="5"/>
    <x v="2"/>
    <n v="2729"/>
    <x v="37"/>
    <n v="2404.2489999999998"/>
    <n v="45"/>
    <x v="19"/>
    <x v="0"/>
    <x v="0"/>
    <n v="1009.7845799999999"/>
    <n v="1394.4644199999998"/>
    <n v="0"/>
    <n v="0"/>
    <n v="0"/>
    <x v="85"/>
  </r>
  <r>
    <x v="8"/>
    <x v="29"/>
    <x v="86"/>
    <x v="1"/>
    <x v="0"/>
    <x v="3"/>
    <x v="6"/>
    <x v="4"/>
    <n v="3378"/>
    <x v="0"/>
    <n v="3378"/>
    <n v="26"/>
    <x v="3"/>
    <x v="0"/>
    <x v="0"/>
    <n v="1418.76"/>
    <n v="1959.24"/>
    <n v="0"/>
    <n v="0"/>
    <n v="0"/>
    <x v="86"/>
  </r>
  <r>
    <x v="19"/>
    <x v="30"/>
    <x v="87"/>
    <x v="2"/>
    <x v="5"/>
    <x v="0"/>
    <x v="3"/>
    <x v="9"/>
    <n v="2694"/>
    <x v="0"/>
    <n v="2694"/>
    <n v="17"/>
    <x v="6"/>
    <x v="0"/>
    <x v="0"/>
    <n v="1131.48"/>
    <n v="1562.52"/>
    <n v="0"/>
    <n v="0"/>
    <n v="0"/>
    <x v="87"/>
  </r>
  <r>
    <x v="37"/>
    <x v="30"/>
    <x v="88"/>
    <x v="4"/>
    <x v="3"/>
    <x v="0"/>
    <x v="6"/>
    <x v="3"/>
    <n v="4449"/>
    <x v="38"/>
    <n v="1988.7030000000002"/>
    <n v="47"/>
    <x v="11"/>
    <x v="1"/>
    <x v="6"/>
    <n v="835.25526000000002"/>
    <n v="1153.4477400000001"/>
    <n v="150"/>
    <n v="198.87030000000004"/>
    <n v="1988.7030000000002"/>
    <x v="88"/>
  </r>
  <r>
    <x v="32"/>
    <x v="30"/>
    <x v="89"/>
    <x v="4"/>
    <x v="4"/>
    <x v="3"/>
    <x v="4"/>
    <x v="7"/>
    <n v="2812"/>
    <x v="39"/>
    <n v="1687.2"/>
    <n v="46"/>
    <x v="31"/>
    <x v="0"/>
    <x v="0"/>
    <n v="708.62400000000002"/>
    <n v="978.57600000000002"/>
    <n v="0"/>
    <n v="0"/>
    <n v="0"/>
    <x v="89"/>
  </r>
  <r>
    <x v="3"/>
    <x v="30"/>
    <x v="90"/>
    <x v="1"/>
    <x v="3"/>
    <x v="0"/>
    <x v="3"/>
    <x v="3"/>
    <n v="4009"/>
    <x v="40"/>
    <n v="3752.424"/>
    <n v="50"/>
    <x v="17"/>
    <x v="0"/>
    <x v="0"/>
    <n v="1576.0180799999998"/>
    <n v="2176.4059200000002"/>
    <n v="0"/>
    <n v="0"/>
    <n v="0"/>
    <x v="90"/>
  </r>
  <r>
    <x v="5"/>
    <x v="31"/>
    <x v="91"/>
    <x v="0"/>
    <x v="2"/>
    <x v="1"/>
    <x v="2"/>
    <x v="11"/>
    <n v="473"/>
    <x v="0"/>
    <n v="473"/>
    <n v="27"/>
    <x v="32"/>
    <x v="0"/>
    <x v="0"/>
    <n v="198.66"/>
    <n v="274.34000000000003"/>
    <n v="0"/>
    <n v="0"/>
    <n v="0"/>
    <x v="91"/>
  </r>
  <r>
    <x v="26"/>
    <x v="31"/>
    <x v="92"/>
    <x v="0"/>
    <x v="3"/>
    <x v="3"/>
    <x v="3"/>
    <x v="2"/>
    <n v="3448"/>
    <x v="41"/>
    <n v="1741.24"/>
    <n v="7"/>
    <x v="15"/>
    <x v="0"/>
    <x v="0"/>
    <n v="731.32079999999996"/>
    <n v="1009.9192"/>
    <n v="0"/>
    <n v="0"/>
    <n v="0"/>
    <x v="92"/>
  </r>
  <r>
    <x v="32"/>
    <x v="31"/>
    <x v="93"/>
    <x v="4"/>
    <x v="4"/>
    <x v="2"/>
    <x v="5"/>
    <x v="8"/>
    <n v="2309"/>
    <x v="0"/>
    <n v="2309"/>
    <n v="26"/>
    <x v="3"/>
    <x v="0"/>
    <x v="0"/>
    <n v="969.78"/>
    <n v="1339.22"/>
    <n v="0"/>
    <n v="0"/>
    <n v="0"/>
    <x v="93"/>
  </r>
  <r>
    <x v="6"/>
    <x v="32"/>
    <x v="94"/>
    <x v="0"/>
    <x v="4"/>
    <x v="2"/>
    <x v="5"/>
    <x v="8"/>
    <n v="2379"/>
    <x v="42"/>
    <n v="1132.404"/>
    <n v="14"/>
    <x v="28"/>
    <x v="0"/>
    <x v="0"/>
    <n v="475.60967999999997"/>
    <n v="656.79431999999997"/>
    <n v="0"/>
    <n v="0"/>
    <n v="0"/>
    <x v="94"/>
  </r>
  <r>
    <x v="41"/>
    <x v="32"/>
    <x v="95"/>
    <x v="6"/>
    <x v="2"/>
    <x v="3"/>
    <x v="2"/>
    <x v="2"/>
    <n v="180"/>
    <x v="0"/>
    <n v="180"/>
    <n v="12"/>
    <x v="26"/>
    <x v="0"/>
    <x v="0"/>
    <n v="75.599999999999994"/>
    <n v="104.4"/>
    <n v="0"/>
    <n v="0"/>
    <n v="0"/>
    <x v="95"/>
  </r>
  <r>
    <x v="32"/>
    <x v="32"/>
    <x v="96"/>
    <x v="4"/>
    <x v="4"/>
    <x v="1"/>
    <x v="6"/>
    <x v="1"/>
    <n v="2235"/>
    <x v="43"/>
    <n v="974.46000000000015"/>
    <n v="12"/>
    <x v="19"/>
    <x v="1"/>
    <x v="1"/>
    <n v="409.27320000000003"/>
    <n v="565.18680000000018"/>
    <n v="150"/>
    <n v="97.446000000000026"/>
    <n v="974.46000000000015"/>
    <x v="96"/>
  </r>
  <r>
    <x v="11"/>
    <x v="33"/>
    <x v="97"/>
    <x v="5"/>
    <x v="4"/>
    <x v="3"/>
    <x v="2"/>
    <x v="9"/>
    <n v="2576"/>
    <x v="0"/>
    <n v="2576"/>
    <n v="36"/>
    <x v="10"/>
    <x v="0"/>
    <x v="0"/>
    <n v="1081.92"/>
    <n v="1494.08"/>
    <n v="0"/>
    <n v="0"/>
    <n v="0"/>
    <x v="97"/>
  </r>
  <r>
    <x v="6"/>
    <x v="33"/>
    <x v="98"/>
    <x v="0"/>
    <x v="4"/>
    <x v="3"/>
    <x v="5"/>
    <x v="6"/>
    <n v="2009"/>
    <x v="44"/>
    <n v="1948.73"/>
    <n v="40"/>
    <x v="33"/>
    <x v="0"/>
    <x v="0"/>
    <n v="818.46659999999997"/>
    <n v="1130.2634"/>
    <n v="0"/>
    <n v="0"/>
    <n v="0"/>
    <x v="98"/>
  </r>
  <r>
    <x v="25"/>
    <x v="34"/>
    <x v="99"/>
    <x v="6"/>
    <x v="1"/>
    <x v="3"/>
    <x v="1"/>
    <x v="2"/>
    <n v="1243"/>
    <x v="0"/>
    <n v="1243"/>
    <n v="39"/>
    <x v="18"/>
    <x v="1"/>
    <x v="4"/>
    <n v="522.05999999999995"/>
    <n v="720.94"/>
    <n v="150"/>
    <n v="124.30000000000001"/>
    <n v="1243"/>
    <x v="99"/>
  </r>
  <r>
    <x v="6"/>
    <x v="34"/>
    <x v="100"/>
    <x v="0"/>
    <x v="4"/>
    <x v="2"/>
    <x v="1"/>
    <x v="7"/>
    <n v="2124"/>
    <x v="45"/>
    <n v="1709.82"/>
    <n v="42"/>
    <x v="34"/>
    <x v="1"/>
    <x v="0"/>
    <n v="718.12439999999992"/>
    <n v="991.69560000000001"/>
    <n v="150"/>
    <n v="170.982"/>
    <n v="1709.82"/>
    <x v="100"/>
  </r>
  <r>
    <x v="19"/>
    <x v="34"/>
    <x v="101"/>
    <x v="2"/>
    <x v="5"/>
    <x v="1"/>
    <x v="3"/>
    <x v="7"/>
    <n v="2039"/>
    <x v="0"/>
    <n v="2039"/>
    <n v="34"/>
    <x v="18"/>
    <x v="1"/>
    <x v="3"/>
    <n v="856.38"/>
    <n v="1182.6199999999999"/>
    <n v="150"/>
    <n v="203.9"/>
    <n v="2039"/>
    <x v="101"/>
  </r>
  <r>
    <x v="12"/>
    <x v="35"/>
    <x v="102"/>
    <x v="1"/>
    <x v="5"/>
    <x v="0"/>
    <x v="3"/>
    <x v="8"/>
    <n v="2965"/>
    <x v="0"/>
    <n v="2965"/>
    <n v="25"/>
    <x v="25"/>
    <x v="1"/>
    <x v="6"/>
    <n v="1245.3"/>
    <n v="1719.7"/>
    <n v="150"/>
    <n v="296.5"/>
    <n v="2965"/>
    <x v="102"/>
  </r>
  <r>
    <x v="21"/>
    <x v="35"/>
    <x v="103"/>
    <x v="1"/>
    <x v="4"/>
    <x v="1"/>
    <x v="1"/>
    <x v="9"/>
    <n v="2979"/>
    <x v="46"/>
    <n v="1245.2219999999998"/>
    <n v="32"/>
    <x v="35"/>
    <x v="1"/>
    <x v="3"/>
    <n v="522.9932399999999"/>
    <n v="722.22875999999985"/>
    <n v="150"/>
    <n v="124.52219999999998"/>
    <n v="1245.2219999999998"/>
    <x v="103"/>
  </r>
  <r>
    <x v="37"/>
    <x v="35"/>
    <x v="104"/>
    <x v="4"/>
    <x v="3"/>
    <x v="1"/>
    <x v="3"/>
    <x v="0"/>
    <n v="4236"/>
    <x v="0"/>
    <n v="4236"/>
    <n v="10"/>
    <x v="28"/>
    <x v="1"/>
    <x v="4"/>
    <n v="1779.12"/>
    <n v="2456.88"/>
    <n v="150"/>
    <n v="423.6"/>
    <n v="4236"/>
    <x v="104"/>
  </r>
  <r>
    <x v="22"/>
    <x v="35"/>
    <x v="105"/>
    <x v="2"/>
    <x v="4"/>
    <x v="0"/>
    <x v="0"/>
    <x v="8"/>
    <n v="2971"/>
    <x v="0"/>
    <n v="2971"/>
    <n v="21"/>
    <x v="24"/>
    <x v="1"/>
    <x v="0"/>
    <n v="1247.82"/>
    <n v="1723.18"/>
    <n v="150"/>
    <n v="297.10000000000002"/>
    <n v="2971"/>
    <x v="105"/>
  </r>
  <r>
    <x v="22"/>
    <x v="36"/>
    <x v="106"/>
    <x v="2"/>
    <x v="4"/>
    <x v="3"/>
    <x v="6"/>
    <x v="8"/>
    <n v="2649"/>
    <x v="0"/>
    <n v="2649"/>
    <n v="44"/>
    <x v="36"/>
    <x v="0"/>
    <x v="0"/>
    <n v="1112.58"/>
    <n v="1536.42"/>
    <n v="0"/>
    <n v="0"/>
    <n v="0"/>
    <x v="106"/>
  </r>
  <r>
    <x v="32"/>
    <x v="36"/>
    <x v="107"/>
    <x v="4"/>
    <x v="4"/>
    <x v="2"/>
    <x v="0"/>
    <x v="5"/>
    <n v="2259"/>
    <x v="0"/>
    <n v="2259"/>
    <n v="41"/>
    <x v="3"/>
    <x v="0"/>
    <x v="0"/>
    <n v="948.78"/>
    <n v="1310.22"/>
    <n v="0"/>
    <n v="0"/>
    <n v="0"/>
    <x v="107"/>
  </r>
  <r>
    <x v="37"/>
    <x v="37"/>
    <x v="108"/>
    <x v="4"/>
    <x v="3"/>
    <x v="2"/>
    <x v="5"/>
    <x v="9"/>
    <n v="3590"/>
    <x v="0"/>
    <n v="3590"/>
    <n v="23"/>
    <x v="11"/>
    <x v="1"/>
    <x v="3"/>
    <n v="1507.8"/>
    <n v="2082.1999999999998"/>
    <n v="150"/>
    <n v="359"/>
    <n v="3590"/>
    <x v="108"/>
  </r>
  <r>
    <x v="42"/>
    <x v="37"/>
    <x v="109"/>
    <x v="0"/>
    <x v="5"/>
    <x v="1"/>
    <x v="3"/>
    <x v="4"/>
    <n v="2185"/>
    <x v="47"/>
    <n v="884.92500000000007"/>
    <n v="5"/>
    <x v="28"/>
    <x v="0"/>
    <x v="0"/>
    <n v="371.66849999999999"/>
    <n v="513.25650000000007"/>
    <n v="0"/>
    <n v="0"/>
    <n v="0"/>
    <x v="109"/>
  </r>
  <r>
    <x v="8"/>
    <x v="37"/>
    <x v="110"/>
    <x v="1"/>
    <x v="0"/>
    <x v="0"/>
    <x v="1"/>
    <x v="3"/>
    <n v="4256"/>
    <x v="0"/>
    <n v="4256"/>
    <n v="9"/>
    <x v="13"/>
    <x v="0"/>
    <x v="0"/>
    <n v="1787.52"/>
    <n v="2468.48"/>
    <n v="0"/>
    <n v="0"/>
    <n v="0"/>
    <x v="110"/>
  </r>
  <r>
    <x v="31"/>
    <x v="37"/>
    <x v="111"/>
    <x v="2"/>
    <x v="2"/>
    <x v="1"/>
    <x v="2"/>
    <x v="11"/>
    <n v="187"/>
    <x v="0"/>
    <n v="187"/>
    <n v="4"/>
    <x v="26"/>
    <x v="0"/>
    <x v="0"/>
    <n v="78.539999999999992"/>
    <n v="108.46000000000001"/>
    <n v="0"/>
    <n v="0"/>
    <n v="0"/>
    <x v="111"/>
  </r>
  <r>
    <x v="43"/>
    <x v="37"/>
    <x v="112"/>
    <x v="4"/>
    <x v="5"/>
    <x v="2"/>
    <x v="3"/>
    <x v="10"/>
    <n v="2731"/>
    <x v="48"/>
    <n v="1365.5"/>
    <n v="28"/>
    <x v="37"/>
    <x v="1"/>
    <x v="3"/>
    <n v="573.51"/>
    <n v="791.99"/>
    <n v="150"/>
    <n v="136.55000000000001"/>
    <n v="1365.5"/>
    <x v="112"/>
  </r>
  <r>
    <x v="10"/>
    <x v="38"/>
    <x v="113"/>
    <x v="3"/>
    <x v="1"/>
    <x v="3"/>
    <x v="4"/>
    <x v="0"/>
    <n v="1141"/>
    <x v="49"/>
    <n v="755.34199999999998"/>
    <n v="27"/>
    <x v="38"/>
    <x v="0"/>
    <x v="0"/>
    <n v="317.24363999999997"/>
    <n v="438.09836000000001"/>
    <n v="0"/>
    <n v="0"/>
    <n v="0"/>
    <x v="113"/>
  </r>
  <r>
    <x v="30"/>
    <x v="38"/>
    <x v="114"/>
    <x v="7"/>
    <x v="4"/>
    <x v="1"/>
    <x v="3"/>
    <x v="1"/>
    <n v="2594"/>
    <x v="50"/>
    <n v="1932.53"/>
    <n v="8"/>
    <x v="29"/>
    <x v="0"/>
    <x v="0"/>
    <n v="811.6626"/>
    <n v="1120.8674000000001"/>
    <n v="0"/>
    <n v="0"/>
    <n v="0"/>
    <x v="114"/>
  </r>
  <r>
    <x v="38"/>
    <x v="38"/>
    <x v="115"/>
    <x v="0"/>
    <x v="1"/>
    <x v="0"/>
    <x v="2"/>
    <x v="11"/>
    <n v="1522"/>
    <x v="0"/>
    <n v="1522"/>
    <n v="37"/>
    <x v="29"/>
    <x v="0"/>
    <x v="0"/>
    <n v="639.24"/>
    <n v="882.76"/>
    <n v="0"/>
    <n v="0"/>
    <n v="0"/>
    <x v="115"/>
  </r>
  <r>
    <x v="2"/>
    <x v="39"/>
    <x v="116"/>
    <x v="1"/>
    <x v="2"/>
    <x v="2"/>
    <x v="2"/>
    <x v="11"/>
    <n v="249"/>
    <x v="0"/>
    <n v="249"/>
    <n v="48"/>
    <x v="3"/>
    <x v="0"/>
    <x v="0"/>
    <n v="104.58"/>
    <n v="144.42000000000002"/>
    <n v="0"/>
    <n v="0"/>
    <n v="0"/>
    <x v="116"/>
  </r>
  <r>
    <x v="42"/>
    <x v="39"/>
    <x v="117"/>
    <x v="0"/>
    <x v="5"/>
    <x v="0"/>
    <x v="6"/>
    <x v="9"/>
    <n v="2599"/>
    <x v="0"/>
    <n v="2599"/>
    <n v="12"/>
    <x v="7"/>
    <x v="0"/>
    <x v="0"/>
    <n v="1091.58"/>
    <n v="1507.42"/>
    <n v="0"/>
    <n v="0"/>
    <n v="0"/>
    <x v="117"/>
  </r>
  <r>
    <x v="21"/>
    <x v="40"/>
    <x v="118"/>
    <x v="1"/>
    <x v="4"/>
    <x v="1"/>
    <x v="3"/>
    <x v="2"/>
    <n v="2308"/>
    <x v="0"/>
    <n v="2308"/>
    <n v="49"/>
    <x v="3"/>
    <x v="0"/>
    <x v="0"/>
    <n v="969.36"/>
    <n v="1338.6399999999999"/>
    <n v="0"/>
    <n v="0"/>
    <n v="0"/>
    <x v="118"/>
  </r>
  <r>
    <x v="0"/>
    <x v="40"/>
    <x v="119"/>
    <x v="0"/>
    <x v="0"/>
    <x v="0"/>
    <x v="1"/>
    <x v="0"/>
    <n v="3447"/>
    <x v="0"/>
    <n v="3447"/>
    <n v="27"/>
    <x v="17"/>
    <x v="1"/>
    <x v="4"/>
    <n v="1447.74"/>
    <n v="1999.26"/>
    <n v="150"/>
    <n v="344.70000000000005"/>
    <n v="3447"/>
    <x v="119"/>
  </r>
  <r>
    <x v="3"/>
    <x v="40"/>
    <x v="120"/>
    <x v="1"/>
    <x v="3"/>
    <x v="2"/>
    <x v="4"/>
    <x v="9"/>
    <n v="4039"/>
    <x v="0"/>
    <n v="4039"/>
    <n v="27"/>
    <x v="3"/>
    <x v="1"/>
    <x v="4"/>
    <n v="1696.3799999999999"/>
    <n v="2342.62"/>
    <n v="150"/>
    <n v="403.90000000000003"/>
    <n v="4039"/>
    <x v="120"/>
  </r>
  <r>
    <x v="23"/>
    <x v="41"/>
    <x v="121"/>
    <x v="6"/>
    <x v="4"/>
    <x v="1"/>
    <x v="3"/>
    <x v="0"/>
    <n v="2251"/>
    <x v="0"/>
    <n v="2251"/>
    <n v="34"/>
    <x v="3"/>
    <x v="1"/>
    <x v="6"/>
    <n v="945.42"/>
    <n v="1305.58"/>
    <n v="150"/>
    <n v="225.10000000000002"/>
    <n v="2251"/>
    <x v="121"/>
  </r>
  <r>
    <x v="0"/>
    <x v="41"/>
    <x v="122"/>
    <x v="0"/>
    <x v="0"/>
    <x v="1"/>
    <x v="4"/>
    <x v="10"/>
    <n v="3624"/>
    <x v="51"/>
    <n v="1960.5840000000001"/>
    <n v="24"/>
    <x v="3"/>
    <x v="0"/>
    <x v="0"/>
    <n v="823.44528000000003"/>
    <n v="1137.1387199999999"/>
    <n v="0"/>
    <n v="0"/>
    <n v="0"/>
    <x v="122"/>
  </r>
  <r>
    <x v="37"/>
    <x v="41"/>
    <x v="123"/>
    <x v="4"/>
    <x v="3"/>
    <x v="3"/>
    <x v="5"/>
    <x v="10"/>
    <n v="4364"/>
    <x v="5"/>
    <n v="3888.3240000000001"/>
    <n v="40"/>
    <x v="24"/>
    <x v="1"/>
    <x v="4"/>
    <n v="1633.09608"/>
    <n v="2255.2279200000003"/>
    <n v="150"/>
    <n v="388.83240000000001"/>
    <n v="3888.3240000000001"/>
    <x v="123"/>
  </r>
  <r>
    <x v="2"/>
    <x v="41"/>
    <x v="124"/>
    <x v="1"/>
    <x v="2"/>
    <x v="1"/>
    <x v="2"/>
    <x v="11"/>
    <n v="344"/>
    <x v="52"/>
    <n v="166.84"/>
    <n v="28"/>
    <x v="20"/>
    <x v="1"/>
    <x v="6"/>
    <n v="70.072800000000001"/>
    <n v="96.767200000000003"/>
    <n v="150"/>
    <n v="16.684000000000001"/>
    <n v="166.84"/>
    <x v="124"/>
  </r>
  <r>
    <x v="44"/>
    <x v="42"/>
    <x v="125"/>
    <x v="6"/>
    <x v="5"/>
    <x v="0"/>
    <x v="4"/>
    <x v="3"/>
    <n v="1920"/>
    <x v="51"/>
    <n v="1038.72"/>
    <n v="37"/>
    <x v="12"/>
    <x v="1"/>
    <x v="3"/>
    <n v="436.26240000000001"/>
    <n v="602.45759999999996"/>
    <n v="150"/>
    <n v="103.87200000000001"/>
    <n v="1038.72"/>
    <x v="125"/>
  </r>
  <r>
    <x v="36"/>
    <x v="42"/>
    <x v="126"/>
    <x v="5"/>
    <x v="3"/>
    <x v="0"/>
    <x v="4"/>
    <x v="5"/>
    <n v="4476"/>
    <x v="0"/>
    <n v="4476"/>
    <n v="50"/>
    <x v="15"/>
    <x v="0"/>
    <x v="0"/>
    <n v="1879.9199999999998"/>
    <n v="2596.08"/>
    <n v="0"/>
    <n v="0"/>
    <n v="0"/>
    <x v="126"/>
  </r>
  <r>
    <x v="36"/>
    <x v="42"/>
    <x v="127"/>
    <x v="5"/>
    <x v="3"/>
    <x v="0"/>
    <x v="4"/>
    <x v="7"/>
    <n v="3546"/>
    <x v="53"/>
    <n v="2783.61"/>
    <n v="7"/>
    <x v="4"/>
    <x v="0"/>
    <x v="0"/>
    <n v="1169.1161999999999"/>
    <n v="1614.4938000000002"/>
    <n v="0"/>
    <n v="0"/>
    <n v="0"/>
    <x v="127"/>
  </r>
  <r>
    <x v="40"/>
    <x v="43"/>
    <x v="128"/>
    <x v="5"/>
    <x v="0"/>
    <x v="0"/>
    <x v="5"/>
    <x v="1"/>
    <n v="3806"/>
    <x v="0"/>
    <n v="3806"/>
    <n v="1"/>
    <x v="2"/>
    <x v="1"/>
    <x v="4"/>
    <n v="1598.52"/>
    <n v="2207.48"/>
    <n v="150"/>
    <n v="380.6"/>
    <n v="3806"/>
    <x v="128"/>
  </r>
  <r>
    <x v="14"/>
    <x v="43"/>
    <x v="129"/>
    <x v="6"/>
    <x v="3"/>
    <x v="2"/>
    <x v="5"/>
    <x v="3"/>
    <n v="4493"/>
    <x v="0"/>
    <n v="4493"/>
    <n v="36"/>
    <x v="19"/>
    <x v="1"/>
    <x v="3"/>
    <n v="1887.06"/>
    <n v="2605.94"/>
    <n v="150"/>
    <n v="449.3"/>
    <n v="4493"/>
    <x v="129"/>
  </r>
  <r>
    <x v="19"/>
    <x v="43"/>
    <x v="130"/>
    <x v="2"/>
    <x v="5"/>
    <x v="0"/>
    <x v="0"/>
    <x v="10"/>
    <n v="2630"/>
    <x v="0"/>
    <n v="2630"/>
    <n v="11"/>
    <x v="14"/>
    <x v="0"/>
    <x v="0"/>
    <n v="1104.5999999999999"/>
    <n v="1525.4"/>
    <n v="0"/>
    <n v="0"/>
    <n v="0"/>
    <x v="130"/>
  </r>
  <r>
    <x v="18"/>
    <x v="43"/>
    <x v="131"/>
    <x v="3"/>
    <x v="4"/>
    <x v="0"/>
    <x v="3"/>
    <x v="6"/>
    <n v="2187"/>
    <x v="0"/>
    <n v="2187"/>
    <n v="13"/>
    <x v="27"/>
    <x v="0"/>
    <x v="0"/>
    <n v="918.54"/>
    <n v="1268.46"/>
    <n v="0"/>
    <n v="0"/>
    <n v="0"/>
    <x v="131"/>
  </r>
  <r>
    <x v="10"/>
    <x v="43"/>
    <x v="132"/>
    <x v="3"/>
    <x v="1"/>
    <x v="0"/>
    <x v="0"/>
    <x v="7"/>
    <n v="1036"/>
    <x v="0"/>
    <n v="1036"/>
    <n v="31"/>
    <x v="3"/>
    <x v="0"/>
    <x v="0"/>
    <n v="435.12"/>
    <n v="600.88"/>
    <n v="0"/>
    <n v="0"/>
    <n v="0"/>
    <x v="132"/>
  </r>
  <r>
    <x v="29"/>
    <x v="44"/>
    <x v="133"/>
    <x v="5"/>
    <x v="2"/>
    <x v="1"/>
    <x v="2"/>
    <x v="5"/>
    <n v="385"/>
    <x v="54"/>
    <n v="281.05"/>
    <n v="9"/>
    <x v="25"/>
    <x v="1"/>
    <x v="4"/>
    <n v="118.041"/>
    <n v="163.00900000000001"/>
    <n v="150"/>
    <n v="28.105000000000004"/>
    <n v="281.05"/>
    <x v="133"/>
  </r>
  <r>
    <x v="35"/>
    <x v="44"/>
    <x v="134"/>
    <x v="4"/>
    <x v="1"/>
    <x v="0"/>
    <x v="3"/>
    <x v="7"/>
    <n v="1357"/>
    <x v="0"/>
    <n v="1357"/>
    <n v="9"/>
    <x v="30"/>
    <x v="0"/>
    <x v="0"/>
    <n v="569.93999999999994"/>
    <n v="787.06000000000006"/>
    <n v="0"/>
    <n v="0"/>
    <n v="0"/>
    <x v="134"/>
  </r>
  <r>
    <x v="25"/>
    <x v="45"/>
    <x v="135"/>
    <x v="6"/>
    <x v="1"/>
    <x v="0"/>
    <x v="1"/>
    <x v="2"/>
    <n v="1361"/>
    <x v="0"/>
    <n v="1361"/>
    <n v="50"/>
    <x v="14"/>
    <x v="0"/>
    <x v="0"/>
    <n v="571.62"/>
    <n v="789.38"/>
    <n v="0"/>
    <n v="0"/>
    <n v="0"/>
    <x v="135"/>
  </r>
  <r>
    <x v="35"/>
    <x v="45"/>
    <x v="136"/>
    <x v="4"/>
    <x v="1"/>
    <x v="3"/>
    <x v="2"/>
    <x v="10"/>
    <n v="1700"/>
    <x v="0"/>
    <n v="1700"/>
    <n v="24"/>
    <x v="20"/>
    <x v="0"/>
    <x v="0"/>
    <n v="714"/>
    <n v="986"/>
    <n v="0"/>
    <n v="0"/>
    <n v="0"/>
    <x v="136"/>
  </r>
  <r>
    <x v="33"/>
    <x v="45"/>
    <x v="137"/>
    <x v="7"/>
    <x v="0"/>
    <x v="2"/>
    <x v="6"/>
    <x v="1"/>
    <n v="4234"/>
    <x v="0"/>
    <n v="4234"/>
    <n v="16"/>
    <x v="3"/>
    <x v="1"/>
    <x v="1"/>
    <n v="1778.28"/>
    <n v="2455.7200000000003"/>
    <n v="150"/>
    <n v="423.40000000000003"/>
    <n v="4234"/>
    <x v="137"/>
  </r>
  <r>
    <x v="6"/>
    <x v="45"/>
    <x v="138"/>
    <x v="0"/>
    <x v="4"/>
    <x v="1"/>
    <x v="4"/>
    <x v="8"/>
    <n v="2346"/>
    <x v="55"/>
    <n v="966.55200000000002"/>
    <n v="50"/>
    <x v="10"/>
    <x v="0"/>
    <x v="0"/>
    <n v="405.95184"/>
    <n v="560.60015999999996"/>
    <n v="0"/>
    <n v="0"/>
    <n v="0"/>
    <x v="138"/>
  </r>
  <r>
    <x v="3"/>
    <x v="46"/>
    <x v="139"/>
    <x v="1"/>
    <x v="3"/>
    <x v="0"/>
    <x v="1"/>
    <x v="7"/>
    <n v="3372"/>
    <x v="0"/>
    <n v="3372"/>
    <n v="31"/>
    <x v="11"/>
    <x v="1"/>
    <x v="3"/>
    <n v="1416.24"/>
    <n v="1955.76"/>
    <n v="150"/>
    <n v="337.20000000000005"/>
    <n v="3372"/>
    <x v="139"/>
  </r>
  <r>
    <x v="24"/>
    <x v="46"/>
    <x v="140"/>
    <x v="5"/>
    <x v="5"/>
    <x v="0"/>
    <x v="5"/>
    <x v="4"/>
    <n v="2112"/>
    <x v="0"/>
    <n v="2112"/>
    <n v="5"/>
    <x v="3"/>
    <x v="0"/>
    <x v="0"/>
    <n v="887.04"/>
    <n v="1224.96"/>
    <n v="0"/>
    <n v="0"/>
    <n v="0"/>
    <x v="140"/>
  </r>
  <r>
    <x v="34"/>
    <x v="46"/>
    <x v="141"/>
    <x v="6"/>
    <x v="0"/>
    <x v="3"/>
    <x v="6"/>
    <x v="5"/>
    <n v="3562"/>
    <x v="0"/>
    <n v="3562"/>
    <n v="29"/>
    <x v="33"/>
    <x v="0"/>
    <x v="0"/>
    <n v="1496.04"/>
    <n v="2065.96"/>
    <n v="0"/>
    <n v="0"/>
    <n v="0"/>
    <x v="141"/>
  </r>
  <r>
    <x v="45"/>
    <x v="46"/>
    <x v="142"/>
    <x v="7"/>
    <x v="3"/>
    <x v="1"/>
    <x v="0"/>
    <x v="0"/>
    <n v="3076"/>
    <x v="0"/>
    <n v="3076"/>
    <n v="21"/>
    <x v="3"/>
    <x v="1"/>
    <x v="4"/>
    <n v="1291.9199999999998"/>
    <n v="1784.0800000000002"/>
    <n v="150"/>
    <n v="307.60000000000002"/>
    <n v="3076"/>
    <x v="142"/>
  </r>
  <r>
    <x v="35"/>
    <x v="47"/>
    <x v="143"/>
    <x v="4"/>
    <x v="1"/>
    <x v="0"/>
    <x v="1"/>
    <x v="8"/>
    <n v="1117"/>
    <x v="0"/>
    <n v="1117"/>
    <n v="41"/>
    <x v="28"/>
    <x v="0"/>
    <x v="0"/>
    <n v="469.14"/>
    <n v="647.86"/>
    <n v="0"/>
    <n v="0"/>
    <n v="0"/>
    <x v="143"/>
  </r>
  <r>
    <x v="0"/>
    <x v="47"/>
    <x v="144"/>
    <x v="0"/>
    <x v="0"/>
    <x v="0"/>
    <x v="1"/>
    <x v="8"/>
    <n v="3019"/>
    <x v="56"/>
    <n v="1651.393"/>
    <n v="34"/>
    <x v="25"/>
    <x v="0"/>
    <x v="0"/>
    <n v="693.58506"/>
    <n v="957.80794000000003"/>
    <n v="0"/>
    <n v="0"/>
    <n v="0"/>
    <x v="144"/>
  </r>
  <r>
    <x v="1"/>
    <x v="48"/>
    <x v="145"/>
    <x v="1"/>
    <x v="1"/>
    <x v="1"/>
    <x v="2"/>
    <x v="8"/>
    <n v="1504"/>
    <x v="57"/>
    <n v="1266.3679999999999"/>
    <n v="30"/>
    <x v="27"/>
    <x v="0"/>
    <x v="0"/>
    <n v="531.87455999999997"/>
    <n v="734.49343999999996"/>
    <n v="0"/>
    <n v="0"/>
    <n v="0"/>
    <x v="145"/>
  </r>
  <r>
    <x v="38"/>
    <x v="48"/>
    <x v="146"/>
    <x v="0"/>
    <x v="1"/>
    <x v="1"/>
    <x v="1"/>
    <x v="7"/>
    <n v="1208"/>
    <x v="58"/>
    <n v="901.16800000000001"/>
    <n v="50"/>
    <x v="6"/>
    <x v="0"/>
    <x v="0"/>
    <n v="378.49056000000002"/>
    <n v="522.67743999999993"/>
    <n v="0"/>
    <n v="0"/>
    <n v="0"/>
    <x v="146"/>
  </r>
  <r>
    <x v="22"/>
    <x v="48"/>
    <x v="147"/>
    <x v="2"/>
    <x v="4"/>
    <x v="0"/>
    <x v="4"/>
    <x v="11"/>
    <n v="2717"/>
    <x v="59"/>
    <n v="1160.1590000000001"/>
    <n v="50"/>
    <x v="9"/>
    <x v="1"/>
    <x v="3"/>
    <n v="487.26678000000004"/>
    <n v="672.89222000000007"/>
    <n v="150"/>
    <n v="116.01590000000002"/>
    <n v="1160.1590000000001"/>
    <x v="147"/>
  </r>
  <r>
    <x v="15"/>
    <x v="48"/>
    <x v="148"/>
    <x v="5"/>
    <x v="1"/>
    <x v="3"/>
    <x v="6"/>
    <x v="8"/>
    <n v="1297"/>
    <x v="60"/>
    <n v="700.38"/>
    <n v="3"/>
    <x v="1"/>
    <x v="1"/>
    <x v="4"/>
    <n v="294.15960000000001"/>
    <n v="406.22039999999998"/>
    <n v="150"/>
    <n v="70.037999999999997"/>
    <n v="700.38"/>
    <x v="148"/>
  </r>
  <r>
    <x v="46"/>
    <x v="49"/>
    <x v="149"/>
    <x v="2"/>
    <x v="3"/>
    <x v="0"/>
    <x v="1"/>
    <x v="5"/>
    <n v="3620"/>
    <x v="0"/>
    <n v="3620"/>
    <n v="18"/>
    <x v="7"/>
    <x v="0"/>
    <x v="0"/>
    <n v="1520.3999999999999"/>
    <n v="2099.6000000000004"/>
    <n v="0"/>
    <n v="0"/>
    <n v="0"/>
    <x v="149"/>
  </r>
  <r>
    <x v="15"/>
    <x v="49"/>
    <x v="150"/>
    <x v="5"/>
    <x v="1"/>
    <x v="1"/>
    <x v="0"/>
    <x v="4"/>
    <n v="1584"/>
    <x v="0"/>
    <n v="1584"/>
    <n v="46"/>
    <x v="20"/>
    <x v="0"/>
    <x v="0"/>
    <n v="665.28"/>
    <n v="918.72"/>
    <n v="0"/>
    <n v="0"/>
    <n v="0"/>
    <x v="150"/>
  </r>
  <r>
    <x v="46"/>
    <x v="49"/>
    <x v="151"/>
    <x v="2"/>
    <x v="3"/>
    <x v="1"/>
    <x v="6"/>
    <x v="9"/>
    <n v="3999"/>
    <x v="61"/>
    <n v="3543.114"/>
    <n v="15"/>
    <x v="28"/>
    <x v="0"/>
    <x v="0"/>
    <n v="1488.10788"/>
    <n v="2055.00612"/>
    <n v="0"/>
    <n v="0"/>
    <n v="0"/>
    <x v="151"/>
  </r>
  <r>
    <x v="42"/>
    <x v="50"/>
    <x v="152"/>
    <x v="0"/>
    <x v="5"/>
    <x v="1"/>
    <x v="4"/>
    <x v="5"/>
    <n v="2594"/>
    <x v="62"/>
    <n v="1831.3639999999998"/>
    <n v="5"/>
    <x v="14"/>
    <x v="0"/>
    <x v="0"/>
    <n v="769.17287999999985"/>
    <n v="1062.19112"/>
    <n v="0"/>
    <n v="0"/>
    <n v="0"/>
    <x v="152"/>
  </r>
  <r>
    <x v="0"/>
    <x v="50"/>
    <x v="153"/>
    <x v="0"/>
    <x v="0"/>
    <x v="1"/>
    <x v="1"/>
    <x v="11"/>
    <n v="3995"/>
    <x v="0"/>
    <n v="3995"/>
    <n v="1"/>
    <x v="38"/>
    <x v="0"/>
    <x v="0"/>
    <n v="1677.8999999999999"/>
    <n v="2317.1000000000004"/>
    <n v="0"/>
    <n v="0"/>
    <n v="0"/>
    <x v="153"/>
  </r>
  <r>
    <x v="43"/>
    <x v="50"/>
    <x v="154"/>
    <x v="4"/>
    <x v="5"/>
    <x v="3"/>
    <x v="6"/>
    <x v="5"/>
    <n v="2321"/>
    <x v="0"/>
    <n v="2321"/>
    <n v="28"/>
    <x v="7"/>
    <x v="0"/>
    <x v="0"/>
    <n v="974.81999999999994"/>
    <n v="1346.18"/>
    <n v="0"/>
    <n v="0"/>
    <n v="0"/>
    <x v="154"/>
  </r>
  <r>
    <x v="4"/>
    <x v="50"/>
    <x v="155"/>
    <x v="2"/>
    <x v="1"/>
    <x v="0"/>
    <x v="0"/>
    <x v="5"/>
    <n v="1454"/>
    <x v="0"/>
    <n v="1454"/>
    <n v="21"/>
    <x v="3"/>
    <x v="0"/>
    <x v="0"/>
    <n v="610.67999999999995"/>
    <n v="843.32"/>
    <n v="0"/>
    <n v="0"/>
    <n v="0"/>
    <x v="155"/>
  </r>
  <r>
    <x v="9"/>
    <x v="50"/>
    <x v="156"/>
    <x v="4"/>
    <x v="0"/>
    <x v="1"/>
    <x v="4"/>
    <x v="2"/>
    <n v="3214"/>
    <x v="63"/>
    <n v="2304.4380000000001"/>
    <n v="49"/>
    <x v="22"/>
    <x v="1"/>
    <x v="3"/>
    <n v="967.86396000000002"/>
    <n v="1336.57404"/>
    <n v="150"/>
    <n v="230.44380000000001"/>
    <n v="2304.4380000000001"/>
    <x v="156"/>
  </r>
  <r>
    <x v="28"/>
    <x v="51"/>
    <x v="157"/>
    <x v="3"/>
    <x v="3"/>
    <x v="3"/>
    <x v="4"/>
    <x v="2"/>
    <n v="4345"/>
    <x v="0"/>
    <n v="4345"/>
    <n v="17"/>
    <x v="13"/>
    <x v="0"/>
    <x v="0"/>
    <n v="1824.8999999999999"/>
    <n v="2520.1000000000004"/>
    <n v="0"/>
    <n v="0"/>
    <n v="0"/>
    <x v="157"/>
  </r>
  <r>
    <x v="14"/>
    <x v="51"/>
    <x v="158"/>
    <x v="6"/>
    <x v="3"/>
    <x v="2"/>
    <x v="5"/>
    <x v="8"/>
    <n v="3841"/>
    <x v="0"/>
    <n v="3841"/>
    <n v="4"/>
    <x v="24"/>
    <x v="1"/>
    <x v="3"/>
    <n v="1613.22"/>
    <n v="2227.7799999999997"/>
    <n v="150"/>
    <n v="384.1"/>
    <n v="3841"/>
    <x v="158"/>
  </r>
  <r>
    <x v="18"/>
    <x v="51"/>
    <x v="159"/>
    <x v="3"/>
    <x v="4"/>
    <x v="1"/>
    <x v="4"/>
    <x v="4"/>
    <n v="2081"/>
    <x v="0"/>
    <n v="2081"/>
    <n v="30"/>
    <x v="6"/>
    <x v="0"/>
    <x v="0"/>
    <n v="874.02"/>
    <n v="1206.98"/>
    <n v="0"/>
    <n v="0"/>
    <n v="0"/>
    <x v="159"/>
  </r>
  <r>
    <x v="32"/>
    <x v="52"/>
    <x v="160"/>
    <x v="4"/>
    <x v="4"/>
    <x v="3"/>
    <x v="6"/>
    <x v="6"/>
    <n v="2817"/>
    <x v="0"/>
    <n v="2817"/>
    <n v="41"/>
    <x v="26"/>
    <x v="1"/>
    <x v="6"/>
    <n v="1183.1399999999999"/>
    <n v="1633.8600000000001"/>
    <n v="150"/>
    <n v="281.7"/>
    <n v="2817"/>
    <x v="160"/>
  </r>
  <r>
    <x v="41"/>
    <x v="52"/>
    <x v="161"/>
    <x v="6"/>
    <x v="2"/>
    <x v="0"/>
    <x v="2"/>
    <x v="9"/>
    <n v="301"/>
    <x v="64"/>
    <n v="178.79399999999998"/>
    <n v="18"/>
    <x v="2"/>
    <x v="0"/>
    <x v="0"/>
    <n v="75.093479999999985"/>
    <n v="103.70052"/>
    <n v="0"/>
    <n v="0"/>
    <n v="0"/>
    <x v="161"/>
  </r>
  <r>
    <x v="23"/>
    <x v="52"/>
    <x v="162"/>
    <x v="6"/>
    <x v="4"/>
    <x v="0"/>
    <x v="4"/>
    <x v="9"/>
    <n v="2605"/>
    <x v="25"/>
    <n v="2576.3449999999998"/>
    <n v="35"/>
    <x v="39"/>
    <x v="0"/>
    <x v="0"/>
    <n v="1082.0648999999999"/>
    <n v="1494.2800999999999"/>
    <n v="0"/>
    <n v="0"/>
    <n v="0"/>
    <x v="162"/>
  </r>
  <r>
    <x v="47"/>
    <x v="53"/>
    <x v="163"/>
    <x v="4"/>
    <x v="2"/>
    <x v="0"/>
    <x v="2"/>
    <x v="6"/>
    <n v="167"/>
    <x v="0"/>
    <n v="167"/>
    <n v="2"/>
    <x v="30"/>
    <x v="0"/>
    <x v="0"/>
    <n v="70.14"/>
    <n v="96.86"/>
    <n v="0"/>
    <n v="0"/>
    <n v="0"/>
    <x v="163"/>
  </r>
  <r>
    <x v="26"/>
    <x v="53"/>
    <x v="164"/>
    <x v="0"/>
    <x v="3"/>
    <x v="1"/>
    <x v="6"/>
    <x v="7"/>
    <n v="4079"/>
    <x v="0"/>
    <n v="4079"/>
    <n v="47"/>
    <x v="3"/>
    <x v="0"/>
    <x v="0"/>
    <n v="1713.1799999999998"/>
    <n v="2365.8200000000002"/>
    <n v="0"/>
    <n v="0"/>
    <n v="0"/>
    <x v="164"/>
  </r>
  <r>
    <x v="14"/>
    <x v="53"/>
    <x v="165"/>
    <x v="6"/>
    <x v="3"/>
    <x v="2"/>
    <x v="0"/>
    <x v="6"/>
    <n v="3231"/>
    <x v="0"/>
    <n v="3231"/>
    <n v="33"/>
    <x v="3"/>
    <x v="0"/>
    <x v="0"/>
    <n v="1357.02"/>
    <n v="1873.98"/>
    <n v="0"/>
    <n v="0"/>
    <n v="0"/>
    <x v="165"/>
  </r>
  <r>
    <x v="13"/>
    <x v="53"/>
    <x v="166"/>
    <x v="3"/>
    <x v="2"/>
    <x v="0"/>
    <x v="2"/>
    <x v="2"/>
    <n v="257"/>
    <x v="0"/>
    <n v="257"/>
    <n v="40"/>
    <x v="24"/>
    <x v="0"/>
    <x v="0"/>
    <n v="107.94"/>
    <n v="149.06"/>
    <n v="0"/>
    <n v="0"/>
    <n v="0"/>
    <x v="166"/>
  </r>
  <r>
    <x v="29"/>
    <x v="54"/>
    <x v="167"/>
    <x v="5"/>
    <x v="2"/>
    <x v="3"/>
    <x v="2"/>
    <x v="4"/>
    <n v="268"/>
    <x v="26"/>
    <n v="219.76000000000002"/>
    <n v="34"/>
    <x v="27"/>
    <x v="0"/>
    <x v="0"/>
    <n v="92.299199999999999"/>
    <n v="127.46080000000002"/>
    <n v="0"/>
    <n v="0"/>
    <n v="0"/>
    <x v="167"/>
  </r>
  <r>
    <x v="39"/>
    <x v="54"/>
    <x v="168"/>
    <x v="7"/>
    <x v="5"/>
    <x v="2"/>
    <x v="4"/>
    <x v="4"/>
    <n v="2836"/>
    <x v="65"/>
    <n v="2229.096"/>
    <n v="4"/>
    <x v="14"/>
    <x v="0"/>
    <x v="0"/>
    <n v="936.22032000000002"/>
    <n v="1292.8756800000001"/>
    <n v="0"/>
    <n v="0"/>
    <n v="0"/>
    <x v="168"/>
  </r>
  <r>
    <x v="46"/>
    <x v="54"/>
    <x v="169"/>
    <x v="2"/>
    <x v="3"/>
    <x v="1"/>
    <x v="4"/>
    <x v="0"/>
    <n v="3655"/>
    <x v="0"/>
    <n v="3655"/>
    <n v="33"/>
    <x v="18"/>
    <x v="1"/>
    <x v="3"/>
    <n v="1535.1"/>
    <n v="2119.9"/>
    <n v="150"/>
    <n v="365.5"/>
    <n v="3655"/>
    <x v="169"/>
  </r>
  <r>
    <x v="11"/>
    <x v="55"/>
    <x v="170"/>
    <x v="5"/>
    <x v="4"/>
    <x v="2"/>
    <x v="5"/>
    <x v="11"/>
    <n v="2029"/>
    <x v="66"/>
    <n v="1994.5070000000001"/>
    <n v="40"/>
    <x v="1"/>
    <x v="0"/>
    <x v="0"/>
    <n v="837.69294000000002"/>
    <n v="1156.8140600000002"/>
    <n v="0"/>
    <n v="0"/>
    <n v="0"/>
    <x v="170"/>
  </r>
  <r>
    <x v="38"/>
    <x v="55"/>
    <x v="171"/>
    <x v="0"/>
    <x v="1"/>
    <x v="1"/>
    <x v="5"/>
    <x v="0"/>
    <n v="959"/>
    <x v="0"/>
    <n v="959"/>
    <n v="13"/>
    <x v="24"/>
    <x v="1"/>
    <x v="4"/>
    <n v="402.78"/>
    <n v="556.22"/>
    <n v="150"/>
    <n v="95.9"/>
    <n v="959"/>
    <x v="171"/>
  </r>
  <r>
    <x v="29"/>
    <x v="55"/>
    <x v="172"/>
    <x v="5"/>
    <x v="2"/>
    <x v="1"/>
    <x v="2"/>
    <x v="7"/>
    <n v="337"/>
    <x v="0"/>
    <n v="337"/>
    <n v="47"/>
    <x v="9"/>
    <x v="1"/>
    <x v="1"/>
    <n v="141.54"/>
    <n v="195.46"/>
    <n v="150"/>
    <n v="33.700000000000003"/>
    <n v="337"/>
    <x v="172"/>
  </r>
  <r>
    <x v="46"/>
    <x v="55"/>
    <x v="173"/>
    <x v="2"/>
    <x v="3"/>
    <x v="1"/>
    <x v="0"/>
    <x v="0"/>
    <n v="3842"/>
    <x v="0"/>
    <n v="3842"/>
    <n v="41"/>
    <x v="19"/>
    <x v="0"/>
    <x v="0"/>
    <n v="1613.6399999999999"/>
    <n v="2228.36"/>
    <n v="0"/>
    <n v="0"/>
    <n v="0"/>
    <x v="173"/>
  </r>
  <r>
    <x v="24"/>
    <x v="56"/>
    <x v="174"/>
    <x v="5"/>
    <x v="5"/>
    <x v="0"/>
    <x v="6"/>
    <x v="4"/>
    <n v="2464"/>
    <x v="0"/>
    <n v="2464"/>
    <n v="37"/>
    <x v="37"/>
    <x v="1"/>
    <x v="5"/>
    <n v="1034.8799999999999"/>
    <n v="1429.1200000000001"/>
    <n v="150"/>
    <n v="246.4"/>
    <n v="2464"/>
    <x v="174"/>
  </r>
  <r>
    <x v="15"/>
    <x v="56"/>
    <x v="175"/>
    <x v="5"/>
    <x v="1"/>
    <x v="3"/>
    <x v="4"/>
    <x v="2"/>
    <n v="1021"/>
    <x v="0"/>
    <n v="1021"/>
    <n v="4"/>
    <x v="6"/>
    <x v="0"/>
    <x v="0"/>
    <n v="428.82"/>
    <n v="592.18000000000006"/>
    <n v="0"/>
    <n v="0"/>
    <n v="0"/>
    <x v="175"/>
  </r>
  <r>
    <x v="8"/>
    <x v="56"/>
    <x v="176"/>
    <x v="1"/>
    <x v="0"/>
    <x v="1"/>
    <x v="6"/>
    <x v="4"/>
    <n v="3696"/>
    <x v="0"/>
    <n v="3696"/>
    <n v="5"/>
    <x v="22"/>
    <x v="0"/>
    <x v="0"/>
    <n v="1552.32"/>
    <n v="2143.6800000000003"/>
    <n v="0"/>
    <n v="0"/>
    <n v="0"/>
    <x v="176"/>
  </r>
  <r>
    <x v="28"/>
    <x v="57"/>
    <x v="177"/>
    <x v="3"/>
    <x v="3"/>
    <x v="2"/>
    <x v="4"/>
    <x v="1"/>
    <n v="4437"/>
    <x v="67"/>
    <n v="3549.6000000000004"/>
    <n v="47"/>
    <x v="3"/>
    <x v="1"/>
    <x v="1"/>
    <n v="1490.8320000000001"/>
    <n v="2058.768"/>
    <n v="150"/>
    <n v="354.96000000000004"/>
    <n v="3549.6000000000004"/>
    <x v="177"/>
  </r>
  <r>
    <x v="20"/>
    <x v="57"/>
    <x v="178"/>
    <x v="7"/>
    <x v="1"/>
    <x v="1"/>
    <x v="5"/>
    <x v="11"/>
    <n v="929"/>
    <x v="68"/>
    <n v="564.83199999999999"/>
    <n v="16"/>
    <x v="12"/>
    <x v="0"/>
    <x v="0"/>
    <n v="237.22943999999998"/>
    <n v="327.60256000000004"/>
    <n v="0"/>
    <n v="0"/>
    <n v="0"/>
    <x v="178"/>
  </r>
  <r>
    <x v="31"/>
    <x v="57"/>
    <x v="179"/>
    <x v="2"/>
    <x v="2"/>
    <x v="0"/>
    <x v="2"/>
    <x v="5"/>
    <n v="443"/>
    <x v="69"/>
    <n v="266.68600000000004"/>
    <n v="18"/>
    <x v="33"/>
    <x v="0"/>
    <x v="0"/>
    <n v="112.00812000000001"/>
    <n v="154.67788000000002"/>
    <n v="0"/>
    <n v="0"/>
    <n v="0"/>
    <x v="179"/>
  </r>
  <r>
    <x v="9"/>
    <x v="57"/>
    <x v="180"/>
    <x v="4"/>
    <x v="0"/>
    <x v="0"/>
    <x v="5"/>
    <x v="0"/>
    <n v="4450"/>
    <x v="0"/>
    <n v="4450"/>
    <n v="34"/>
    <x v="37"/>
    <x v="0"/>
    <x v="0"/>
    <n v="1869"/>
    <n v="2581"/>
    <n v="0"/>
    <n v="0"/>
    <n v="0"/>
    <x v="180"/>
  </r>
  <r>
    <x v="25"/>
    <x v="58"/>
    <x v="181"/>
    <x v="6"/>
    <x v="1"/>
    <x v="2"/>
    <x v="6"/>
    <x v="9"/>
    <n v="927"/>
    <x v="0"/>
    <n v="927"/>
    <n v="7"/>
    <x v="22"/>
    <x v="0"/>
    <x v="0"/>
    <n v="389.34"/>
    <n v="537.66000000000008"/>
    <n v="0"/>
    <n v="0"/>
    <n v="0"/>
    <x v="181"/>
  </r>
  <r>
    <x v="4"/>
    <x v="58"/>
    <x v="182"/>
    <x v="2"/>
    <x v="1"/>
    <x v="1"/>
    <x v="0"/>
    <x v="6"/>
    <n v="1430"/>
    <x v="0"/>
    <n v="1430"/>
    <n v="23"/>
    <x v="21"/>
    <x v="0"/>
    <x v="0"/>
    <n v="600.6"/>
    <n v="829.4"/>
    <n v="0"/>
    <n v="0"/>
    <n v="0"/>
    <x v="182"/>
  </r>
  <r>
    <x v="10"/>
    <x v="58"/>
    <x v="183"/>
    <x v="3"/>
    <x v="1"/>
    <x v="1"/>
    <x v="4"/>
    <x v="1"/>
    <n v="1703"/>
    <x v="0"/>
    <n v="1703"/>
    <n v="48"/>
    <x v="15"/>
    <x v="0"/>
    <x v="0"/>
    <n v="715.26"/>
    <n v="987.74"/>
    <n v="0"/>
    <n v="0"/>
    <n v="0"/>
    <x v="183"/>
  </r>
  <r>
    <x v="42"/>
    <x v="58"/>
    <x v="184"/>
    <x v="0"/>
    <x v="5"/>
    <x v="2"/>
    <x v="1"/>
    <x v="5"/>
    <n v="2012"/>
    <x v="0"/>
    <n v="2012"/>
    <n v="9"/>
    <x v="17"/>
    <x v="0"/>
    <x v="0"/>
    <n v="845.04"/>
    <n v="1166.96"/>
    <n v="0"/>
    <n v="0"/>
    <n v="0"/>
    <x v="184"/>
  </r>
  <r>
    <x v="6"/>
    <x v="59"/>
    <x v="185"/>
    <x v="0"/>
    <x v="4"/>
    <x v="3"/>
    <x v="4"/>
    <x v="2"/>
    <n v="2526"/>
    <x v="70"/>
    <n v="2427.4859999999999"/>
    <n v="37"/>
    <x v="7"/>
    <x v="1"/>
    <x v="4"/>
    <n v="1019.5441199999999"/>
    <n v="1407.9418799999999"/>
    <n v="150"/>
    <n v="242.74860000000001"/>
    <n v="2427.4859999999999"/>
    <x v="185"/>
  </r>
  <r>
    <x v="25"/>
    <x v="59"/>
    <x v="186"/>
    <x v="6"/>
    <x v="1"/>
    <x v="2"/>
    <x v="6"/>
    <x v="5"/>
    <n v="997"/>
    <x v="71"/>
    <n v="639.077"/>
    <n v="20"/>
    <x v="3"/>
    <x v="1"/>
    <x v="4"/>
    <n v="268.41233999999997"/>
    <n v="370.66466000000003"/>
    <n v="150"/>
    <n v="63.907700000000006"/>
    <n v="639.077"/>
    <x v="186"/>
  </r>
  <r>
    <x v="1"/>
    <x v="59"/>
    <x v="187"/>
    <x v="1"/>
    <x v="1"/>
    <x v="3"/>
    <x v="4"/>
    <x v="8"/>
    <n v="907"/>
    <x v="0"/>
    <n v="907"/>
    <n v="39"/>
    <x v="26"/>
    <x v="0"/>
    <x v="0"/>
    <n v="380.94"/>
    <n v="526.05999999999995"/>
    <n v="0"/>
    <n v="0"/>
    <n v="0"/>
    <x v="187"/>
  </r>
  <r>
    <x v="42"/>
    <x v="59"/>
    <x v="188"/>
    <x v="0"/>
    <x v="5"/>
    <x v="3"/>
    <x v="1"/>
    <x v="1"/>
    <n v="2431"/>
    <x v="0"/>
    <n v="2431"/>
    <n v="47"/>
    <x v="27"/>
    <x v="0"/>
    <x v="0"/>
    <n v="1021.02"/>
    <n v="1409.98"/>
    <n v="0"/>
    <n v="0"/>
    <n v="0"/>
    <x v="188"/>
  </r>
  <r>
    <x v="21"/>
    <x v="60"/>
    <x v="189"/>
    <x v="1"/>
    <x v="4"/>
    <x v="0"/>
    <x v="4"/>
    <x v="11"/>
    <n v="2004"/>
    <x v="0"/>
    <n v="2004"/>
    <n v="32"/>
    <x v="38"/>
    <x v="0"/>
    <x v="0"/>
    <n v="841.68"/>
    <n v="1162.3200000000002"/>
    <n v="0"/>
    <n v="0"/>
    <n v="0"/>
    <x v="189"/>
  </r>
  <r>
    <x v="21"/>
    <x v="60"/>
    <x v="190"/>
    <x v="1"/>
    <x v="4"/>
    <x v="2"/>
    <x v="4"/>
    <x v="3"/>
    <n v="2129"/>
    <x v="72"/>
    <n v="1977.8410000000001"/>
    <n v="10"/>
    <x v="25"/>
    <x v="0"/>
    <x v="0"/>
    <n v="830.69322"/>
    <n v="1147.1477800000002"/>
    <n v="0"/>
    <n v="0"/>
    <n v="0"/>
    <x v="190"/>
  </r>
  <r>
    <x v="15"/>
    <x v="60"/>
    <x v="191"/>
    <x v="5"/>
    <x v="1"/>
    <x v="2"/>
    <x v="3"/>
    <x v="2"/>
    <n v="1732"/>
    <x v="0"/>
    <n v="1732"/>
    <n v="3"/>
    <x v="17"/>
    <x v="1"/>
    <x v="3"/>
    <n v="727.43999999999994"/>
    <n v="1004.5600000000001"/>
    <n v="150"/>
    <n v="173.20000000000002"/>
    <n v="1732"/>
    <x v="191"/>
  </r>
  <r>
    <x v="34"/>
    <x v="61"/>
    <x v="192"/>
    <x v="6"/>
    <x v="0"/>
    <x v="3"/>
    <x v="4"/>
    <x v="0"/>
    <n v="3716"/>
    <x v="73"/>
    <n v="3258.9319999999998"/>
    <n v="42"/>
    <x v="3"/>
    <x v="0"/>
    <x v="0"/>
    <n v="1368.7514399999998"/>
    <n v="1890.18056"/>
    <n v="0"/>
    <n v="0"/>
    <n v="0"/>
    <x v="192"/>
  </r>
  <r>
    <x v="44"/>
    <x v="61"/>
    <x v="193"/>
    <x v="6"/>
    <x v="5"/>
    <x v="1"/>
    <x v="0"/>
    <x v="1"/>
    <n v="2783"/>
    <x v="74"/>
    <n v="2421.21"/>
    <n v="12"/>
    <x v="11"/>
    <x v="0"/>
    <x v="0"/>
    <n v="1016.9082"/>
    <n v="1404.3018000000002"/>
    <n v="0"/>
    <n v="0"/>
    <n v="0"/>
    <x v="193"/>
  </r>
  <r>
    <x v="46"/>
    <x v="61"/>
    <x v="194"/>
    <x v="2"/>
    <x v="3"/>
    <x v="3"/>
    <x v="4"/>
    <x v="4"/>
    <n v="3226"/>
    <x v="0"/>
    <n v="3226"/>
    <n v="25"/>
    <x v="35"/>
    <x v="0"/>
    <x v="0"/>
    <n v="1354.9199999999998"/>
    <n v="1871.0800000000002"/>
    <n v="0"/>
    <n v="0"/>
    <n v="0"/>
    <x v="194"/>
  </r>
  <r>
    <x v="42"/>
    <x v="61"/>
    <x v="195"/>
    <x v="0"/>
    <x v="5"/>
    <x v="2"/>
    <x v="4"/>
    <x v="6"/>
    <n v="2701"/>
    <x v="62"/>
    <n v="1906.9059999999999"/>
    <n v="41"/>
    <x v="21"/>
    <x v="0"/>
    <x v="0"/>
    <n v="800.90051999999991"/>
    <n v="1106.00548"/>
    <n v="0"/>
    <n v="0"/>
    <n v="0"/>
    <x v="195"/>
  </r>
  <r>
    <x v="11"/>
    <x v="62"/>
    <x v="196"/>
    <x v="5"/>
    <x v="4"/>
    <x v="0"/>
    <x v="4"/>
    <x v="0"/>
    <n v="2851"/>
    <x v="75"/>
    <n v="1377.0329999999999"/>
    <n v="27"/>
    <x v="3"/>
    <x v="0"/>
    <x v="0"/>
    <n v="578.35385999999994"/>
    <n v="798.67913999999996"/>
    <n v="0"/>
    <n v="0"/>
    <n v="0"/>
    <x v="196"/>
  </r>
  <r>
    <x v="3"/>
    <x v="62"/>
    <x v="197"/>
    <x v="1"/>
    <x v="3"/>
    <x v="2"/>
    <x v="1"/>
    <x v="2"/>
    <n v="3998"/>
    <x v="76"/>
    <n v="2290.8539999999998"/>
    <n v="22"/>
    <x v="35"/>
    <x v="0"/>
    <x v="0"/>
    <n v="962.15867999999989"/>
    <n v="1328.6953199999998"/>
    <n v="0"/>
    <n v="0"/>
    <n v="0"/>
    <x v="197"/>
  </r>
  <r>
    <x v="4"/>
    <x v="62"/>
    <x v="198"/>
    <x v="2"/>
    <x v="1"/>
    <x v="2"/>
    <x v="6"/>
    <x v="4"/>
    <n v="1717"/>
    <x v="77"/>
    <n v="729.72500000000002"/>
    <n v="23"/>
    <x v="21"/>
    <x v="0"/>
    <x v="0"/>
    <n v="306.48450000000003"/>
    <n v="423.2405"/>
    <n v="0"/>
    <n v="0"/>
    <n v="0"/>
    <x v="198"/>
  </r>
  <r>
    <x v="35"/>
    <x v="62"/>
    <x v="199"/>
    <x v="4"/>
    <x v="1"/>
    <x v="2"/>
    <x v="4"/>
    <x v="5"/>
    <n v="1543"/>
    <x v="78"/>
    <n v="677.37699999999995"/>
    <n v="4"/>
    <x v="36"/>
    <x v="0"/>
    <x v="0"/>
    <n v="284.49833999999998"/>
    <n v="392.87865999999997"/>
    <n v="0"/>
    <n v="0"/>
    <n v="0"/>
    <x v="199"/>
  </r>
  <r>
    <x v="6"/>
    <x v="63"/>
    <x v="200"/>
    <x v="0"/>
    <x v="4"/>
    <x v="0"/>
    <x v="5"/>
    <x v="6"/>
    <n v="2454"/>
    <x v="79"/>
    <n v="1636.818"/>
    <n v="18"/>
    <x v="3"/>
    <x v="0"/>
    <x v="0"/>
    <n v="687.46355999999992"/>
    <n v="949.35444000000007"/>
    <n v="0"/>
    <n v="0"/>
    <n v="0"/>
    <x v="200"/>
  </r>
  <r>
    <x v="26"/>
    <x v="63"/>
    <x v="201"/>
    <x v="0"/>
    <x v="3"/>
    <x v="3"/>
    <x v="0"/>
    <x v="6"/>
    <n v="3699"/>
    <x v="80"/>
    <n v="3070.17"/>
    <n v="32"/>
    <x v="8"/>
    <x v="1"/>
    <x v="1"/>
    <n v="1289.4713999999999"/>
    <n v="1780.6986000000002"/>
    <n v="150"/>
    <n v="307.01700000000005"/>
    <n v="3070.17"/>
    <x v="201"/>
  </r>
  <r>
    <x v="46"/>
    <x v="63"/>
    <x v="202"/>
    <x v="2"/>
    <x v="3"/>
    <x v="3"/>
    <x v="5"/>
    <x v="2"/>
    <n v="3356"/>
    <x v="81"/>
    <n v="2553.9160000000002"/>
    <n v="10"/>
    <x v="10"/>
    <x v="0"/>
    <x v="0"/>
    <n v="1072.64472"/>
    <n v="1481.2712800000002"/>
    <n v="0"/>
    <n v="0"/>
    <n v="0"/>
    <x v="202"/>
  </r>
  <r>
    <x v="9"/>
    <x v="64"/>
    <x v="203"/>
    <x v="4"/>
    <x v="0"/>
    <x v="3"/>
    <x v="3"/>
    <x v="0"/>
    <n v="3052"/>
    <x v="0"/>
    <n v="3052"/>
    <n v="20"/>
    <x v="15"/>
    <x v="0"/>
    <x v="0"/>
    <n v="1281.8399999999999"/>
    <n v="1770.16"/>
    <n v="0"/>
    <n v="0"/>
    <n v="0"/>
    <x v="203"/>
  </r>
  <r>
    <x v="27"/>
    <x v="64"/>
    <x v="204"/>
    <x v="7"/>
    <x v="2"/>
    <x v="3"/>
    <x v="2"/>
    <x v="3"/>
    <n v="440"/>
    <x v="20"/>
    <n v="216.04"/>
    <n v="43"/>
    <x v="29"/>
    <x v="0"/>
    <x v="0"/>
    <n v="90.736799999999988"/>
    <n v="125.3032"/>
    <n v="0"/>
    <n v="0"/>
    <n v="0"/>
    <x v="204"/>
  </r>
  <r>
    <x v="31"/>
    <x v="64"/>
    <x v="205"/>
    <x v="2"/>
    <x v="2"/>
    <x v="1"/>
    <x v="2"/>
    <x v="0"/>
    <n v="414"/>
    <x v="0"/>
    <n v="414"/>
    <n v="12"/>
    <x v="40"/>
    <x v="0"/>
    <x v="0"/>
    <n v="173.88"/>
    <n v="240.12"/>
    <n v="0"/>
    <n v="0"/>
    <n v="0"/>
    <x v="205"/>
  </r>
  <r>
    <x v="10"/>
    <x v="64"/>
    <x v="206"/>
    <x v="3"/>
    <x v="1"/>
    <x v="0"/>
    <x v="6"/>
    <x v="6"/>
    <n v="1019"/>
    <x v="82"/>
    <n v="648.08400000000006"/>
    <n v="44"/>
    <x v="31"/>
    <x v="0"/>
    <x v="0"/>
    <n v="272.19528000000003"/>
    <n v="375.88872000000003"/>
    <n v="0"/>
    <n v="0"/>
    <n v="0"/>
    <x v="206"/>
  </r>
  <r>
    <x v="15"/>
    <x v="65"/>
    <x v="207"/>
    <x v="5"/>
    <x v="1"/>
    <x v="0"/>
    <x v="0"/>
    <x v="8"/>
    <n v="1513"/>
    <x v="83"/>
    <n v="1379.856"/>
    <n v="33"/>
    <x v="5"/>
    <x v="0"/>
    <x v="0"/>
    <n v="579.53951999999992"/>
    <n v="800.31648000000007"/>
    <n v="0"/>
    <n v="0"/>
    <n v="0"/>
    <x v="207"/>
  </r>
  <r>
    <x v="20"/>
    <x v="65"/>
    <x v="208"/>
    <x v="7"/>
    <x v="1"/>
    <x v="2"/>
    <x v="4"/>
    <x v="1"/>
    <n v="1480"/>
    <x v="0"/>
    <n v="1480"/>
    <n v="49"/>
    <x v="5"/>
    <x v="1"/>
    <x v="2"/>
    <n v="621.6"/>
    <n v="858.4"/>
    <n v="150"/>
    <n v="148"/>
    <n v="1480"/>
    <x v="208"/>
  </r>
  <r>
    <x v="4"/>
    <x v="65"/>
    <x v="209"/>
    <x v="2"/>
    <x v="1"/>
    <x v="2"/>
    <x v="5"/>
    <x v="5"/>
    <n v="1318"/>
    <x v="0"/>
    <n v="1318"/>
    <n v="40"/>
    <x v="38"/>
    <x v="0"/>
    <x v="0"/>
    <n v="553.55999999999995"/>
    <n v="764.44"/>
    <n v="0"/>
    <n v="0"/>
    <n v="0"/>
    <x v="209"/>
  </r>
  <r>
    <x v="15"/>
    <x v="66"/>
    <x v="210"/>
    <x v="5"/>
    <x v="1"/>
    <x v="0"/>
    <x v="3"/>
    <x v="4"/>
    <n v="1018"/>
    <x v="84"/>
    <n v="847.99399999999991"/>
    <n v="32"/>
    <x v="3"/>
    <x v="0"/>
    <x v="0"/>
    <n v="356.15747999999996"/>
    <n v="491.83651999999995"/>
    <n v="0"/>
    <n v="0"/>
    <n v="0"/>
    <x v="210"/>
  </r>
  <r>
    <x v="38"/>
    <x v="66"/>
    <x v="211"/>
    <x v="0"/>
    <x v="1"/>
    <x v="0"/>
    <x v="6"/>
    <x v="2"/>
    <n v="1772"/>
    <x v="0"/>
    <n v="1772"/>
    <n v="46"/>
    <x v="17"/>
    <x v="0"/>
    <x v="0"/>
    <n v="744.24"/>
    <n v="1027.76"/>
    <n v="0"/>
    <n v="0"/>
    <n v="0"/>
    <x v="211"/>
  </r>
  <r>
    <x v="1"/>
    <x v="66"/>
    <x v="212"/>
    <x v="1"/>
    <x v="1"/>
    <x v="0"/>
    <x v="1"/>
    <x v="5"/>
    <n v="961"/>
    <x v="0"/>
    <n v="961"/>
    <n v="23"/>
    <x v="30"/>
    <x v="0"/>
    <x v="0"/>
    <n v="403.62"/>
    <n v="557.38"/>
    <n v="0"/>
    <n v="0"/>
    <n v="0"/>
    <x v="212"/>
  </r>
  <r>
    <x v="31"/>
    <x v="66"/>
    <x v="213"/>
    <x v="2"/>
    <x v="2"/>
    <x v="2"/>
    <x v="2"/>
    <x v="2"/>
    <n v="355"/>
    <x v="0"/>
    <n v="355"/>
    <n v="11"/>
    <x v="22"/>
    <x v="1"/>
    <x v="4"/>
    <n v="149.1"/>
    <n v="205.9"/>
    <n v="150"/>
    <n v="35.5"/>
    <n v="355"/>
    <x v="213"/>
  </r>
  <r>
    <x v="32"/>
    <x v="66"/>
    <x v="214"/>
    <x v="4"/>
    <x v="4"/>
    <x v="3"/>
    <x v="4"/>
    <x v="6"/>
    <n v="2957"/>
    <x v="0"/>
    <n v="2957"/>
    <n v="12"/>
    <x v="1"/>
    <x v="0"/>
    <x v="0"/>
    <n v="1241.94"/>
    <n v="1715.06"/>
    <n v="0"/>
    <n v="0"/>
    <n v="0"/>
    <x v="214"/>
  </r>
  <r>
    <x v="35"/>
    <x v="67"/>
    <x v="215"/>
    <x v="4"/>
    <x v="1"/>
    <x v="3"/>
    <x v="4"/>
    <x v="0"/>
    <n v="1702"/>
    <x v="0"/>
    <n v="1702"/>
    <n v="4"/>
    <x v="15"/>
    <x v="0"/>
    <x v="0"/>
    <n v="714.83999999999992"/>
    <n v="987.16000000000008"/>
    <n v="0"/>
    <n v="0"/>
    <n v="0"/>
    <x v="215"/>
  </r>
  <r>
    <x v="8"/>
    <x v="67"/>
    <x v="216"/>
    <x v="1"/>
    <x v="0"/>
    <x v="2"/>
    <x v="0"/>
    <x v="1"/>
    <n v="3461"/>
    <x v="0"/>
    <n v="3461"/>
    <n v="4"/>
    <x v="5"/>
    <x v="0"/>
    <x v="0"/>
    <n v="1453.62"/>
    <n v="2007.38"/>
    <n v="0"/>
    <n v="0"/>
    <n v="0"/>
    <x v="216"/>
  </r>
  <r>
    <x v="38"/>
    <x v="68"/>
    <x v="217"/>
    <x v="0"/>
    <x v="1"/>
    <x v="3"/>
    <x v="4"/>
    <x v="1"/>
    <n v="1783"/>
    <x v="0"/>
    <n v="1783"/>
    <n v="25"/>
    <x v="3"/>
    <x v="0"/>
    <x v="0"/>
    <n v="748.86"/>
    <n v="1034.1399999999999"/>
    <n v="0"/>
    <n v="0"/>
    <n v="0"/>
    <x v="217"/>
  </r>
  <r>
    <x v="6"/>
    <x v="68"/>
    <x v="218"/>
    <x v="0"/>
    <x v="4"/>
    <x v="1"/>
    <x v="3"/>
    <x v="2"/>
    <n v="2074"/>
    <x v="0"/>
    <n v="2074"/>
    <n v="39"/>
    <x v="20"/>
    <x v="1"/>
    <x v="3"/>
    <n v="871.07999999999993"/>
    <n v="1202.92"/>
    <n v="150"/>
    <n v="207.4"/>
    <n v="2074"/>
    <x v="218"/>
  </r>
  <r>
    <x v="42"/>
    <x v="68"/>
    <x v="219"/>
    <x v="0"/>
    <x v="5"/>
    <x v="1"/>
    <x v="4"/>
    <x v="11"/>
    <n v="2523"/>
    <x v="85"/>
    <n v="2058.768"/>
    <n v="41"/>
    <x v="0"/>
    <x v="0"/>
    <x v="0"/>
    <n v="864.68255999999997"/>
    <n v="1194.0854400000001"/>
    <n v="0"/>
    <n v="0"/>
    <n v="0"/>
    <x v="219"/>
  </r>
  <r>
    <x v="9"/>
    <x v="68"/>
    <x v="220"/>
    <x v="4"/>
    <x v="0"/>
    <x v="0"/>
    <x v="5"/>
    <x v="10"/>
    <n v="3951"/>
    <x v="0"/>
    <n v="3951"/>
    <n v="26"/>
    <x v="2"/>
    <x v="1"/>
    <x v="5"/>
    <n v="1659.4199999999998"/>
    <n v="2291.58"/>
    <n v="150"/>
    <n v="395.1"/>
    <n v="3951"/>
    <x v="220"/>
  </r>
  <r>
    <x v="38"/>
    <x v="69"/>
    <x v="221"/>
    <x v="0"/>
    <x v="1"/>
    <x v="3"/>
    <x v="4"/>
    <x v="4"/>
    <n v="922"/>
    <x v="0"/>
    <n v="922"/>
    <n v="32"/>
    <x v="9"/>
    <x v="0"/>
    <x v="0"/>
    <n v="387.24"/>
    <n v="534.76"/>
    <n v="0"/>
    <n v="0"/>
    <n v="0"/>
    <x v="221"/>
  </r>
  <r>
    <x v="9"/>
    <x v="69"/>
    <x v="222"/>
    <x v="4"/>
    <x v="0"/>
    <x v="3"/>
    <x v="0"/>
    <x v="11"/>
    <n v="3589"/>
    <x v="0"/>
    <n v="3589"/>
    <n v="17"/>
    <x v="4"/>
    <x v="0"/>
    <x v="0"/>
    <n v="1507.3799999999999"/>
    <n v="2081.62"/>
    <n v="0"/>
    <n v="0"/>
    <n v="0"/>
    <x v="222"/>
  </r>
  <r>
    <x v="33"/>
    <x v="69"/>
    <x v="223"/>
    <x v="7"/>
    <x v="0"/>
    <x v="3"/>
    <x v="3"/>
    <x v="0"/>
    <n v="4253"/>
    <x v="0"/>
    <n v="4253"/>
    <n v="34"/>
    <x v="29"/>
    <x v="0"/>
    <x v="0"/>
    <n v="1786.26"/>
    <n v="2466.7399999999998"/>
    <n v="0"/>
    <n v="0"/>
    <n v="0"/>
    <x v="223"/>
  </r>
  <r>
    <x v="44"/>
    <x v="69"/>
    <x v="224"/>
    <x v="6"/>
    <x v="5"/>
    <x v="1"/>
    <x v="0"/>
    <x v="2"/>
    <n v="2512"/>
    <x v="0"/>
    <n v="2512"/>
    <n v="29"/>
    <x v="3"/>
    <x v="0"/>
    <x v="0"/>
    <n v="1055.04"/>
    <n v="1456.96"/>
    <n v="0"/>
    <n v="0"/>
    <n v="0"/>
    <x v="224"/>
  </r>
  <r>
    <x v="33"/>
    <x v="70"/>
    <x v="225"/>
    <x v="7"/>
    <x v="0"/>
    <x v="0"/>
    <x v="4"/>
    <x v="7"/>
    <n v="3471"/>
    <x v="86"/>
    <n v="1568.8920000000003"/>
    <n v="3"/>
    <x v="26"/>
    <x v="0"/>
    <x v="0"/>
    <n v="658.93464000000006"/>
    <n v="909.95736000000022"/>
    <n v="0"/>
    <n v="0"/>
    <n v="0"/>
    <x v="225"/>
  </r>
  <r>
    <x v="12"/>
    <x v="70"/>
    <x v="226"/>
    <x v="1"/>
    <x v="5"/>
    <x v="2"/>
    <x v="4"/>
    <x v="0"/>
    <n v="1932"/>
    <x v="87"/>
    <n v="1904.952"/>
    <n v="0"/>
    <x v="39"/>
    <x v="0"/>
    <x v="0"/>
    <n v="800.07983999999999"/>
    <n v="1104.8721599999999"/>
    <n v="0"/>
    <n v="0"/>
    <n v="0"/>
    <x v="226"/>
  </r>
  <r>
    <x v="32"/>
    <x v="70"/>
    <x v="227"/>
    <x v="4"/>
    <x v="4"/>
    <x v="0"/>
    <x v="5"/>
    <x v="2"/>
    <n v="2502"/>
    <x v="57"/>
    <n v="2106.6839999999997"/>
    <n v="11"/>
    <x v="5"/>
    <x v="0"/>
    <x v="0"/>
    <n v="884.80727999999988"/>
    <n v="1221.8767199999998"/>
    <n v="0"/>
    <n v="0"/>
    <n v="0"/>
    <x v="227"/>
  </r>
  <r>
    <x v="9"/>
    <x v="71"/>
    <x v="228"/>
    <x v="4"/>
    <x v="0"/>
    <x v="0"/>
    <x v="3"/>
    <x v="8"/>
    <n v="3590"/>
    <x v="0"/>
    <n v="3590"/>
    <n v="18"/>
    <x v="13"/>
    <x v="0"/>
    <x v="0"/>
    <n v="1507.8"/>
    <n v="2082.1999999999998"/>
    <n v="0"/>
    <n v="0"/>
    <n v="0"/>
    <x v="228"/>
  </r>
  <r>
    <x v="29"/>
    <x v="71"/>
    <x v="229"/>
    <x v="5"/>
    <x v="2"/>
    <x v="0"/>
    <x v="2"/>
    <x v="8"/>
    <n v="234"/>
    <x v="0"/>
    <n v="234"/>
    <n v="15"/>
    <x v="3"/>
    <x v="0"/>
    <x v="0"/>
    <n v="98.28"/>
    <n v="135.72"/>
    <n v="0"/>
    <n v="0"/>
    <n v="0"/>
    <x v="229"/>
  </r>
  <r>
    <x v="37"/>
    <x v="71"/>
    <x v="230"/>
    <x v="4"/>
    <x v="3"/>
    <x v="3"/>
    <x v="3"/>
    <x v="4"/>
    <n v="3798"/>
    <x v="0"/>
    <n v="3798"/>
    <n v="16"/>
    <x v="20"/>
    <x v="0"/>
    <x v="0"/>
    <n v="1595.1599999999999"/>
    <n v="2202.84"/>
    <n v="0"/>
    <n v="0"/>
    <n v="0"/>
    <x v="61"/>
  </r>
  <r>
    <x v="13"/>
    <x v="72"/>
    <x v="231"/>
    <x v="3"/>
    <x v="2"/>
    <x v="3"/>
    <x v="2"/>
    <x v="0"/>
    <n v="352"/>
    <x v="88"/>
    <n v="199.58399999999997"/>
    <n v="24"/>
    <x v="3"/>
    <x v="0"/>
    <x v="0"/>
    <n v="83.825279999999992"/>
    <n v="115.75871999999998"/>
    <n v="0"/>
    <n v="0"/>
    <n v="0"/>
    <x v="230"/>
  </r>
  <r>
    <x v="39"/>
    <x v="72"/>
    <x v="232"/>
    <x v="7"/>
    <x v="5"/>
    <x v="1"/>
    <x v="2"/>
    <x v="2"/>
    <n v="2269"/>
    <x v="89"/>
    <n v="1760.7440000000001"/>
    <n v="37"/>
    <x v="1"/>
    <x v="0"/>
    <x v="0"/>
    <n v="739.51247999999998"/>
    <n v="1021.2315200000002"/>
    <n v="0"/>
    <n v="0"/>
    <n v="0"/>
    <x v="231"/>
  </r>
  <r>
    <x v="25"/>
    <x v="72"/>
    <x v="233"/>
    <x v="6"/>
    <x v="1"/>
    <x v="2"/>
    <x v="2"/>
    <x v="8"/>
    <n v="946"/>
    <x v="0"/>
    <n v="946"/>
    <n v="24"/>
    <x v="6"/>
    <x v="0"/>
    <x v="0"/>
    <n v="397.32"/>
    <n v="548.68000000000006"/>
    <n v="0"/>
    <n v="0"/>
    <n v="0"/>
    <x v="232"/>
  </r>
  <r>
    <x v="25"/>
    <x v="72"/>
    <x v="234"/>
    <x v="6"/>
    <x v="1"/>
    <x v="0"/>
    <x v="3"/>
    <x v="2"/>
    <n v="1568"/>
    <x v="0"/>
    <n v="1568"/>
    <n v="2"/>
    <x v="30"/>
    <x v="1"/>
    <x v="3"/>
    <n v="658.56"/>
    <n v="909.44"/>
    <n v="150"/>
    <n v="156.80000000000001"/>
    <n v="1568"/>
    <x v="233"/>
  </r>
  <r>
    <x v="6"/>
    <x v="73"/>
    <x v="235"/>
    <x v="0"/>
    <x v="4"/>
    <x v="0"/>
    <x v="4"/>
    <x v="0"/>
    <n v="2406"/>
    <x v="0"/>
    <n v="2406"/>
    <n v="25"/>
    <x v="11"/>
    <x v="0"/>
    <x v="0"/>
    <n v="1010.52"/>
    <n v="1395.48"/>
    <n v="0"/>
    <n v="0"/>
    <n v="0"/>
    <x v="234"/>
  </r>
  <r>
    <x v="47"/>
    <x v="73"/>
    <x v="236"/>
    <x v="4"/>
    <x v="2"/>
    <x v="2"/>
    <x v="2"/>
    <x v="3"/>
    <n v="312"/>
    <x v="35"/>
    <n v="252.40799999999999"/>
    <n v="4"/>
    <x v="3"/>
    <x v="0"/>
    <x v="0"/>
    <n v="106.01136"/>
    <n v="146.39663999999999"/>
    <n v="0"/>
    <n v="0"/>
    <n v="0"/>
    <x v="235"/>
  </r>
  <r>
    <x v="13"/>
    <x v="73"/>
    <x v="237"/>
    <x v="3"/>
    <x v="2"/>
    <x v="2"/>
    <x v="2"/>
    <x v="7"/>
    <n v="471"/>
    <x v="0"/>
    <n v="471"/>
    <n v="14"/>
    <x v="25"/>
    <x v="0"/>
    <x v="0"/>
    <n v="197.82"/>
    <n v="273.18"/>
    <n v="0"/>
    <n v="0"/>
    <n v="0"/>
    <x v="236"/>
  </r>
  <r>
    <x v="45"/>
    <x v="73"/>
    <x v="238"/>
    <x v="7"/>
    <x v="3"/>
    <x v="0"/>
    <x v="1"/>
    <x v="11"/>
    <n v="3635"/>
    <x v="0"/>
    <n v="3635"/>
    <n v="46"/>
    <x v="26"/>
    <x v="0"/>
    <x v="0"/>
    <n v="1526.7"/>
    <n v="2108.3000000000002"/>
    <n v="0"/>
    <n v="0"/>
    <n v="0"/>
    <x v="237"/>
  </r>
  <r>
    <x v="26"/>
    <x v="74"/>
    <x v="239"/>
    <x v="0"/>
    <x v="3"/>
    <x v="2"/>
    <x v="2"/>
    <x v="3"/>
    <n v="4146"/>
    <x v="0"/>
    <n v="4146"/>
    <n v="24"/>
    <x v="12"/>
    <x v="1"/>
    <x v="1"/>
    <n v="1741.32"/>
    <n v="2404.6800000000003"/>
    <n v="150"/>
    <n v="414.6"/>
    <n v="4146"/>
    <x v="238"/>
  </r>
  <r>
    <x v="39"/>
    <x v="74"/>
    <x v="240"/>
    <x v="7"/>
    <x v="5"/>
    <x v="2"/>
    <x v="5"/>
    <x v="1"/>
    <n v="2275"/>
    <x v="0"/>
    <n v="2275"/>
    <n v="33"/>
    <x v="23"/>
    <x v="0"/>
    <x v="0"/>
    <n v="955.5"/>
    <n v="1319.5"/>
    <n v="0"/>
    <n v="0"/>
    <n v="0"/>
    <x v="239"/>
  </r>
  <r>
    <x v="39"/>
    <x v="74"/>
    <x v="241"/>
    <x v="7"/>
    <x v="5"/>
    <x v="2"/>
    <x v="4"/>
    <x v="6"/>
    <n v="2740"/>
    <x v="90"/>
    <n v="1597.4199999999998"/>
    <n v="43"/>
    <x v="9"/>
    <x v="1"/>
    <x v="4"/>
    <n v="670.91639999999995"/>
    <n v="926.50359999999989"/>
    <n v="150"/>
    <n v="159.74199999999999"/>
    <n v="1597.4199999999998"/>
    <x v="240"/>
  </r>
  <r>
    <x v="27"/>
    <x v="75"/>
    <x v="242"/>
    <x v="7"/>
    <x v="2"/>
    <x v="1"/>
    <x v="2"/>
    <x v="10"/>
    <n v="247"/>
    <x v="0"/>
    <n v="247"/>
    <n v="34"/>
    <x v="38"/>
    <x v="0"/>
    <x v="0"/>
    <n v="103.74"/>
    <n v="143.26"/>
    <n v="0"/>
    <n v="0"/>
    <n v="0"/>
    <x v="241"/>
  </r>
  <r>
    <x v="3"/>
    <x v="75"/>
    <x v="243"/>
    <x v="1"/>
    <x v="3"/>
    <x v="3"/>
    <x v="4"/>
    <x v="1"/>
    <n v="4330"/>
    <x v="91"/>
    <n v="2268.92"/>
    <n v="12"/>
    <x v="32"/>
    <x v="1"/>
    <x v="5"/>
    <n v="952.94640000000004"/>
    <n v="1315.9736"/>
    <n v="150"/>
    <n v="226.89200000000002"/>
    <n v="2268.92"/>
    <x v="242"/>
  </r>
  <r>
    <x v="18"/>
    <x v="75"/>
    <x v="244"/>
    <x v="3"/>
    <x v="4"/>
    <x v="2"/>
    <x v="6"/>
    <x v="11"/>
    <n v="2450"/>
    <x v="92"/>
    <n v="1212.75"/>
    <n v="46"/>
    <x v="33"/>
    <x v="0"/>
    <x v="0"/>
    <n v="509.35499999999996"/>
    <n v="703.39499999999998"/>
    <n v="0"/>
    <n v="0"/>
    <n v="0"/>
    <x v="243"/>
  </r>
  <r>
    <x v="8"/>
    <x v="75"/>
    <x v="245"/>
    <x v="1"/>
    <x v="0"/>
    <x v="2"/>
    <x v="1"/>
    <x v="9"/>
    <n v="3214"/>
    <x v="93"/>
    <n v="1459.1559999999999"/>
    <n v="42"/>
    <x v="27"/>
    <x v="1"/>
    <x v="4"/>
    <n v="612.84551999999996"/>
    <n v="846.31047999999998"/>
    <n v="150"/>
    <n v="145.91560000000001"/>
    <n v="1459.1559999999999"/>
    <x v="244"/>
  </r>
  <r>
    <x v="39"/>
    <x v="75"/>
    <x v="246"/>
    <x v="7"/>
    <x v="5"/>
    <x v="3"/>
    <x v="6"/>
    <x v="4"/>
    <n v="2256"/>
    <x v="20"/>
    <n v="1107.6959999999999"/>
    <n v="45"/>
    <x v="3"/>
    <x v="0"/>
    <x v="0"/>
    <n v="465.23231999999996"/>
    <n v="642.46367999999995"/>
    <n v="0"/>
    <n v="0"/>
    <n v="0"/>
    <x v="245"/>
  </r>
  <r>
    <x v="22"/>
    <x v="76"/>
    <x v="247"/>
    <x v="2"/>
    <x v="4"/>
    <x v="0"/>
    <x v="6"/>
    <x v="2"/>
    <n v="2255"/>
    <x v="0"/>
    <n v="2255"/>
    <n v="20"/>
    <x v="3"/>
    <x v="0"/>
    <x v="0"/>
    <n v="947.09999999999991"/>
    <n v="1307.9000000000001"/>
    <n v="0"/>
    <n v="0"/>
    <n v="0"/>
    <x v="246"/>
  </r>
  <r>
    <x v="0"/>
    <x v="76"/>
    <x v="248"/>
    <x v="0"/>
    <x v="0"/>
    <x v="2"/>
    <x v="6"/>
    <x v="6"/>
    <n v="3694"/>
    <x v="0"/>
    <n v="3694"/>
    <n v="42"/>
    <x v="14"/>
    <x v="1"/>
    <x v="3"/>
    <n v="1551.48"/>
    <n v="2142.52"/>
    <n v="150"/>
    <n v="369.40000000000003"/>
    <n v="3694"/>
    <x v="247"/>
  </r>
  <r>
    <x v="8"/>
    <x v="77"/>
    <x v="249"/>
    <x v="1"/>
    <x v="0"/>
    <x v="2"/>
    <x v="5"/>
    <x v="2"/>
    <n v="3874"/>
    <x v="94"/>
    <n v="3308.3959999999997"/>
    <n v="33"/>
    <x v="3"/>
    <x v="0"/>
    <x v="0"/>
    <n v="1389.5263199999999"/>
    <n v="1918.8696799999998"/>
    <n v="0"/>
    <n v="0"/>
    <n v="0"/>
    <x v="248"/>
  </r>
  <r>
    <x v="17"/>
    <x v="77"/>
    <x v="250"/>
    <x v="2"/>
    <x v="0"/>
    <x v="0"/>
    <x v="1"/>
    <x v="9"/>
    <n v="3495"/>
    <x v="95"/>
    <n v="1789.44"/>
    <n v="36"/>
    <x v="0"/>
    <x v="0"/>
    <x v="0"/>
    <n v="751.56479999999999"/>
    <n v="1037.8751999999999"/>
    <n v="0"/>
    <n v="0"/>
    <n v="0"/>
    <x v="249"/>
  </r>
  <r>
    <x v="9"/>
    <x v="77"/>
    <x v="251"/>
    <x v="4"/>
    <x v="0"/>
    <x v="2"/>
    <x v="1"/>
    <x v="2"/>
    <n v="3453"/>
    <x v="0"/>
    <n v="3453"/>
    <n v="14"/>
    <x v="5"/>
    <x v="1"/>
    <x v="4"/>
    <n v="1450.26"/>
    <n v="2002.74"/>
    <n v="150"/>
    <n v="345.3"/>
    <n v="3453"/>
    <x v="250"/>
  </r>
  <r>
    <x v="35"/>
    <x v="78"/>
    <x v="252"/>
    <x v="4"/>
    <x v="1"/>
    <x v="2"/>
    <x v="1"/>
    <x v="7"/>
    <n v="1277"/>
    <x v="0"/>
    <n v="1277"/>
    <n v="48"/>
    <x v="23"/>
    <x v="1"/>
    <x v="1"/>
    <n v="536.34"/>
    <n v="740.66"/>
    <n v="150"/>
    <n v="127.7"/>
    <n v="1277"/>
    <x v="251"/>
  </r>
  <r>
    <x v="37"/>
    <x v="78"/>
    <x v="253"/>
    <x v="4"/>
    <x v="3"/>
    <x v="3"/>
    <x v="0"/>
    <x v="6"/>
    <n v="3646"/>
    <x v="0"/>
    <n v="3646"/>
    <n v="29"/>
    <x v="28"/>
    <x v="1"/>
    <x v="3"/>
    <n v="1531.32"/>
    <n v="2114.6800000000003"/>
    <n v="150"/>
    <n v="364.6"/>
    <n v="3646"/>
    <x v="252"/>
  </r>
  <r>
    <x v="6"/>
    <x v="78"/>
    <x v="254"/>
    <x v="0"/>
    <x v="4"/>
    <x v="1"/>
    <x v="3"/>
    <x v="2"/>
    <n v="2734"/>
    <x v="96"/>
    <n v="2247.348"/>
    <n v="32"/>
    <x v="7"/>
    <x v="1"/>
    <x v="3"/>
    <n v="943.8861599999999"/>
    <n v="1303.4618399999999"/>
    <n v="150"/>
    <n v="224.73480000000001"/>
    <n v="2247.348"/>
    <x v="253"/>
  </r>
  <r>
    <x v="30"/>
    <x v="78"/>
    <x v="255"/>
    <x v="7"/>
    <x v="4"/>
    <x v="2"/>
    <x v="4"/>
    <x v="2"/>
    <n v="2947"/>
    <x v="0"/>
    <n v="2947"/>
    <n v="20"/>
    <x v="0"/>
    <x v="0"/>
    <x v="0"/>
    <n v="1237.74"/>
    <n v="1709.26"/>
    <n v="0"/>
    <n v="0"/>
    <n v="0"/>
    <x v="254"/>
  </r>
  <r>
    <x v="29"/>
    <x v="78"/>
    <x v="256"/>
    <x v="5"/>
    <x v="2"/>
    <x v="1"/>
    <x v="2"/>
    <x v="6"/>
    <n v="322"/>
    <x v="0"/>
    <n v="322"/>
    <n v="26"/>
    <x v="21"/>
    <x v="0"/>
    <x v="0"/>
    <n v="135.24"/>
    <n v="186.76"/>
    <n v="0"/>
    <n v="0"/>
    <n v="0"/>
    <x v="255"/>
  </r>
  <r>
    <x v="9"/>
    <x v="79"/>
    <x v="257"/>
    <x v="4"/>
    <x v="0"/>
    <x v="0"/>
    <x v="4"/>
    <x v="8"/>
    <n v="3754"/>
    <x v="97"/>
    <n v="3592.578"/>
    <n v="25"/>
    <x v="9"/>
    <x v="0"/>
    <x v="0"/>
    <n v="1508.88276"/>
    <n v="2083.69524"/>
    <n v="0"/>
    <n v="0"/>
    <n v="0"/>
    <x v="256"/>
  </r>
  <r>
    <x v="46"/>
    <x v="79"/>
    <x v="258"/>
    <x v="2"/>
    <x v="3"/>
    <x v="0"/>
    <x v="0"/>
    <x v="8"/>
    <n v="3883"/>
    <x v="0"/>
    <n v="3883"/>
    <n v="39"/>
    <x v="3"/>
    <x v="0"/>
    <x v="0"/>
    <n v="1630.86"/>
    <n v="2252.1400000000003"/>
    <n v="0"/>
    <n v="0"/>
    <n v="0"/>
    <x v="257"/>
  </r>
  <r>
    <x v="31"/>
    <x v="79"/>
    <x v="259"/>
    <x v="2"/>
    <x v="2"/>
    <x v="1"/>
    <x v="2"/>
    <x v="8"/>
    <n v="262"/>
    <x v="98"/>
    <n v="144.886"/>
    <n v="44"/>
    <x v="3"/>
    <x v="0"/>
    <x v="0"/>
    <n v="60.852119999999999"/>
    <n v="84.033879999999996"/>
    <n v="0"/>
    <n v="0"/>
    <n v="0"/>
    <x v="258"/>
  </r>
  <r>
    <x v="33"/>
    <x v="80"/>
    <x v="260"/>
    <x v="7"/>
    <x v="0"/>
    <x v="3"/>
    <x v="0"/>
    <x v="9"/>
    <n v="3150"/>
    <x v="0"/>
    <n v="3150"/>
    <n v="45"/>
    <x v="31"/>
    <x v="0"/>
    <x v="0"/>
    <n v="1323"/>
    <n v="1827"/>
    <n v="0"/>
    <n v="0"/>
    <n v="0"/>
    <x v="259"/>
  </r>
  <r>
    <x v="43"/>
    <x v="80"/>
    <x v="261"/>
    <x v="4"/>
    <x v="5"/>
    <x v="3"/>
    <x v="0"/>
    <x v="5"/>
    <n v="2022"/>
    <x v="0"/>
    <n v="2022"/>
    <n v="44"/>
    <x v="5"/>
    <x v="0"/>
    <x v="0"/>
    <n v="849.24"/>
    <n v="1172.76"/>
    <n v="0"/>
    <n v="0"/>
    <n v="0"/>
    <x v="260"/>
  </r>
  <r>
    <x v="17"/>
    <x v="80"/>
    <x v="262"/>
    <x v="2"/>
    <x v="0"/>
    <x v="0"/>
    <x v="2"/>
    <x v="11"/>
    <n v="3331"/>
    <x v="99"/>
    <n v="3024.5480000000002"/>
    <n v="23"/>
    <x v="35"/>
    <x v="0"/>
    <x v="0"/>
    <n v="1270.31016"/>
    <n v="1754.2378400000002"/>
    <n v="0"/>
    <n v="0"/>
    <n v="0"/>
    <x v="261"/>
  </r>
  <r>
    <x v="39"/>
    <x v="81"/>
    <x v="263"/>
    <x v="7"/>
    <x v="5"/>
    <x v="3"/>
    <x v="3"/>
    <x v="1"/>
    <n v="1834"/>
    <x v="0"/>
    <n v="1834"/>
    <n v="23"/>
    <x v="8"/>
    <x v="0"/>
    <x v="0"/>
    <n v="770.28"/>
    <n v="1063.72"/>
    <n v="0"/>
    <n v="0"/>
    <n v="0"/>
    <x v="262"/>
  </r>
  <r>
    <x v="6"/>
    <x v="81"/>
    <x v="264"/>
    <x v="0"/>
    <x v="4"/>
    <x v="2"/>
    <x v="4"/>
    <x v="5"/>
    <n v="2795"/>
    <x v="0"/>
    <n v="2795"/>
    <n v="8"/>
    <x v="29"/>
    <x v="0"/>
    <x v="0"/>
    <n v="1173.8999999999999"/>
    <n v="1621.1000000000001"/>
    <n v="0"/>
    <n v="0"/>
    <n v="0"/>
    <x v="263"/>
  </r>
  <r>
    <x v="31"/>
    <x v="81"/>
    <x v="265"/>
    <x v="2"/>
    <x v="2"/>
    <x v="3"/>
    <x v="2"/>
    <x v="4"/>
    <n v="216"/>
    <x v="0"/>
    <n v="216"/>
    <n v="22"/>
    <x v="9"/>
    <x v="1"/>
    <x v="7"/>
    <n v="90.72"/>
    <n v="125.28"/>
    <n v="150"/>
    <n v="21.6"/>
    <n v="216"/>
    <x v="264"/>
  </r>
  <r>
    <x v="42"/>
    <x v="81"/>
    <x v="266"/>
    <x v="0"/>
    <x v="5"/>
    <x v="1"/>
    <x v="5"/>
    <x v="5"/>
    <n v="2131"/>
    <x v="0"/>
    <n v="2131"/>
    <n v="9"/>
    <x v="3"/>
    <x v="0"/>
    <x v="0"/>
    <n v="895.02"/>
    <n v="1235.98"/>
    <n v="0"/>
    <n v="0"/>
    <n v="0"/>
    <x v="265"/>
  </r>
  <r>
    <x v="15"/>
    <x v="82"/>
    <x v="267"/>
    <x v="5"/>
    <x v="1"/>
    <x v="2"/>
    <x v="3"/>
    <x v="7"/>
    <n v="1093"/>
    <x v="0"/>
    <n v="1093"/>
    <n v="33"/>
    <x v="27"/>
    <x v="1"/>
    <x v="5"/>
    <n v="459.06"/>
    <n v="633.94000000000005"/>
    <n v="150"/>
    <n v="109.30000000000001"/>
    <n v="1093"/>
    <x v="266"/>
  </r>
  <r>
    <x v="13"/>
    <x v="82"/>
    <x v="268"/>
    <x v="3"/>
    <x v="2"/>
    <x v="0"/>
    <x v="2"/>
    <x v="6"/>
    <n v="379"/>
    <x v="100"/>
    <n v="377.48399999999998"/>
    <n v="38"/>
    <x v="0"/>
    <x v="0"/>
    <x v="0"/>
    <n v="158.54327999999998"/>
    <n v="218.94072"/>
    <n v="0"/>
    <n v="0"/>
    <n v="0"/>
    <x v="267"/>
  </r>
  <r>
    <x v="32"/>
    <x v="82"/>
    <x v="269"/>
    <x v="4"/>
    <x v="4"/>
    <x v="1"/>
    <x v="3"/>
    <x v="8"/>
    <n v="2699"/>
    <x v="0"/>
    <n v="2699"/>
    <n v="0"/>
    <x v="0"/>
    <x v="0"/>
    <x v="0"/>
    <n v="1133.58"/>
    <n v="1565.42"/>
    <n v="0"/>
    <n v="0"/>
    <n v="0"/>
    <x v="268"/>
  </r>
  <r>
    <x v="39"/>
    <x v="82"/>
    <x v="270"/>
    <x v="7"/>
    <x v="5"/>
    <x v="3"/>
    <x v="2"/>
    <x v="9"/>
    <n v="1972"/>
    <x v="0"/>
    <n v="1972"/>
    <n v="15"/>
    <x v="30"/>
    <x v="1"/>
    <x v="4"/>
    <n v="828.24"/>
    <n v="1143.76"/>
    <n v="150"/>
    <n v="197.20000000000002"/>
    <n v="1972"/>
    <x v="269"/>
  </r>
  <r>
    <x v="18"/>
    <x v="83"/>
    <x v="271"/>
    <x v="3"/>
    <x v="4"/>
    <x v="3"/>
    <x v="4"/>
    <x v="7"/>
    <n v="2127"/>
    <x v="0"/>
    <n v="2127"/>
    <n v="46"/>
    <x v="0"/>
    <x v="0"/>
    <x v="0"/>
    <n v="893.33999999999992"/>
    <n v="1233.6600000000001"/>
    <n v="0"/>
    <n v="0"/>
    <n v="0"/>
    <x v="270"/>
  </r>
  <r>
    <x v="24"/>
    <x v="83"/>
    <x v="272"/>
    <x v="5"/>
    <x v="5"/>
    <x v="2"/>
    <x v="6"/>
    <x v="2"/>
    <n v="2301"/>
    <x v="0"/>
    <n v="2301"/>
    <n v="35"/>
    <x v="31"/>
    <x v="0"/>
    <x v="0"/>
    <n v="966.42"/>
    <n v="1334.58"/>
    <n v="0"/>
    <n v="0"/>
    <n v="0"/>
    <x v="271"/>
  </r>
  <r>
    <x v="25"/>
    <x v="83"/>
    <x v="273"/>
    <x v="6"/>
    <x v="1"/>
    <x v="1"/>
    <x v="4"/>
    <x v="11"/>
    <n v="1521"/>
    <x v="0"/>
    <n v="1521"/>
    <n v="0"/>
    <x v="3"/>
    <x v="1"/>
    <x v="5"/>
    <n v="638.81999999999994"/>
    <n v="882.18000000000006"/>
    <n v="150"/>
    <n v="152.1"/>
    <n v="1521"/>
    <x v="272"/>
  </r>
  <r>
    <x v="8"/>
    <x v="84"/>
    <x v="274"/>
    <x v="1"/>
    <x v="0"/>
    <x v="3"/>
    <x v="0"/>
    <x v="3"/>
    <n v="3080"/>
    <x v="0"/>
    <n v="3080"/>
    <n v="8"/>
    <x v="6"/>
    <x v="0"/>
    <x v="0"/>
    <n v="1293.5999999999999"/>
    <n v="1786.4"/>
    <n v="0"/>
    <n v="0"/>
    <n v="0"/>
    <x v="273"/>
  </r>
  <r>
    <x v="32"/>
    <x v="84"/>
    <x v="275"/>
    <x v="4"/>
    <x v="4"/>
    <x v="3"/>
    <x v="1"/>
    <x v="9"/>
    <n v="2600"/>
    <x v="101"/>
    <n v="1635.4"/>
    <n v="6"/>
    <x v="11"/>
    <x v="1"/>
    <x v="5"/>
    <n v="686.86800000000005"/>
    <n v="948.53200000000004"/>
    <n v="150"/>
    <n v="163.54000000000002"/>
    <n v="1635.4"/>
    <x v="274"/>
  </r>
  <r>
    <x v="3"/>
    <x v="84"/>
    <x v="276"/>
    <x v="1"/>
    <x v="3"/>
    <x v="3"/>
    <x v="5"/>
    <x v="2"/>
    <n v="3639"/>
    <x v="0"/>
    <n v="3639"/>
    <n v="45"/>
    <x v="21"/>
    <x v="1"/>
    <x v="4"/>
    <n v="1528.3799999999999"/>
    <n v="2110.62"/>
    <n v="150"/>
    <n v="363.90000000000003"/>
    <n v="3639"/>
    <x v="275"/>
  </r>
  <r>
    <x v="42"/>
    <x v="85"/>
    <x v="277"/>
    <x v="0"/>
    <x v="5"/>
    <x v="1"/>
    <x v="2"/>
    <x v="5"/>
    <n v="2369"/>
    <x v="0"/>
    <n v="2369"/>
    <n v="50"/>
    <x v="20"/>
    <x v="0"/>
    <x v="0"/>
    <n v="994.98"/>
    <n v="1374.02"/>
    <n v="0"/>
    <n v="0"/>
    <n v="0"/>
    <x v="276"/>
  </r>
  <r>
    <x v="16"/>
    <x v="85"/>
    <x v="278"/>
    <x v="3"/>
    <x v="0"/>
    <x v="0"/>
    <x v="4"/>
    <x v="4"/>
    <n v="3153"/>
    <x v="102"/>
    <n v="2831.3940000000002"/>
    <n v="42"/>
    <x v="3"/>
    <x v="0"/>
    <x v="0"/>
    <n v="1189.1854800000001"/>
    <n v="1642.2085200000001"/>
    <n v="0"/>
    <n v="0"/>
    <n v="0"/>
    <x v="277"/>
  </r>
  <r>
    <x v="2"/>
    <x v="85"/>
    <x v="279"/>
    <x v="1"/>
    <x v="2"/>
    <x v="1"/>
    <x v="2"/>
    <x v="7"/>
    <n v="461"/>
    <x v="0"/>
    <n v="461"/>
    <n v="29"/>
    <x v="35"/>
    <x v="1"/>
    <x v="3"/>
    <n v="193.62"/>
    <n v="267.38"/>
    <n v="150"/>
    <n v="46.1"/>
    <n v="461"/>
    <x v="278"/>
  </r>
  <r>
    <x v="5"/>
    <x v="85"/>
    <x v="280"/>
    <x v="0"/>
    <x v="2"/>
    <x v="2"/>
    <x v="2"/>
    <x v="1"/>
    <n v="153"/>
    <x v="0"/>
    <n v="153"/>
    <n v="22"/>
    <x v="7"/>
    <x v="0"/>
    <x v="0"/>
    <n v="64.259999999999991"/>
    <n v="88.740000000000009"/>
    <n v="0"/>
    <n v="0"/>
    <n v="0"/>
    <x v="279"/>
  </r>
  <r>
    <x v="21"/>
    <x v="85"/>
    <x v="281"/>
    <x v="1"/>
    <x v="4"/>
    <x v="2"/>
    <x v="3"/>
    <x v="11"/>
    <n v="2365"/>
    <x v="0"/>
    <n v="2365"/>
    <n v="13"/>
    <x v="39"/>
    <x v="0"/>
    <x v="0"/>
    <n v="993.3"/>
    <n v="1371.7"/>
    <n v="0"/>
    <n v="0"/>
    <n v="0"/>
    <x v="280"/>
  </r>
  <r>
    <x v="45"/>
    <x v="86"/>
    <x v="282"/>
    <x v="7"/>
    <x v="3"/>
    <x v="2"/>
    <x v="5"/>
    <x v="10"/>
    <n v="3337"/>
    <x v="103"/>
    <n v="2569.4900000000002"/>
    <n v="37"/>
    <x v="34"/>
    <x v="1"/>
    <x v="5"/>
    <n v="1079.1858"/>
    <n v="1490.3042000000003"/>
    <n v="150"/>
    <n v="256.94900000000001"/>
    <n v="2569.4900000000002"/>
    <x v="281"/>
  </r>
  <r>
    <x v="4"/>
    <x v="86"/>
    <x v="283"/>
    <x v="2"/>
    <x v="1"/>
    <x v="3"/>
    <x v="3"/>
    <x v="2"/>
    <n v="1538"/>
    <x v="104"/>
    <n v="932.02800000000013"/>
    <n v="6"/>
    <x v="3"/>
    <x v="1"/>
    <x v="4"/>
    <n v="391.45176000000004"/>
    <n v="540.5762400000001"/>
    <n v="150"/>
    <n v="93.202800000000025"/>
    <n v="932.02800000000013"/>
    <x v="282"/>
  </r>
  <r>
    <x v="36"/>
    <x v="86"/>
    <x v="284"/>
    <x v="5"/>
    <x v="3"/>
    <x v="1"/>
    <x v="6"/>
    <x v="6"/>
    <n v="3478"/>
    <x v="0"/>
    <n v="3478"/>
    <n v="38"/>
    <x v="23"/>
    <x v="0"/>
    <x v="0"/>
    <n v="1460.76"/>
    <n v="2017.24"/>
    <n v="0"/>
    <n v="0"/>
    <n v="0"/>
    <x v="283"/>
  </r>
  <r>
    <x v="5"/>
    <x v="87"/>
    <x v="285"/>
    <x v="0"/>
    <x v="2"/>
    <x v="2"/>
    <x v="2"/>
    <x v="0"/>
    <n v="274"/>
    <x v="105"/>
    <n v="235.36599999999999"/>
    <n v="38"/>
    <x v="39"/>
    <x v="0"/>
    <x v="0"/>
    <n v="98.853719999999996"/>
    <n v="136.51227999999998"/>
    <n v="0"/>
    <n v="0"/>
    <n v="0"/>
    <x v="284"/>
  </r>
  <r>
    <x v="16"/>
    <x v="87"/>
    <x v="286"/>
    <x v="3"/>
    <x v="0"/>
    <x v="1"/>
    <x v="0"/>
    <x v="1"/>
    <n v="3075"/>
    <x v="0"/>
    <n v="3075"/>
    <n v="16"/>
    <x v="7"/>
    <x v="1"/>
    <x v="4"/>
    <n v="1291.5"/>
    <n v="1783.5"/>
    <n v="150"/>
    <n v="307.5"/>
    <n v="3075"/>
    <x v="285"/>
  </r>
  <r>
    <x v="12"/>
    <x v="87"/>
    <x v="287"/>
    <x v="1"/>
    <x v="5"/>
    <x v="2"/>
    <x v="3"/>
    <x v="1"/>
    <n v="2899"/>
    <x v="0"/>
    <n v="2899"/>
    <n v="0"/>
    <x v="9"/>
    <x v="0"/>
    <x v="0"/>
    <n v="1217.58"/>
    <n v="1681.42"/>
    <n v="0"/>
    <n v="0"/>
    <n v="0"/>
    <x v="286"/>
  </r>
  <r>
    <x v="28"/>
    <x v="88"/>
    <x v="288"/>
    <x v="3"/>
    <x v="3"/>
    <x v="3"/>
    <x v="2"/>
    <x v="11"/>
    <n v="3951"/>
    <x v="0"/>
    <n v="3951"/>
    <n v="5"/>
    <x v="40"/>
    <x v="0"/>
    <x v="0"/>
    <n v="1659.4199999999998"/>
    <n v="2291.58"/>
    <n v="0"/>
    <n v="0"/>
    <n v="0"/>
    <x v="287"/>
  </r>
  <r>
    <x v="47"/>
    <x v="88"/>
    <x v="289"/>
    <x v="4"/>
    <x v="2"/>
    <x v="3"/>
    <x v="2"/>
    <x v="0"/>
    <n v="186"/>
    <x v="106"/>
    <n v="140.80199999999999"/>
    <n v="50"/>
    <x v="12"/>
    <x v="0"/>
    <x v="0"/>
    <n v="59.136839999999992"/>
    <n v="81.66516"/>
    <n v="0"/>
    <n v="0"/>
    <n v="0"/>
    <x v="288"/>
  </r>
  <r>
    <x v="10"/>
    <x v="88"/>
    <x v="290"/>
    <x v="3"/>
    <x v="1"/>
    <x v="2"/>
    <x v="6"/>
    <x v="2"/>
    <n v="1229"/>
    <x v="0"/>
    <n v="1229"/>
    <n v="22"/>
    <x v="29"/>
    <x v="0"/>
    <x v="0"/>
    <n v="516.17999999999995"/>
    <n v="712.82"/>
    <n v="0"/>
    <n v="0"/>
    <n v="0"/>
    <x v="289"/>
  </r>
  <r>
    <x v="40"/>
    <x v="88"/>
    <x v="291"/>
    <x v="5"/>
    <x v="0"/>
    <x v="1"/>
    <x v="5"/>
    <x v="10"/>
    <n v="3403"/>
    <x v="0"/>
    <n v="3403"/>
    <n v="12"/>
    <x v="9"/>
    <x v="0"/>
    <x v="0"/>
    <n v="1429.26"/>
    <n v="1973.74"/>
    <n v="0"/>
    <n v="0"/>
    <n v="0"/>
    <x v="290"/>
  </r>
  <r>
    <x v="18"/>
    <x v="89"/>
    <x v="292"/>
    <x v="3"/>
    <x v="4"/>
    <x v="2"/>
    <x v="2"/>
    <x v="5"/>
    <n v="2529"/>
    <x v="0"/>
    <n v="2529"/>
    <n v="18"/>
    <x v="28"/>
    <x v="1"/>
    <x v="3"/>
    <n v="1062.18"/>
    <n v="1466.82"/>
    <n v="150"/>
    <n v="252.9"/>
    <n v="2529"/>
    <x v="291"/>
  </r>
  <r>
    <x v="26"/>
    <x v="89"/>
    <x v="293"/>
    <x v="0"/>
    <x v="3"/>
    <x v="0"/>
    <x v="3"/>
    <x v="10"/>
    <n v="4456"/>
    <x v="0"/>
    <n v="4456"/>
    <n v="34"/>
    <x v="22"/>
    <x v="0"/>
    <x v="0"/>
    <n v="1871.52"/>
    <n v="2584.48"/>
    <n v="0"/>
    <n v="0"/>
    <n v="0"/>
    <x v="292"/>
  </r>
  <r>
    <x v="46"/>
    <x v="89"/>
    <x v="294"/>
    <x v="2"/>
    <x v="3"/>
    <x v="2"/>
    <x v="6"/>
    <x v="10"/>
    <n v="4292"/>
    <x v="10"/>
    <n v="2746.88"/>
    <n v="45"/>
    <x v="10"/>
    <x v="1"/>
    <x v="3"/>
    <n v="1153.6895999999999"/>
    <n v="1593.1904000000002"/>
    <n v="150"/>
    <n v="274.68800000000005"/>
    <n v="2746.88"/>
    <x v="293"/>
  </r>
  <r>
    <x v="26"/>
    <x v="89"/>
    <x v="295"/>
    <x v="0"/>
    <x v="3"/>
    <x v="0"/>
    <x v="4"/>
    <x v="3"/>
    <n v="4337"/>
    <x v="0"/>
    <n v="4337"/>
    <n v="10"/>
    <x v="39"/>
    <x v="0"/>
    <x v="0"/>
    <n v="1821.54"/>
    <n v="2515.46"/>
    <n v="0"/>
    <n v="0"/>
    <n v="0"/>
    <x v="294"/>
  </r>
  <r>
    <x v="41"/>
    <x v="90"/>
    <x v="296"/>
    <x v="6"/>
    <x v="2"/>
    <x v="3"/>
    <x v="2"/>
    <x v="1"/>
    <n v="500"/>
    <x v="74"/>
    <n v="435"/>
    <n v="17"/>
    <x v="28"/>
    <x v="1"/>
    <x v="3"/>
    <n v="182.7"/>
    <n v="252.3"/>
    <n v="150"/>
    <n v="43.5"/>
    <n v="435"/>
    <x v="295"/>
  </r>
  <r>
    <x v="7"/>
    <x v="90"/>
    <x v="297"/>
    <x v="3"/>
    <x v="5"/>
    <x v="2"/>
    <x v="3"/>
    <x v="1"/>
    <n v="1998"/>
    <x v="107"/>
    <n v="991.00800000000004"/>
    <n v="17"/>
    <x v="37"/>
    <x v="0"/>
    <x v="0"/>
    <n v="416.22336000000001"/>
    <n v="574.78464000000008"/>
    <n v="0"/>
    <n v="0"/>
    <n v="0"/>
    <x v="296"/>
  </r>
  <r>
    <x v="44"/>
    <x v="90"/>
    <x v="298"/>
    <x v="6"/>
    <x v="5"/>
    <x v="3"/>
    <x v="4"/>
    <x v="0"/>
    <n v="2122"/>
    <x v="0"/>
    <n v="2122"/>
    <n v="20"/>
    <x v="21"/>
    <x v="1"/>
    <x v="5"/>
    <n v="891.24"/>
    <n v="1230.76"/>
    <n v="150"/>
    <n v="212.20000000000002"/>
    <n v="2122"/>
    <x v="297"/>
  </r>
  <r>
    <x v="17"/>
    <x v="90"/>
    <x v="299"/>
    <x v="2"/>
    <x v="0"/>
    <x v="0"/>
    <x v="3"/>
    <x v="10"/>
    <n v="3822"/>
    <x v="24"/>
    <n v="3569.7479999999996"/>
    <n v="29"/>
    <x v="38"/>
    <x v="0"/>
    <x v="0"/>
    <n v="1499.2941599999997"/>
    <n v="2070.4538400000001"/>
    <n v="0"/>
    <n v="0"/>
    <n v="0"/>
    <x v="298"/>
  </r>
  <r>
    <x v="10"/>
    <x v="91"/>
    <x v="300"/>
    <x v="3"/>
    <x v="1"/>
    <x v="1"/>
    <x v="1"/>
    <x v="4"/>
    <n v="1319"/>
    <x v="0"/>
    <n v="1319"/>
    <n v="33"/>
    <x v="3"/>
    <x v="0"/>
    <x v="0"/>
    <n v="553.98"/>
    <n v="765.02"/>
    <n v="0"/>
    <n v="0"/>
    <n v="0"/>
    <x v="299"/>
  </r>
  <r>
    <x v="37"/>
    <x v="91"/>
    <x v="301"/>
    <x v="4"/>
    <x v="3"/>
    <x v="2"/>
    <x v="4"/>
    <x v="4"/>
    <n v="3940"/>
    <x v="0"/>
    <n v="3940"/>
    <n v="30"/>
    <x v="3"/>
    <x v="0"/>
    <x v="0"/>
    <n v="1654.8"/>
    <n v="2285.1999999999998"/>
    <n v="0"/>
    <n v="0"/>
    <n v="0"/>
    <x v="300"/>
  </r>
  <r>
    <x v="18"/>
    <x v="91"/>
    <x v="302"/>
    <x v="3"/>
    <x v="4"/>
    <x v="3"/>
    <x v="0"/>
    <x v="6"/>
    <n v="2357"/>
    <x v="108"/>
    <n v="2229.7219999999998"/>
    <n v="49"/>
    <x v="26"/>
    <x v="0"/>
    <x v="0"/>
    <n v="936.48323999999991"/>
    <n v="1293.2387599999997"/>
    <n v="0"/>
    <n v="0"/>
    <n v="0"/>
    <x v="301"/>
  </r>
  <r>
    <x v="18"/>
    <x v="91"/>
    <x v="303"/>
    <x v="3"/>
    <x v="4"/>
    <x v="1"/>
    <x v="0"/>
    <x v="2"/>
    <n v="2157"/>
    <x v="109"/>
    <n v="1246.7459999999999"/>
    <n v="34"/>
    <x v="0"/>
    <x v="0"/>
    <x v="0"/>
    <n v="523.63331999999991"/>
    <n v="723.11267999999995"/>
    <n v="0"/>
    <n v="0"/>
    <n v="0"/>
    <x v="302"/>
  </r>
  <r>
    <x v="38"/>
    <x v="92"/>
    <x v="304"/>
    <x v="0"/>
    <x v="1"/>
    <x v="0"/>
    <x v="4"/>
    <x v="1"/>
    <n v="904"/>
    <x v="110"/>
    <n v="585.79199999999992"/>
    <n v="15"/>
    <x v="29"/>
    <x v="0"/>
    <x v="0"/>
    <n v="246.03263999999996"/>
    <n v="339.75935999999996"/>
    <n v="0"/>
    <n v="0"/>
    <n v="0"/>
    <x v="303"/>
  </r>
  <r>
    <x v="45"/>
    <x v="92"/>
    <x v="305"/>
    <x v="7"/>
    <x v="3"/>
    <x v="3"/>
    <x v="6"/>
    <x v="7"/>
    <n v="4055"/>
    <x v="0"/>
    <n v="4055"/>
    <n v="4"/>
    <x v="3"/>
    <x v="1"/>
    <x v="5"/>
    <n v="1703.1"/>
    <n v="2351.9"/>
    <n v="150"/>
    <n v="405.5"/>
    <n v="4055"/>
    <x v="304"/>
  </r>
  <r>
    <x v="41"/>
    <x v="92"/>
    <x v="306"/>
    <x v="6"/>
    <x v="2"/>
    <x v="3"/>
    <x v="2"/>
    <x v="5"/>
    <n v="179"/>
    <x v="0"/>
    <n v="179"/>
    <n v="42"/>
    <x v="28"/>
    <x v="0"/>
    <x v="0"/>
    <n v="75.179999999999993"/>
    <n v="103.82000000000001"/>
    <n v="0"/>
    <n v="0"/>
    <n v="0"/>
    <x v="305"/>
  </r>
  <r>
    <x v="18"/>
    <x v="93"/>
    <x v="307"/>
    <x v="3"/>
    <x v="4"/>
    <x v="3"/>
    <x v="6"/>
    <x v="7"/>
    <n v="2085"/>
    <x v="0"/>
    <n v="2085"/>
    <n v="39"/>
    <x v="0"/>
    <x v="0"/>
    <x v="0"/>
    <n v="875.69999999999993"/>
    <n v="1209.3000000000002"/>
    <n v="0"/>
    <n v="0"/>
    <n v="0"/>
    <x v="306"/>
  </r>
  <r>
    <x v="10"/>
    <x v="93"/>
    <x v="308"/>
    <x v="3"/>
    <x v="1"/>
    <x v="3"/>
    <x v="3"/>
    <x v="5"/>
    <n v="1088"/>
    <x v="0"/>
    <n v="1088"/>
    <n v="34"/>
    <x v="2"/>
    <x v="0"/>
    <x v="0"/>
    <n v="456.96"/>
    <n v="631.04"/>
    <n v="0"/>
    <n v="0"/>
    <n v="0"/>
    <x v="307"/>
  </r>
  <r>
    <x v="16"/>
    <x v="93"/>
    <x v="309"/>
    <x v="3"/>
    <x v="0"/>
    <x v="0"/>
    <x v="1"/>
    <x v="10"/>
    <n v="3067"/>
    <x v="0"/>
    <n v="3067"/>
    <n v="7"/>
    <x v="4"/>
    <x v="0"/>
    <x v="0"/>
    <n v="1288.1399999999999"/>
    <n v="1778.8600000000001"/>
    <n v="0"/>
    <n v="0"/>
    <n v="0"/>
    <x v="308"/>
  </r>
  <r>
    <x v="32"/>
    <x v="93"/>
    <x v="310"/>
    <x v="4"/>
    <x v="4"/>
    <x v="1"/>
    <x v="1"/>
    <x v="10"/>
    <n v="2802"/>
    <x v="111"/>
    <n v="2547.018"/>
    <n v="10"/>
    <x v="24"/>
    <x v="1"/>
    <x v="3"/>
    <n v="1069.74756"/>
    <n v="1477.27044"/>
    <n v="150"/>
    <n v="254.70180000000002"/>
    <n v="2547.018"/>
    <x v="309"/>
  </r>
  <r>
    <x v="39"/>
    <x v="94"/>
    <x v="311"/>
    <x v="7"/>
    <x v="5"/>
    <x v="1"/>
    <x v="4"/>
    <x v="11"/>
    <n v="2427"/>
    <x v="0"/>
    <n v="2427"/>
    <n v="25"/>
    <x v="1"/>
    <x v="0"/>
    <x v="0"/>
    <n v="1019.3399999999999"/>
    <n v="1407.66"/>
    <n v="0"/>
    <n v="0"/>
    <n v="0"/>
    <x v="310"/>
  </r>
  <r>
    <x v="19"/>
    <x v="94"/>
    <x v="312"/>
    <x v="2"/>
    <x v="5"/>
    <x v="1"/>
    <x v="0"/>
    <x v="5"/>
    <n v="2284"/>
    <x v="0"/>
    <n v="2284"/>
    <n v="11"/>
    <x v="22"/>
    <x v="1"/>
    <x v="3"/>
    <n v="959.28"/>
    <n v="1324.72"/>
    <n v="150"/>
    <n v="228.4"/>
    <n v="2284"/>
    <x v="311"/>
  </r>
  <r>
    <x v="38"/>
    <x v="94"/>
    <x v="313"/>
    <x v="0"/>
    <x v="1"/>
    <x v="1"/>
    <x v="4"/>
    <x v="8"/>
    <n v="1290"/>
    <x v="112"/>
    <n v="549.54000000000008"/>
    <n v="24"/>
    <x v="33"/>
    <x v="1"/>
    <x v="6"/>
    <n v="230.80680000000001"/>
    <n v="318.73320000000007"/>
    <n v="150"/>
    <n v="54.954000000000008"/>
    <n v="549.54000000000008"/>
    <x v="312"/>
  </r>
  <r>
    <x v="40"/>
    <x v="95"/>
    <x v="314"/>
    <x v="5"/>
    <x v="0"/>
    <x v="3"/>
    <x v="5"/>
    <x v="0"/>
    <n v="3909"/>
    <x v="0"/>
    <n v="3909"/>
    <n v="7"/>
    <x v="32"/>
    <x v="0"/>
    <x v="0"/>
    <n v="1641.78"/>
    <n v="2267.2200000000003"/>
    <n v="0"/>
    <n v="0"/>
    <n v="0"/>
    <x v="313"/>
  </r>
  <r>
    <x v="7"/>
    <x v="95"/>
    <x v="315"/>
    <x v="3"/>
    <x v="5"/>
    <x v="0"/>
    <x v="5"/>
    <x v="5"/>
    <n v="2549"/>
    <x v="113"/>
    <n v="2357.8250000000003"/>
    <n v="20"/>
    <x v="26"/>
    <x v="0"/>
    <x v="0"/>
    <n v="990.28650000000005"/>
    <n v="1367.5385000000001"/>
    <n v="0"/>
    <n v="0"/>
    <n v="0"/>
    <x v="314"/>
  </r>
  <r>
    <x v="38"/>
    <x v="95"/>
    <x v="316"/>
    <x v="0"/>
    <x v="1"/>
    <x v="2"/>
    <x v="5"/>
    <x v="2"/>
    <n v="1079"/>
    <x v="114"/>
    <n v="797.38099999999997"/>
    <n v="32"/>
    <x v="17"/>
    <x v="0"/>
    <x v="0"/>
    <n v="334.90001999999998"/>
    <n v="462.48097999999999"/>
    <n v="0"/>
    <n v="0"/>
    <n v="0"/>
    <x v="315"/>
  </r>
  <r>
    <x v="43"/>
    <x v="95"/>
    <x v="317"/>
    <x v="4"/>
    <x v="5"/>
    <x v="3"/>
    <x v="1"/>
    <x v="10"/>
    <n v="2887"/>
    <x v="0"/>
    <n v="2887"/>
    <n v="47"/>
    <x v="28"/>
    <x v="0"/>
    <x v="0"/>
    <n v="1212.54"/>
    <n v="1674.46"/>
    <n v="0"/>
    <n v="0"/>
    <n v="0"/>
    <x v="316"/>
  </r>
  <r>
    <x v="2"/>
    <x v="95"/>
    <x v="318"/>
    <x v="1"/>
    <x v="2"/>
    <x v="2"/>
    <x v="2"/>
    <x v="3"/>
    <n v="456"/>
    <x v="0"/>
    <n v="456"/>
    <n v="15"/>
    <x v="16"/>
    <x v="1"/>
    <x v="5"/>
    <n v="191.51999999999998"/>
    <n v="264.48"/>
    <n v="150"/>
    <n v="45.6"/>
    <n v="456"/>
    <x v="317"/>
  </r>
  <r>
    <x v="3"/>
    <x v="96"/>
    <x v="319"/>
    <x v="1"/>
    <x v="3"/>
    <x v="0"/>
    <x v="3"/>
    <x v="8"/>
    <n v="3563"/>
    <x v="0"/>
    <n v="3563"/>
    <n v="24"/>
    <x v="27"/>
    <x v="0"/>
    <x v="0"/>
    <n v="1496.46"/>
    <n v="2066.54"/>
    <n v="0"/>
    <n v="0"/>
    <n v="0"/>
    <x v="318"/>
  </r>
  <r>
    <x v="18"/>
    <x v="96"/>
    <x v="320"/>
    <x v="3"/>
    <x v="4"/>
    <x v="2"/>
    <x v="3"/>
    <x v="8"/>
    <n v="2587"/>
    <x v="115"/>
    <n v="2167.9059999999999"/>
    <n v="13"/>
    <x v="29"/>
    <x v="0"/>
    <x v="0"/>
    <n v="910.52051999999992"/>
    <n v="1257.3854799999999"/>
    <n v="0"/>
    <n v="0"/>
    <n v="0"/>
    <x v="319"/>
  </r>
  <r>
    <x v="12"/>
    <x v="96"/>
    <x v="321"/>
    <x v="1"/>
    <x v="5"/>
    <x v="1"/>
    <x v="4"/>
    <x v="5"/>
    <n v="2622"/>
    <x v="116"/>
    <n v="2338.8240000000001"/>
    <n v="27"/>
    <x v="22"/>
    <x v="0"/>
    <x v="0"/>
    <n v="982.30607999999995"/>
    <n v="1356.5179200000002"/>
    <n v="0"/>
    <n v="0"/>
    <n v="0"/>
    <x v="320"/>
  </r>
  <r>
    <x v="32"/>
    <x v="97"/>
    <x v="322"/>
    <x v="4"/>
    <x v="4"/>
    <x v="0"/>
    <x v="2"/>
    <x v="7"/>
    <n v="2723"/>
    <x v="0"/>
    <n v="2723"/>
    <n v="37"/>
    <x v="18"/>
    <x v="0"/>
    <x v="0"/>
    <n v="1143.6599999999999"/>
    <n v="1579.3400000000001"/>
    <n v="0"/>
    <n v="0"/>
    <n v="0"/>
    <x v="321"/>
  </r>
  <r>
    <x v="7"/>
    <x v="97"/>
    <x v="323"/>
    <x v="3"/>
    <x v="5"/>
    <x v="2"/>
    <x v="0"/>
    <x v="3"/>
    <n v="2838"/>
    <x v="117"/>
    <n v="1793.616"/>
    <n v="16"/>
    <x v="1"/>
    <x v="1"/>
    <x v="4"/>
    <n v="753.31871999999998"/>
    <n v="1040.29728"/>
    <n v="150"/>
    <n v="179.36160000000001"/>
    <n v="1793.616"/>
    <x v="322"/>
  </r>
  <r>
    <x v="17"/>
    <x v="97"/>
    <x v="324"/>
    <x v="2"/>
    <x v="0"/>
    <x v="3"/>
    <x v="6"/>
    <x v="9"/>
    <n v="3242"/>
    <x v="118"/>
    <n v="1614.5160000000001"/>
    <n v="21"/>
    <x v="0"/>
    <x v="0"/>
    <x v="0"/>
    <n v="678.09672"/>
    <n v="936.41928000000007"/>
    <n v="0"/>
    <n v="0"/>
    <n v="0"/>
    <x v="323"/>
  </r>
  <r>
    <x v="39"/>
    <x v="97"/>
    <x v="325"/>
    <x v="7"/>
    <x v="5"/>
    <x v="2"/>
    <x v="6"/>
    <x v="6"/>
    <n v="2551"/>
    <x v="83"/>
    <n v="2326.5120000000002"/>
    <n v="43"/>
    <x v="26"/>
    <x v="0"/>
    <x v="0"/>
    <n v="977.13504"/>
    <n v="1349.3769600000001"/>
    <n v="0"/>
    <n v="0"/>
    <n v="0"/>
    <x v="324"/>
  </r>
  <r>
    <x v="30"/>
    <x v="98"/>
    <x v="326"/>
    <x v="7"/>
    <x v="4"/>
    <x v="1"/>
    <x v="3"/>
    <x v="2"/>
    <n v="2773"/>
    <x v="119"/>
    <n v="1483.5549999999998"/>
    <n v="17"/>
    <x v="3"/>
    <x v="0"/>
    <x v="0"/>
    <n v="623.09309999999994"/>
    <n v="860.4618999999999"/>
    <n v="0"/>
    <n v="0"/>
    <n v="0"/>
    <x v="325"/>
  </r>
  <r>
    <x v="41"/>
    <x v="98"/>
    <x v="327"/>
    <x v="6"/>
    <x v="2"/>
    <x v="0"/>
    <x v="2"/>
    <x v="2"/>
    <n v="468"/>
    <x v="98"/>
    <n v="258.80399999999997"/>
    <n v="34"/>
    <x v="30"/>
    <x v="0"/>
    <x v="0"/>
    <n v="108.69767999999999"/>
    <n v="150.10631999999998"/>
    <n v="0"/>
    <n v="0"/>
    <n v="0"/>
    <x v="326"/>
  </r>
  <r>
    <x v="8"/>
    <x v="98"/>
    <x v="328"/>
    <x v="1"/>
    <x v="0"/>
    <x v="3"/>
    <x v="5"/>
    <x v="4"/>
    <n v="4240"/>
    <x v="120"/>
    <n v="2989.2000000000003"/>
    <n v="43"/>
    <x v="13"/>
    <x v="0"/>
    <x v="0"/>
    <n v="1255.4640000000002"/>
    <n v="1733.7360000000001"/>
    <n v="0"/>
    <n v="0"/>
    <n v="0"/>
    <x v="327"/>
  </r>
  <r>
    <x v="41"/>
    <x v="98"/>
    <x v="329"/>
    <x v="6"/>
    <x v="2"/>
    <x v="0"/>
    <x v="2"/>
    <x v="8"/>
    <n v="166"/>
    <x v="0"/>
    <n v="166"/>
    <n v="21"/>
    <x v="20"/>
    <x v="0"/>
    <x v="0"/>
    <n v="69.72"/>
    <n v="96.28"/>
    <n v="0"/>
    <n v="0"/>
    <n v="0"/>
    <x v="328"/>
  </r>
  <r>
    <x v="34"/>
    <x v="99"/>
    <x v="330"/>
    <x v="6"/>
    <x v="0"/>
    <x v="3"/>
    <x v="1"/>
    <x v="7"/>
    <n v="3744"/>
    <x v="0"/>
    <n v="3744"/>
    <n v="31"/>
    <x v="33"/>
    <x v="0"/>
    <x v="0"/>
    <n v="1572.48"/>
    <n v="2171.52"/>
    <n v="0"/>
    <n v="0"/>
    <n v="0"/>
    <x v="329"/>
  </r>
  <r>
    <x v="39"/>
    <x v="99"/>
    <x v="331"/>
    <x v="7"/>
    <x v="5"/>
    <x v="2"/>
    <x v="5"/>
    <x v="9"/>
    <n v="1871"/>
    <x v="121"/>
    <n v="896.20899999999995"/>
    <n v="7"/>
    <x v="13"/>
    <x v="0"/>
    <x v="0"/>
    <n v="376.40777999999995"/>
    <n v="519.80122000000006"/>
    <n v="0"/>
    <n v="0"/>
    <n v="0"/>
    <x v="330"/>
  </r>
  <r>
    <x v="18"/>
    <x v="99"/>
    <x v="332"/>
    <x v="3"/>
    <x v="4"/>
    <x v="3"/>
    <x v="2"/>
    <x v="2"/>
    <n v="2149"/>
    <x v="0"/>
    <n v="2149"/>
    <n v="50"/>
    <x v="14"/>
    <x v="0"/>
    <x v="0"/>
    <n v="902.57999999999993"/>
    <n v="1246.42"/>
    <n v="0"/>
    <n v="0"/>
    <n v="0"/>
    <x v="331"/>
  </r>
  <r>
    <x v="5"/>
    <x v="100"/>
    <x v="333"/>
    <x v="0"/>
    <x v="2"/>
    <x v="0"/>
    <x v="2"/>
    <x v="9"/>
    <n v="407"/>
    <x v="0"/>
    <n v="407"/>
    <n v="46"/>
    <x v="3"/>
    <x v="0"/>
    <x v="0"/>
    <n v="170.94"/>
    <n v="236.06"/>
    <n v="0"/>
    <n v="0"/>
    <n v="0"/>
    <x v="332"/>
  </r>
  <r>
    <x v="18"/>
    <x v="100"/>
    <x v="334"/>
    <x v="3"/>
    <x v="4"/>
    <x v="2"/>
    <x v="2"/>
    <x v="1"/>
    <n v="2503"/>
    <x v="0"/>
    <n v="2503"/>
    <n v="1"/>
    <x v="30"/>
    <x v="0"/>
    <x v="0"/>
    <n v="1051.26"/>
    <n v="1451.74"/>
    <n v="0"/>
    <n v="0"/>
    <n v="0"/>
    <x v="333"/>
  </r>
  <r>
    <x v="28"/>
    <x v="100"/>
    <x v="335"/>
    <x v="3"/>
    <x v="3"/>
    <x v="1"/>
    <x v="3"/>
    <x v="2"/>
    <n v="4396"/>
    <x v="0"/>
    <n v="4396"/>
    <n v="11"/>
    <x v="20"/>
    <x v="1"/>
    <x v="3"/>
    <n v="1846.32"/>
    <n v="2549.6800000000003"/>
    <n v="150"/>
    <n v="439.6"/>
    <n v="4396"/>
    <x v="334"/>
  </r>
  <r>
    <x v="6"/>
    <x v="100"/>
    <x v="336"/>
    <x v="0"/>
    <x v="4"/>
    <x v="2"/>
    <x v="4"/>
    <x v="4"/>
    <n v="2446"/>
    <x v="122"/>
    <n v="2174.4940000000001"/>
    <n v="25"/>
    <x v="23"/>
    <x v="1"/>
    <x v="1"/>
    <n v="913.28748000000007"/>
    <n v="1261.2065200000002"/>
    <n v="150"/>
    <n v="217.44940000000003"/>
    <n v="2174.4940000000001"/>
    <x v="335"/>
  </r>
  <r>
    <x v="9"/>
    <x v="101"/>
    <x v="337"/>
    <x v="4"/>
    <x v="0"/>
    <x v="3"/>
    <x v="6"/>
    <x v="1"/>
    <n v="4079"/>
    <x v="123"/>
    <n v="2573.8490000000002"/>
    <n v="33"/>
    <x v="17"/>
    <x v="0"/>
    <x v="0"/>
    <n v="1081.01658"/>
    <n v="1492.8324200000002"/>
    <n v="0"/>
    <n v="0"/>
    <n v="0"/>
    <x v="336"/>
  </r>
  <r>
    <x v="6"/>
    <x v="101"/>
    <x v="338"/>
    <x v="0"/>
    <x v="4"/>
    <x v="1"/>
    <x v="5"/>
    <x v="11"/>
    <n v="2323"/>
    <x v="0"/>
    <n v="2323"/>
    <n v="0"/>
    <x v="17"/>
    <x v="0"/>
    <x v="0"/>
    <n v="975.66"/>
    <n v="1347.3400000000001"/>
    <n v="0"/>
    <n v="0"/>
    <n v="0"/>
    <x v="337"/>
  </r>
  <r>
    <x v="36"/>
    <x v="101"/>
    <x v="339"/>
    <x v="5"/>
    <x v="3"/>
    <x v="0"/>
    <x v="0"/>
    <x v="5"/>
    <n v="3522"/>
    <x v="64"/>
    <n v="2092.0679999999998"/>
    <n v="43"/>
    <x v="1"/>
    <x v="0"/>
    <x v="0"/>
    <n v="878.66855999999984"/>
    <n v="1213.3994399999999"/>
    <n v="0"/>
    <n v="0"/>
    <n v="0"/>
    <x v="338"/>
  </r>
  <r>
    <x v="18"/>
    <x v="102"/>
    <x v="340"/>
    <x v="3"/>
    <x v="4"/>
    <x v="3"/>
    <x v="3"/>
    <x v="2"/>
    <n v="2796"/>
    <x v="124"/>
    <n v="1658.028"/>
    <n v="23"/>
    <x v="13"/>
    <x v="0"/>
    <x v="0"/>
    <n v="696.37175999999999"/>
    <n v="961.65624000000003"/>
    <n v="0"/>
    <n v="0"/>
    <n v="0"/>
    <x v="339"/>
  </r>
  <r>
    <x v="11"/>
    <x v="102"/>
    <x v="341"/>
    <x v="5"/>
    <x v="4"/>
    <x v="0"/>
    <x v="6"/>
    <x v="7"/>
    <n v="2624"/>
    <x v="0"/>
    <n v="2624"/>
    <n v="47"/>
    <x v="36"/>
    <x v="0"/>
    <x v="0"/>
    <n v="1102.08"/>
    <n v="1521.92"/>
    <n v="0"/>
    <n v="0"/>
    <n v="0"/>
    <x v="340"/>
  </r>
  <r>
    <x v="28"/>
    <x v="102"/>
    <x v="342"/>
    <x v="3"/>
    <x v="3"/>
    <x v="2"/>
    <x v="6"/>
    <x v="7"/>
    <n v="3679"/>
    <x v="0"/>
    <n v="3679"/>
    <n v="12"/>
    <x v="23"/>
    <x v="0"/>
    <x v="0"/>
    <n v="1545.1799999999998"/>
    <n v="2133.8200000000002"/>
    <n v="0"/>
    <n v="0"/>
    <n v="0"/>
    <x v="341"/>
  </r>
  <r>
    <x v="46"/>
    <x v="102"/>
    <x v="343"/>
    <x v="2"/>
    <x v="3"/>
    <x v="1"/>
    <x v="3"/>
    <x v="4"/>
    <n v="3464"/>
    <x v="125"/>
    <n v="1593.4399999999998"/>
    <n v="17"/>
    <x v="21"/>
    <x v="1"/>
    <x v="3"/>
    <n v="669.24479999999994"/>
    <n v="924.19519999999989"/>
    <n v="150"/>
    <n v="159.34399999999999"/>
    <n v="1593.4399999999998"/>
    <x v="342"/>
  </r>
  <r>
    <x v="5"/>
    <x v="102"/>
    <x v="344"/>
    <x v="0"/>
    <x v="2"/>
    <x v="3"/>
    <x v="2"/>
    <x v="10"/>
    <n v="162"/>
    <x v="126"/>
    <n v="160.542"/>
    <n v="25"/>
    <x v="13"/>
    <x v="0"/>
    <x v="0"/>
    <n v="67.427639999999997"/>
    <n v="93.114360000000005"/>
    <n v="0"/>
    <n v="0"/>
    <n v="0"/>
    <x v="343"/>
  </r>
  <r>
    <x v="35"/>
    <x v="103"/>
    <x v="345"/>
    <x v="4"/>
    <x v="1"/>
    <x v="3"/>
    <x v="1"/>
    <x v="5"/>
    <n v="1597"/>
    <x v="0"/>
    <n v="1597"/>
    <n v="47"/>
    <x v="21"/>
    <x v="0"/>
    <x v="0"/>
    <n v="670.74"/>
    <n v="926.26"/>
    <n v="0"/>
    <n v="0"/>
    <n v="0"/>
    <x v="344"/>
  </r>
  <r>
    <x v="18"/>
    <x v="103"/>
    <x v="346"/>
    <x v="3"/>
    <x v="4"/>
    <x v="0"/>
    <x v="5"/>
    <x v="6"/>
    <n v="2409"/>
    <x v="127"/>
    <n v="2307.8220000000001"/>
    <n v="0"/>
    <x v="3"/>
    <x v="0"/>
    <x v="0"/>
    <n v="969.28524000000004"/>
    <n v="1338.53676"/>
    <n v="0"/>
    <n v="0"/>
    <n v="0"/>
    <x v="345"/>
  </r>
  <r>
    <x v="1"/>
    <x v="103"/>
    <x v="347"/>
    <x v="1"/>
    <x v="1"/>
    <x v="3"/>
    <x v="4"/>
    <x v="4"/>
    <n v="1713"/>
    <x v="0"/>
    <n v="1713"/>
    <n v="47"/>
    <x v="16"/>
    <x v="0"/>
    <x v="0"/>
    <n v="719.45999999999992"/>
    <n v="993.54000000000008"/>
    <n v="0"/>
    <n v="0"/>
    <n v="0"/>
    <x v="346"/>
  </r>
  <r>
    <x v="41"/>
    <x v="104"/>
    <x v="348"/>
    <x v="6"/>
    <x v="2"/>
    <x v="3"/>
    <x v="2"/>
    <x v="10"/>
    <n v="475"/>
    <x v="128"/>
    <n v="336.29999999999995"/>
    <n v="35"/>
    <x v="8"/>
    <x v="0"/>
    <x v="0"/>
    <n v="141.24599999999998"/>
    <n v="195.05399999999997"/>
    <n v="0"/>
    <n v="0"/>
    <n v="0"/>
    <x v="347"/>
  </r>
  <r>
    <x v="42"/>
    <x v="104"/>
    <x v="349"/>
    <x v="0"/>
    <x v="5"/>
    <x v="0"/>
    <x v="5"/>
    <x v="9"/>
    <n v="2016"/>
    <x v="129"/>
    <n v="1074.5279999999998"/>
    <n v="30"/>
    <x v="3"/>
    <x v="1"/>
    <x v="3"/>
    <n v="451.30175999999989"/>
    <n v="623.22623999999996"/>
    <n v="150"/>
    <n v="107.45279999999998"/>
    <n v="1074.5279999999998"/>
    <x v="348"/>
  </r>
  <r>
    <x v="27"/>
    <x v="104"/>
    <x v="350"/>
    <x v="7"/>
    <x v="2"/>
    <x v="3"/>
    <x v="2"/>
    <x v="11"/>
    <n v="480"/>
    <x v="130"/>
    <n v="401.28000000000003"/>
    <n v="33"/>
    <x v="7"/>
    <x v="0"/>
    <x v="0"/>
    <n v="168.5376"/>
    <n v="232.74240000000003"/>
    <n v="0"/>
    <n v="0"/>
    <n v="0"/>
    <x v="349"/>
  </r>
  <r>
    <x v="32"/>
    <x v="104"/>
    <x v="351"/>
    <x v="4"/>
    <x v="4"/>
    <x v="3"/>
    <x v="0"/>
    <x v="11"/>
    <n v="2268"/>
    <x v="0"/>
    <n v="2268"/>
    <n v="8"/>
    <x v="40"/>
    <x v="0"/>
    <x v="0"/>
    <n v="952.56"/>
    <n v="1315.44"/>
    <n v="0"/>
    <n v="0"/>
    <n v="0"/>
    <x v="350"/>
  </r>
  <r>
    <x v="19"/>
    <x v="105"/>
    <x v="352"/>
    <x v="2"/>
    <x v="5"/>
    <x v="0"/>
    <x v="5"/>
    <x v="2"/>
    <n v="1813"/>
    <x v="0"/>
    <n v="1813"/>
    <n v="24"/>
    <x v="1"/>
    <x v="0"/>
    <x v="0"/>
    <n v="761.45999999999992"/>
    <n v="1051.54"/>
    <n v="0"/>
    <n v="0"/>
    <n v="0"/>
    <x v="351"/>
  </r>
  <r>
    <x v="2"/>
    <x v="105"/>
    <x v="353"/>
    <x v="1"/>
    <x v="2"/>
    <x v="2"/>
    <x v="2"/>
    <x v="2"/>
    <n v="287"/>
    <x v="0"/>
    <n v="287"/>
    <n v="21"/>
    <x v="3"/>
    <x v="1"/>
    <x v="4"/>
    <n v="120.53999999999999"/>
    <n v="166.46"/>
    <n v="150"/>
    <n v="28.700000000000003"/>
    <n v="287"/>
    <x v="352"/>
  </r>
  <r>
    <x v="39"/>
    <x v="105"/>
    <x v="354"/>
    <x v="7"/>
    <x v="5"/>
    <x v="3"/>
    <x v="1"/>
    <x v="0"/>
    <n v="1848"/>
    <x v="0"/>
    <n v="1848"/>
    <n v="28"/>
    <x v="7"/>
    <x v="0"/>
    <x v="0"/>
    <n v="776.16"/>
    <n v="1071.8400000000001"/>
    <n v="0"/>
    <n v="0"/>
    <n v="0"/>
    <x v="353"/>
  </r>
  <r>
    <x v="46"/>
    <x v="106"/>
    <x v="355"/>
    <x v="2"/>
    <x v="3"/>
    <x v="3"/>
    <x v="0"/>
    <x v="3"/>
    <n v="3193"/>
    <x v="0"/>
    <n v="3193"/>
    <n v="21"/>
    <x v="1"/>
    <x v="0"/>
    <x v="0"/>
    <n v="1341.06"/>
    <n v="1851.94"/>
    <n v="0"/>
    <n v="0"/>
    <n v="0"/>
    <x v="354"/>
  </r>
  <r>
    <x v="13"/>
    <x v="106"/>
    <x v="356"/>
    <x v="3"/>
    <x v="2"/>
    <x v="2"/>
    <x v="2"/>
    <x v="9"/>
    <n v="269"/>
    <x v="0"/>
    <n v="269"/>
    <n v="29"/>
    <x v="31"/>
    <x v="0"/>
    <x v="0"/>
    <n v="112.97999999999999"/>
    <n v="156.02000000000001"/>
    <n v="0"/>
    <n v="0"/>
    <n v="0"/>
    <x v="355"/>
  </r>
  <r>
    <x v="27"/>
    <x v="106"/>
    <x v="357"/>
    <x v="7"/>
    <x v="2"/>
    <x v="1"/>
    <x v="2"/>
    <x v="1"/>
    <n v="371"/>
    <x v="62"/>
    <n v="261.92599999999999"/>
    <n v="4"/>
    <x v="10"/>
    <x v="0"/>
    <x v="0"/>
    <n v="110.00891999999999"/>
    <n v="151.91708"/>
    <n v="0"/>
    <n v="0"/>
    <n v="0"/>
    <x v="356"/>
  </r>
  <r>
    <x v="39"/>
    <x v="106"/>
    <x v="358"/>
    <x v="7"/>
    <x v="5"/>
    <x v="3"/>
    <x v="1"/>
    <x v="0"/>
    <n v="2233"/>
    <x v="131"/>
    <n v="971.35500000000013"/>
    <n v="15"/>
    <x v="0"/>
    <x v="0"/>
    <x v="0"/>
    <n v="407.96910000000003"/>
    <n v="563.38590000000011"/>
    <n v="0"/>
    <n v="0"/>
    <n v="0"/>
    <x v="357"/>
  </r>
  <r>
    <x v="35"/>
    <x v="106"/>
    <x v="359"/>
    <x v="4"/>
    <x v="1"/>
    <x v="0"/>
    <x v="1"/>
    <x v="10"/>
    <n v="950"/>
    <x v="0"/>
    <n v="950"/>
    <n v="13"/>
    <x v="11"/>
    <x v="0"/>
    <x v="0"/>
    <n v="399"/>
    <n v="551"/>
    <n v="0"/>
    <n v="0"/>
    <n v="0"/>
    <x v="358"/>
  </r>
  <r>
    <x v="25"/>
    <x v="107"/>
    <x v="360"/>
    <x v="6"/>
    <x v="1"/>
    <x v="1"/>
    <x v="5"/>
    <x v="10"/>
    <n v="1411"/>
    <x v="0"/>
    <n v="1411"/>
    <n v="42"/>
    <x v="8"/>
    <x v="1"/>
    <x v="4"/>
    <n v="592.62"/>
    <n v="818.38"/>
    <n v="150"/>
    <n v="141.1"/>
    <n v="1411"/>
    <x v="359"/>
  </r>
  <r>
    <x v="23"/>
    <x v="107"/>
    <x v="361"/>
    <x v="6"/>
    <x v="4"/>
    <x v="0"/>
    <x v="4"/>
    <x v="8"/>
    <n v="2172"/>
    <x v="0"/>
    <n v="2172"/>
    <n v="42"/>
    <x v="26"/>
    <x v="1"/>
    <x v="5"/>
    <n v="912.24"/>
    <n v="1259.76"/>
    <n v="150"/>
    <n v="217.20000000000002"/>
    <n v="2172"/>
    <x v="360"/>
  </r>
  <r>
    <x v="28"/>
    <x v="107"/>
    <x v="362"/>
    <x v="3"/>
    <x v="3"/>
    <x v="1"/>
    <x v="1"/>
    <x v="7"/>
    <n v="3231"/>
    <x v="69"/>
    <n v="1945.0620000000004"/>
    <n v="5"/>
    <x v="19"/>
    <x v="0"/>
    <x v="0"/>
    <n v="816.92604000000017"/>
    <n v="1128.1359600000001"/>
    <n v="0"/>
    <n v="0"/>
    <n v="0"/>
    <x v="361"/>
  </r>
  <r>
    <x v="8"/>
    <x v="108"/>
    <x v="363"/>
    <x v="1"/>
    <x v="0"/>
    <x v="2"/>
    <x v="3"/>
    <x v="8"/>
    <n v="3582"/>
    <x v="0"/>
    <n v="3582"/>
    <n v="28"/>
    <x v="40"/>
    <x v="0"/>
    <x v="0"/>
    <n v="1504.44"/>
    <n v="2077.56"/>
    <n v="0"/>
    <n v="0"/>
    <n v="0"/>
    <x v="362"/>
  </r>
  <r>
    <x v="22"/>
    <x v="108"/>
    <x v="364"/>
    <x v="2"/>
    <x v="4"/>
    <x v="3"/>
    <x v="3"/>
    <x v="7"/>
    <n v="2764"/>
    <x v="132"/>
    <n v="1970.7320000000002"/>
    <n v="23"/>
    <x v="32"/>
    <x v="0"/>
    <x v="0"/>
    <n v="827.70744000000002"/>
    <n v="1143.0245600000003"/>
    <n v="0"/>
    <n v="0"/>
    <n v="0"/>
    <x v="363"/>
  </r>
  <r>
    <x v="2"/>
    <x v="108"/>
    <x v="365"/>
    <x v="1"/>
    <x v="2"/>
    <x v="2"/>
    <x v="2"/>
    <x v="6"/>
    <n v="386"/>
    <x v="0"/>
    <n v="386"/>
    <n v="18"/>
    <x v="37"/>
    <x v="0"/>
    <x v="0"/>
    <n v="162.12"/>
    <n v="223.88"/>
    <n v="0"/>
    <n v="0"/>
    <n v="0"/>
    <x v="364"/>
  </r>
  <r>
    <x v="17"/>
    <x v="108"/>
    <x v="366"/>
    <x v="2"/>
    <x v="0"/>
    <x v="0"/>
    <x v="1"/>
    <x v="7"/>
    <n v="3228"/>
    <x v="0"/>
    <n v="3228"/>
    <n v="34"/>
    <x v="25"/>
    <x v="1"/>
    <x v="3"/>
    <n v="1355.76"/>
    <n v="1872.24"/>
    <n v="150"/>
    <n v="322.8"/>
    <n v="3228"/>
    <x v="365"/>
  </r>
  <r>
    <x v="15"/>
    <x v="109"/>
    <x v="367"/>
    <x v="5"/>
    <x v="1"/>
    <x v="2"/>
    <x v="1"/>
    <x v="7"/>
    <n v="1544"/>
    <x v="0"/>
    <n v="1544"/>
    <n v="16"/>
    <x v="3"/>
    <x v="0"/>
    <x v="0"/>
    <n v="648.48"/>
    <n v="895.52"/>
    <n v="0"/>
    <n v="0"/>
    <n v="0"/>
    <x v="366"/>
  </r>
  <r>
    <x v="23"/>
    <x v="109"/>
    <x v="368"/>
    <x v="6"/>
    <x v="4"/>
    <x v="2"/>
    <x v="0"/>
    <x v="8"/>
    <n v="2545"/>
    <x v="110"/>
    <n v="1649.1599999999999"/>
    <n v="14"/>
    <x v="29"/>
    <x v="0"/>
    <x v="0"/>
    <n v="692.64719999999988"/>
    <n v="956.51279999999997"/>
    <n v="0"/>
    <n v="0"/>
    <n v="0"/>
    <x v="367"/>
  </r>
  <r>
    <x v="47"/>
    <x v="109"/>
    <x v="369"/>
    <x v="4"/>
    <x v="2"/>
    <x v="2"/>
    <x v="2"/>
    <x v="0"/>
    <n v="472"/>
    <x v="133"/>
    <n v="294.52800000000002"/>
    <n v="49"/>
    <x v="21"/>
    <x v="0"/>
    <x v="0"/>
    <n v="123.70176000000001"/>
    <n v="170.82624000000001"/>
    <n v="0"/>
    <n v="0"/>
    <n v="0"/>
    <x v="368"/>
  </r>
  <r>
    <x v="17"/>
    <x v="110"/>
    <x v="370"/>
    <x v="2"/>
    <x v="0"/>
    <x v="1"/>
    <x v="4"/>
    <x v="6"/>
    <n v="3890"/>
    <x v="134"/>
    <n v="3104.2200000000003"/>
    <n v="17"/>
    <x v="3"/>
    <x v="0"/>
    <x v="0"/>
    <n v="1303.7724000000001"/>
    <n v="1800.4476000000002"/>
    <n v="0"/>
    <n v="0"/>
    <n v="0"/>
    <x v="369"/>
  </r>
  <r>
    <x v="0"/>
    <x v="110"/>
    <x v="371"/>
    <x v="0"/>
    <x v="0"/>
    <x v="0"/>
    <x v="0"/>
    <x v="2"/>
    <n v="3987"/>
    <x v="0"/>
    <n v="3987"/>
    <n v="33"/>
    <x v="3"/>
    <x v="0"/>
    <x v="0"/>
    <n v="1674.54"/>
    <n v="2312.46"/>
    <n v="0"/>
    <n v="0"/>
    <n v="0"/>
    <x v="370"/>
  </r>
  <r>
    <x v="45"/>
    <x v="110"/>
    <x v="372"/>
    <x v="7"/>
    <x v="3"/>
    <x v="3"/>
    <x v="4"/>
    <x v="10"/>
    <n v="3871"/>
    <x v="0"/>
    <n v="3871"/>
    <n v="48"/>
    <x v="28"/>
    <x v="0"/>
    <x v="0"/>
    <n v="1625.82"/>
    <n v="2245.1800000000003"/>
    <n v="0"/>
    <n v="0"/>
    <n v="0"/>
    <x v="16"/>
  </r>
  <r>
    <x v="26"/>
    <x v="110"/>
    <x v="373"/>
    <x v="0"/>
    <x v="3"/>
    <x v="1"/>
    <x v="3"/>
    <x v="11"/>
    <n v="3786"/>
    <x v="38"/>
    <n v="1692.3420000000003"/>
    <n v="5"/>
    <x v="6"/>
    <x v="0"/>
    <x v="0"/>
    <n v="710.7836400000001"/>
    <n v="981.55836000000022"/>
    <n v="0"/>
    <n v="0"/>
    <n v="0"/>
    <x v="371"/>
  </r>
  <r>
    <x v="1"/>
    <x v="111"/>
    <x v="374"/>
    <x v="1"/>
    <x v="1"/>
    <x v="0"/>
    <x v="0"/>
    <x v="0"/>
    <n v="1029"/>
    <x v="0"/>
    <n v="1029"/>
    <n v="9"/>
    <x v="21"/>
    <x v="0"/>
    <x v="0"/>
    <n v="432.18"/>
    <n v="596.81999999999994"/>
    <n v="0"/>
    <n v="0"/>
    <n v="0"/>
    <x v="372"/>
  </r>
  <r>
    <x v="20"/>
    <x v="111"/>
    <x v="375"/>
    <x v="7"/>
    <x v="1"/>
    <x v="1"/>
    <x v="0"/>
    <x v="5"/>
    <n v="1535"/>
    <x v="29"/>
    <n v="1389.175"/>
    <n v="34"/>
    <x v="15"/>
    <x v="0"/>
    <x v="0"/>
    <n v="583.45349999999996"/>
    <n v="805.72149999999999"/>
    <n v="0"/>
    <n v="0"/>
    <n v="0"/>
    <x v="373"/>
  </r>
  <r>
    <x v="34"/>
    <x v="111"/>
    <x v="376"/>
    <x v="6"/>
    <x v="0"/>
    <x v="2"/>
    <x v="5"/>
    <x v="0"/>
    <n v="3394"/>
    <x v="0"/>
    <n v="3394"/>
    <n v="36"/>
    <x v="13"/>
    <x v="0"/>
    <x v="0"/>
    <n v="1425.48"/>
    <n v="1968.52"/>
    <n v="0"/>
    <n v="0"/>
    <n v="0"/>
    <x v="374"/>
  </r>
  <r>
    <x v="41"/>
    <x v="111"/>
    <x v="377"/>
    <x v="6"/>
    <x v="2"/>
    <x v="2"/>
    <x v="2"/>
    <x v="10"/>
    <n v="347"/>
    <x v="0"/>
    <n v="347"/>
    <n v="17"/>
    <x v="3"/>
    <x v="0"/>
    <x v="0"/>
    <n v="145.73999999999998"/>
    <n v="201.26000000000002"/>
    <n v="0"/>
    <n v="0"/>
    <n v="0"/>
    <x v="375"/>
  </r>
  <r>
    <x v="30"/>
    <x v="112"/>
    <x v="378"/>
    <x v="7"/>
    <x v="4"/>
    <x v="1"/>
    <x v="5"/>
    <x v="2"/>
    <n v="2600"/>
    <x v="135"/>
    <n v="1409.2"/>
    <n v="6"/>
    <x v="40"/>
    <x v="0"/>
    <x v="0"/>
    <n v="591.86400000000003"/>
    <n v="817.33600000000001"/>
    <n v="0"/>
    <n v="0"/>
    <n v="0"/>
    <x v="376"/>
  </r>
  <r>
    <x v="13"/>
    <x v="112"/>
    <x v="379"/>
    <x v="3"/>
    <x v="2"/>
    <x v="3"/>
    <x v="2"/>
    <x v="11"/>
    <n v="246"/>
    <x v="0"/>
    <n v="246"/>
    <n v="43"/>
    <x v="23"/>
    <x v="1"/>
    <x v="4"/>
    <n v="103.32"/>
    <n v="142.68"/>
    <n v="150"/>
    <n v="24.6"/>
    <n v="246"/>
    <x v="377"/>
  </r>
  <r>
    <x v="13"/>
    <x v="112"/>
    <x v="380"/>
    <x v="3"/>
    <x v="2"/>
    <x v="2"/>
    <x v="2"/>
    <x v="1"/>
    <n v="425"/>
    <x v="0"/>
    <n v="425"/>
    <n v="16"/>
    <x v="33"/>
    <x v="0"/>
    <x v="0"/>
    <n v="178.5"/>
    <n v="246.5"/>
    <n v="0"/>
    <n v="0"/>
    <n v="0"/>
    <x v="378"/>
  </r>
  <r>
    <x v="35"/>
    <x v="112"/>
    <x v="381"/>
    <x v="4"/>
    <x v="1"/>
    <x v="0"/>
    <x v="5"/>
    <x v="9"/>
    <n v="1607"/>
    <x v="136"/>
    <n v="1160.2539999999999"/>
    <n v="12"/>
    <x v="7"/>
    <x v="0"/>
    <x v="0"/>
    <n v="487.30667999999991"/>
    <n v="672.94731999999999"/>
    <n v="0"/>
    <n v="0"/>
    <n v="0"/>
    <x v="379"/>
  </r>
  <r>
    <x v="9"/>
    <x v="113"/>
    <x v="382"/>
    <x v="4"/>
    <x v="0"/>
    <x v="3"/>
    <x v="6"/>
    <x v="2"/>
    <n v="3624"/>
    <x v="87"/>
    <n v="3573.2640000000001"/>
    <n v="7"/>
    <x v="24"/>
    <x v="0"/>
    <x v="0"/>
    <n v="1500.77088"/>
    <n v="2072.4931200000001"/>
    <n v="0"/>
    <n v="0"/>
    <n v="0"/>
    <x v="380"/>
  </r>
  <r>
    <x v="31"/>
    <x v="113"/>
    <x v="383"/>
    <x v="2"/>
    <x v="2"/>
    <x v="3"/>
    <x v="2"/>
    <x v="4"/>
    <n v="286"/>
    <x v="0"/>
    <n v="286"/>
    <n v="6"/>
    <x v="38"/>
    <x v="0"/>
    <x v="0"/>
    <n v="120.11999999999999"/>
    <n v="165.88"/>
    <n v="0"/>
    <n v="0"/>
    <n v="0"/>
    <x v="381"/>
  </r>
  <r>
    <x v="34"/>
    <x v="113"/>
    <x v="384"/>
    <x v="6"/>
    <x v="0"/>
    <x v="1"/>
    <x v="6"/>
    <x v="9"/>
    <n v="3139"/>
    <x v="0"/>
    <n v="3139"/>
    <n v="27"/>
    <x v="14"/>
    <x v="0"/>
    <x v="0"/>
    <n v="1318.3799999999999"/>
    <n v="1820.6200000000001"/>
    <n v="0"/>
    <n v="0"/>
    <n v="0"/>
    <x v="382"/>
  </r>
  <r>
    <x v="19"/>
    <x v="114"/>
    <x v="385"/>
    <x v="2"/>
    <x v="5"/>
    <x v="0"/>
    <x v="2"/>
    <x v="11"/>
    <n v="2058"/>
    <x v="137"/>
    <n v="1037.232"/>
    <n v="48"/>
    <x v="26"/>
    <x v="0"/>
    <x v="0"/>
    <n v="435.63743999999997"/>
    <n v="601.59456"/>
    <n v="0"/>
    <n v="0"/>
    <n v="0"/>
    <x v="383"/>
  </r>
  <r>
    <x v="1"/>
    <x v="114"/>
    <x v="386"/>
    <x v="1"/>
    <x v="1"/>
    <x v="1"/>
    <x v="1"/>
    <x v="7"/>
    <n v="1226"/>
    <x v="0"/>
    <n v="1226"/>
    <n v="42"/>
    <x v="20"/>
    <x v="0"/>
    <x v="0"/>
    <n v="514.91999999999996"/>
    <n v="711.08"/>
    <n v="0"/>
    <n v="0"/>
    <n v="0"/>
    <x v="384"/>
  </r>
  <r>
    <x v="47"/>
    <x v="114"/>
    <x v="387"/>
    <x v="4"/>
    <x v="2"/>
    <x v="2"/>
    <x v="2"/>
    <x v="2"/>
    <n v="256"/>
    <x v="0"/>
    <n v="256"/>
    <n v="6"/>
    <x v="6"/>
    <x v="0"/>
    <x v="0"/>
    <n v="107.52"/>
    <n v="148.48000000000002"/>
    <n v="0"/>
    <n v="0"/>
    <n v="0"/>
    <x v="385"/>
  </r>
  <r>
    <x v="31"/>
    <x v="114"/>
    <x v="388"/>
    <x v="2"/>
    <x v="2"/>
    <x v="0"/>
    <x v="2"/>
    <x v="5"/>
    <n v="156"/>
    <x v="0"/>
    <n v="156"/>
    <n v="30"/>
    <x v="24"/>
    <x v="0"/>
    <x v="0"/>
    <n v="65.52"/>
    <n v="90.48"/>
    <n v="0"/>
    <n v="0"/>
    <n v="0"/>
    <x v="386"/>
  </r>
  <r>
    <x v="45"/>
    <x v="115"/>
    <x v="389"/>
    <x v="7"/>
    <x v="3"/>
    <x v="3"/>
    <x v="1"/>
    <x v="1"/>
    <n v="3138"/>
    <x v="106"/>
    <n v="2375.4659999999999"/>
    <n v="37"/>
    <x v="7"/>
    <x v="1"/>
    <x v="4"/>
    <n v="997.69571999999994"/>
    <n v="1377.77028"/>
    <n v="150"/>
    <n v="237.54660000000001"/>
    <n v="2375.4659999999999"/>
    <x v="387"/>
  </r>
  <r>
    <x v="44"/>
    <x v="115"/>
    <x v="390"/>
    <x v="6"/>
    <x v="5"/>
    <x v="2"/>
    <x v="0"/>
    <x v="3"/>
    <n v="2726"/>
    <x v="0"/>
    <n v="2726"/>
    <n v="19"/>
    <x v="19"/>
    <x v="0"/>
    <x v="0"/>
    <n v="1144.9199999999998"/>
    <n v="1581.0800000000002"/>
    <n v="0"/>
    <n v="0"/>
    <n v="0"/>
    <x v="388"/>
  </r>
  <r>
    <x v="10"/>
    <x v="115"/>
    <x v="391"/>
    <x v="3"/>
    <x v="1"/>
    <x v="1"/>
    <x v="5"/>
    <x v="5"/>
    <n v="1393"/>
    <x v="0"/>
    <n v="1393"/>
    <n v="36"/>
    <x v="10"/>
    <x v="0"/>
    <x v="0"/>
    <n v="585.05999999999995"/>
    <n v="807.94"/>
    <n v="0"/>
    <n v="0"/>
    <n v="0"/>
    <x v="389"/>
  </r>
  <r>
    <x v="12"/>
    <x v="115"/>
    <x v="392"/>
    <x v="1"/>
    <x v="5"/>
    <x v="2"/>
    <x v="5"/>
    <x v="8"/>
    <n v="1971"/>
    <x v="1"/>
    <n v="1273.2660000000001"/>
    <n v="21"/>
    <x v="36"/>
    <x v="0"/>
    <x v="0"/>
    <n v="534.77171999999996"/>
    <n v="738.49428000000012"/>
    <n v="0"/>
    <n v="0"/>
    <n v="0"/>
    <x v="390"/>
  </r>
  <r>
    <x v="18"/>
    <x v="116"/>
    <x v="393"/>
    <x v="3"/>
    <x v="4"/>
    <x v="2"/>
    <x v="6"/>
    <x v="5"/>
    <n v="2705"/>
    <x v="138"/>
    <n v="1950.3050000000003"/>
    <n v="22"/>
    <x v="3"/>
    <x v="0"/>
    <x v="0"/>
    <n v="819.12810000000013"/>
    <n v="1131.1769000000002"/>
    <n v="0"/>
    <n v="0"/>
    <n v="0"/>
    <x v="391"/>
  </r>
  <r>
    <x v="38"/>
    <x v="116"/>
    <x v="394"/>
    <x v="0"/>
    <x v="1"/>
    <x v="1"/>
    <x v="2"/>
    <x v="5"/>
    <n v="1416"/>
    <x v="79"/>
    <n v="944.47200000000009"/>
    <n v="47"/>
    <x v="8"/>
    <x v="0"/>
    <x v="0"/>
    <n v="396.67824000000002"/>
    <n v="547.79376000000002"/>
    <n v="0"/>
    <n v="0"/>
    <n v="0"/>
    <x v="392"/>
  </r>
  <r>
    <x v="38"/>
    <x v="116"/>
    <x v="395"/>
    <x v="0"/>
    <x v="1"/>
    <x v="1"/>
    <x v="1"/>
    <x v="8"/>
    <n v="1401"/>
    <x v="91"/>
    <n v="734.12400000000002"/>
    <n v="18"/>
    <x v="8"/>
    <x v="1"/>
    <x v="4"/>
    <n v="308.33208000000002"/>
    <n v="425.79192"/>
    <n v="150"/>
    <n v="73.412400000000005"/>
    <n v="734.12400000000002"/>
    <x v="393"/>
  </r>
  <r>
    <x v="12"/>
    <x v="116"/>
    <x v="396"/>
    <x v="1"/>
    <x v="5"/>
    <x v="2"/>
    <x v="5"/>
    <x v="0"/>
    <n v="2268"/>
    <x v="19"/>
    <n v="972.97199999999987"/>
    <n v="0"/>
    <x v="36"/>
    <x v="0"/>
    <x v="0"/>
    <n v="408.64823999999993"/>
    <n v="564.32375999999999"/>
    <n v="0"/>
    <n v="0"/>
    <n v="0"/>
    <x v="394"/>
  </r>
  <r>
    <x v="39"/>
    <x v="117"/>
    <x v="397"/>
    <x v="7"/>
    <x v="5"/>
    <x v="1"/>
    <x v="1"/>
    <x v="5"/>
    <n v="1899"/>
    <x v="0"/>
    <n v="1899"/>
    <n v="39"/>
    <x v="7"/>
    <x v="1"/>
    <x v="4"/>
    <n v="797.57999999999993"/>
    <n v="1101.42"/>
    <n v="150"/>
    <n v="189.9"/>
    <n v="1899"/>
    <x v="395"/>
  </r>
  <r>
    <x v="47"/>
    <x v="117"/>
    <x v="398"/>
    <x v="4"/>
    <x v="2"/>
    <x v="1"/>
    <x v="2"/>
    <x v="11"/>
    <n v="155"/>
    <x v="139"/>
    <n v="88.504999999999995"/>
    <n v="5"/>
    <x v="15"/>
    <x v="0"/>
    <x v="0"/>
    <n v="37.172099999999993"/>
    <n v="51.332900000000002"/>
    <n v="0"/>
    <n v="0"/>
    <n v="0"/>
    <x v="396"/>
  </r>
  <r>
    <x v="0"/>
    <x v="117"/>
    <x v="399"/>
    <x v="0"/>
    <x v="0"/>
    <x v="0"/>
    <x v="1"/>
    <x v="2"/>
    <n v="3036"/>
    <x v="140"/>
    <n v="1797.3120000000004"/>
    <n v="27"/>
    <x v="25"/>
    <x v="1"/>
    <x v="7"/>
    <n v="754.87104000000011"/>
    <n v="1042.4409600000004"/>
    <n v="150"/>
    <n v="179.73120000000006"/>
    <n v="1797.3120000000004"/>
    <x v="397"/>
  </r>
  <r>
    <x v="24"/>
    <x v="117"/>
    <x v="400"/>
    <x v="5"/>
    <x v="5"/>
    <x v="2"/>
    <x v="0"/>
    <x v="1"/>
    <n v="2871"/>
    <x v="141"/>
    <n v="1527.3720000000001"/>
    <n v="18"/>
    <x v="18"/>
    <x v="0"/>
    <x v="0"/>
    <n v="641.49624000000006"/>
    <n v="885.87576000000001"/>
    <n v="0"/>
    <n v="0"/>
    <n v="0"/>
    <x v="398"/>
  </r>
  <r>
    <x v="41"/>
    <x v="118"/>
    <x v="401"/>
    <x v="6"/>
    <x v="2"/>
    <x v="2"/>
    <x v="2"/>
    <x v="9"/>
    <n v="396"/>
    <x v="53"/>
    <n v="310.86"/>
    <n v="16"/>
    <x v="3"/>
    <x v="0"/>
    <x v="0"/>
    <n v="130.56120000000001"/>
    <n v="180.2988"/>
    <n v="0"/>
    <n v="0"/>
    <n v="0"/>
    <x v="399"/>
  </r>
  <r>
    <x v="2"/>
    <x v="118"/>
    <x v="402"/>
    <x v="1"/>
    <x v="2"/>
    <x v="2"/>
    <x v="2"/>
    <x v="0"/>
    <n v="156"/>
    <x v="0"/>
    <n v="156"/>
    <n v="50"/>
    <x v="30"/>
    <x v="0"/>
    <x v="0"/>
    <n v="65.52"/>
    <n v="90.48"/>
    <n v="0"/>
    <n v="0"/>
    <n v="0"/>
    <x v="386"/>
  </r>
  <r>
    <x v="31"/>
    <x v="118"/>
    <x v="403"/>
    <x v="2"/>
    <x v="2"/>
    <x v="1"/>
    <x v="2"/>
    <x v="6"/>
    <n v="294"/>
    <x v="0"/>
    <n v="294"/>
    <n v="4"/>
    <x v="41"/>
    <x v="1"/>
    <x v="4"/>
    <n v="123.47999999999999"/>
    <n v="170.52"/>
    <n v="150"/>
    <n v="29.400000000000002"/>
    <n v="294"/>
    <x v="400"/>
  </r>
  <r>
    <x v="8"/>
    <x v="118"/>
    <x v="404"/>
    <x v="1"/>
    <x v="0"/>
    <x v="1"/>
    <x v="5"/>
    <x v="9"/>
    <n v="4374"/>
    <x v="0"/>
    <n v="4374"/>
    <n v="4"/>
    <x v="27"/>
    <x v="0"/>
    <x v="0"/>
    <n v="1837.08"/>
    <n v="2536.92"/>
    <n v="0"/>
    <n v="0"/>
    <n v="0"/>
    <x v="401"/>
  </r>
  <r>
    <x v="38"/>
    <x v="119"/>
    <x v="405"/>
    <x v="0"/>
    <x v="1"/>
    <x v="3"/>
    <x v="0"/>
    <x v="7"/>
    <n v="1688"/>
    <x v="142"/>
    <n v="730.90399999999988"/>
    <n v="29"/>
    <x v="17"/>
    <x v="1"/>
    <x v="5"/>
    <n v="306.97967999999992"/>
    <n v="423.92431999999997"/>
    <n v="150"/>
    <n v="73.090399999999988"/>
    <n v="730.90399999999988"/>
    <x v="402"/>
  </r>
  <r>
    <x v="37"/>
    <x v="119"/>
    <x v="406"/>
    <x v="4"/>
    <x v="3"/>
    <x v="1"/>
    <x v="0"/>
    <x v="3"/>
    <n v="3089"/>
    <x v="0"/>
    <n v="3089"/>
    <n v="0"/>
    <x v="31"/>
    <x v="0"/>
    <x v="0"/>
    <n v="1297.3799999999999"/>
    <n v="1791.6200000000001"/>
    <n v="0"/>
    <n v="0"/>
    <n v="0"/>
    <x v="403"/>
  </r>
  <r>
    <x v="17"/>
    <x v="119"/>
    <x v="407"/>
    <x v="2"/>
    <x v="0"/>
    <x v="1"/>
    <x v="5"/>
    <x v="5"/>
    <n v="3686"/>
    <x v="143"/>
    <n v="3560.6759999999999"/>
    <n v="42"/>
    <x v="23"/>
    <x v="0"/>
    <x v="0"/>
    <n v="1495.4839199999999"/>
    <n v="2065.1920799999998"/>
    <n v="0"/>
    <n v="0"/>
    <n v="0"/>
    <x v="404"/>
  </r>
  <r>
    <x v="34"/>
    <x v="120"/>
    <x v="408"/>
    <x v="6"/>
    <x v="0"/>
    <x v="2"/>
    <x v="5"/>
    <x v="11"/>
    <n v="3473"/>
    <x v="0"/>
    <n v="3473"/>
    <n v="25"/>
    <x v="7"/>
    <x v="0"/>
    <x v="0"/>
    <n v="1458.6599999999999"/>
    <n v="2014.3400000000001"/>
    <n v="0"/>
    <n v="0"/>
    <n v="0"/>
    <x v="405"/>
  </r>
  <r>
    <x v="5"/>
    <x v="120"/>
    <x v="409"/>
    <x v="0"/>
    <x v="2"/>
    <x v="3"/>
    <x v="2"/>
    <x v="8"/>
    <n v="472"/>
    <x v="0"/>
    <n v="472"/>
    <n v="27"/>
    <x v="11"/>
    <x v="0"/>
    <x v="0"/>
    <n v="198.23999999999998"/>
    <n v="273.76"/>
    <n v="0"/>
    <n v="0"/>
    <n v="0"/>
    <x v="406"/>
  </r>
  <r>
    <x v="25"/>
    <x v="120"/>
    <x v="410"/>
    <x v="6"/>
    <x v="1"/>
    <x v="0"/>
    <x v="5"/>
    <x v="6"/>
    <n v="1129"/>
    <x v="0"/>
    <n v="1129"/>
    <n v="46"/>
    <x v="3"/>
    <x v="1"/>
    <x v="4"/>
    <n v="474.18"/>
    <n v="654.81999999999994"/>
    <n v="150"/>
    <n v="112.9"/>
    <n v="1129"/>
    <x v="407"/>
  </r>
  <r>
    <x v="46"/>
    <x v="120"/>
    <x v="411"/>
    <x v="2"/>
    <x v="3"/>
    <x v="3"/>
    <x v="0"/>
    <x v="5"/>
    <n v="3298"/>
    <x v="0"/>
    <n v="3298"/>
    <n v="46"/>
    <x v="4"/>
    <x v="1"/>
    <x v="5"/>
    <n v="1385.1599999999999"/>
    <n v="1912.8400000000001"/>
    <n v="150"/>
    <n v="329.8"/>
    <n v="3298"/>
    <x v="408"/>
  </r>
  <r>
    <x v="40"/>
    <x v="120"/>
    <x v="412"/>
    <x v="5"/>
    <x v="0"/>
    <x v="2"/>
    <x v="1"/>
    <x v="1"/>
    <n v="3917"/>
    <x v="0"/>
    <n v="3917"/>
    <n v="36"/>
    <x v="2"/>
    <x v="0"/>
    <x v="0"/>
    <n v="1645.1399999999999"/>
    <n v="2271.86"/>
    <n v="0"/>
    <n v="0"/>
    <n v="0"/>
    <x v="409"/>
  </r>
  <r>
    <x v="23"/>
    <x v="121"/>
    <x v="413"/>
    <x v="6"/>
    <x v="4"/>
    <x v="3"/>
    <x v="5"/>
    <x v="5"/>
    <n v="2273"/>
    <x v="144"/>
    <n v="1661.5630000000001"/>
    <n v="38"/>
    <x v="19"/>
    <x v="0"/>
    <x v="0"/>
    <n v="697.85645999999997"/>
    <n v="963.70654000000013"/>
    <n v="0"/>
    <n v="0"/>
    <n v="0"/>
    <x v="410"/>
  </r>
  <r>
    <x v="43"/>
    <x v="121"/>
    <x v="414"/>
    <x v="4"/>
    <x v="5"/>
    <x v="2"/>
    <x v="4"/>
    <x v="8"/>
    <n v="2154"/>
    <x v="0"/>
    <n v="2154"/>
    <n v="33"/>
    <x v="32"/>
    <x v="0"/>
    <x v="0"/>
    <n v="904.68"/>
    <n v="1249.3200000000002"/>
    <n v="0"/>
    <n v="0"/>
    <n v="0"/>
    <x v="411"/>
  </r>
  <r>
    <x v="24"/>
    <x v="121"/>
    <x v="415"/>
    <x v="5"/>
    <x v="5"/>
    <x v="3"/>
    <x v="6"/>
    <x v="6"/>
    <n v="2074"/>
    <x v="0"/>
    <n v="2074"/>
    <n v="2"/>
    <x v="16"/>
    <x v="1"/>
    <x v="4"/>
    <n v="871.07999999999993"/>
    <n v="1202.92"/>
    <n v="150"/>
    <n v="207.4"/>
    <n v="2074"/>
    <x v="218"/>
  </r>
  <r>
    <x v="38"/>
    <x v="122"/>
    <x v="416"/>
    <x v="0"/>
    <x v="1"/>
    <x v="3"/>
    <x v="4"/>
    <x v="2"/>
    <n v="1790"/>
    <x v="1"/>
    <n v="1156.3400000000001"/>
    <n v="34"/>
    <x v="28"/>
    <x v="0"/>
    <x v="0"/>
    <n v="485.66280000000006"/>
    <n v="670.67720000000008"/>
    <n v="0"/>
    <n v="0"/>
    <n v="0"/>
    <x v="412"/>
  </r>
  <r>
    <x v="28"/>
    <x v="122"/>
    <x v="417"/>
    <x v="3"/>
    <x v="3"/>
    <x v="0"/>
    <x v="6"/>
    <x v="10"/>
    <n v="4017"/>
    <x v="0"/>
    <n v="4017"/>
    <n v="0"/>
    <x v="4"/>
    <x v="1"/>
    <x v="3"/>
    <n v="1687.1399999999999"/>
    <n v="2329.86"/>
    <n v="150"/>
    <n v="401.70000000000005"/>
    <n v="4017"/>
    <x v="413"/>
  </r>
  <r>
    <x v="34"/>
    <x v="122"/>
    <x v="418"/>
    <x v="6"/>
    <x v="0"/>
    <x v="0"/>
    <x v="4"/>
    <x v="9"/>
    <n v="3991"/>
    <x v="0"/>
    <n v="3991"/>
    <n v="20"/>
    <x v="0"/>
    <x v="0"/>
    <x v="0"/>
    <n v="1676.22"/>
    <n v="2314.7799999999997"/>
    <n v="0"/>
    <n v="0"/>
    <n v="0"/>
    <x v="414"/>
  </r>
  <r>
    <x v="3"/>
    <x v="122"/>
    <x v="419"/>
    <x v="1"/>
    <x v="3"/>
    <x v="3"/>
    <x v="5"/>
    <x v="2"/>
    <n v="4355"/>
    <x v="145"/>
    <n v="2800.2649999999999"/>
    <n v="25"/>
    <x v="41"/>
    <x v="0"/>
    <x v="0"/>
    <n v="1176.1112999999998"/>
    <n v="1624.1537000000001"/>
    <n v="0"/>
    <n v="0"/>
    <n v="0"/>
    <x v="415"/>
  </r>
  <r>
    <x v="7"/>
    <x v="122"/>
    <x v="420"/>
    <x v="3"/>
    <x v="5"/>
    <x v="3"/>
    <x v="6"/>
    <x v="2"/>
    <n v="1933"/>
    <x v="146"/>
    <n v="1070.8820000000001"/>
    <n v="37"/>
    <x v="40"/>
    <x v="1"/>
    <x v="4"/>
    <n v="449.77044000000001"/>
    <n v="621.11156000000005"/>
    <n v="150"/>
    <n v="107.08820000000001"/>
    <n v="1070.8820000000001"/>
    <x v="416"/>
  </r>
  <r>
    <x v="1"/>
    <x v="123"/>
    <x v="421"/>
    <x v="1"/>
    <x v="1"/>
    <x v="3"/>
    <x v="1"/>
    <x v="0"/>
    <n v="1270"/>
    <x v="0"/>
    <n v="1270"/>
    <n v="13"/>
    <x v="26"/>
    <x v="0"/>
    <x v="0"/>
    <n v="533.4"/>
    <n v="736.6"/>
    <n v="0"/>
    <n v="0"/>
    <n v="0"/>
    <x v="417"/>
  </r>
  <r>
    <x v="10"/>
    <x v="123"/>
    <x v="422"/>
    <x v="3"/>
    <x v="1"/>
    <x v="2"/>
    <x v="6"/>
    <x v="8"/>
    <n v="975"/>
    <x v="147"/>
    <n v="662.99999999999989"/>
    <n v="27"/>
    <x v="0"/>
    <x v="0"/>
    <x v="0"/>
    <n v="278.45999999999992"/>
    <n v="384.53999999999996"/>
    <n v="0"/>
    <n v="0"/>
    <n v="0"/>
    <x v="418"/>
  </r>
  <r>
    <x v="24"/>
    <x v="123"/>
    <x v="423"/>
    <x v="5"/>
    <x v="5"/>
    <x v="0"/>
    <x v="6"/>
    <x v="9"/>
    <n v="2604"/>
    <x v="22"/>
    <n v="1919.1479999999999"/>
    <n v="37"/>
    <x v="11"/>
    <x v="0"/>
    <x v="0"/>
    <n v="806.04215999999997"/>
    <n v="1113.1058399999999"/>
    <n v="0"/>
    <n v="0"/>
    <n v="0"/>
    <x v="419"/>
  </r>
  <r>
    <x v="17"/>
    <x v="123"/>
    <x v="424"/>
    <x v="2"/>
    <x v="0"/>
    <x v="2"/>
    <x v="0"/>
    <x v="2"/>
    <n v="3794"/>
    <x v="0"/>
    <n v="3794"/>
    <n v="32"/>
    <x v="14"/>
    <x v="0"/>
    <x v="0"/>
    <n v="1593.48"/>
    <n v="2200.52"/>
    <n v="0"/>
    <n v="0"/>
    <n v="0"/>
    <x v="420"/>
  </r>
  <r>
    <x v="20"/>
    <x v="124"/>
    <x v="425"/>
    <x v="7"/>
    <x v="1"/>
    <x v="1"/>
    <x v="0"/>
    <x v="2"/>
    <n v="1181"/>
    <x v="0"/>
    <n v="1181"/>
    <n v="13"/>
    <x v="35"/>
    <x v="0"/>
    <x v="0"/>
    <n v="496.02"/>
    <n v="684.98"/>
    <n v="0"/>
    <n v="0"/>
    <n v="0"/>
    <x v="421"/>
  </r>
  <r>
    <x v="3"/>
    <x v="124"/>
    <x v="426"/>
    <x v="1"/>
    <x v="3"/>
    <x v="2"/>
    <x v="2"/>
    <x v="10"/>
    <n v="3135"/>
    <x v="148"/>
    <n v="2771.34"/>
    <n v="47"/>
    <x v="28"/>
    <x v="1"/>
    <x v="6"/>
    <n v="1163.9628"/>
    <n v="1607.3772000000001"/>
    <n v="150"/>
    <n v="277.13400000000001"/>
    <n v="2771.34"/>
    <x v="422"/>
  </r>
  <r>
    <x v="6"/>
    <x v="124"/>
    <x v="427"/>
    <x v="0"/>
    <x v="4"/>
    <x v="0"/>
    <x v="4"/>
    <x v="10"/>
    <n v="2669"/>
    <x v="0"/>
    <n v="2669"/>
    <n v="9"/>
    <x v="3"/>
    <x v="0"/>
    <x v="0"/>
    <n v="1120.98"/>
    <n v="1548.02"/>
    <n v="0"/>
    <n v="0"/>
    <n v="0"/>
    <x v="423"/>
  </r>
  <r>
    <x v="19"/>
    <x v="124"/>
    <x v="428"/>
    <x v="2"/>
    <x v="5"/>
    <x v="2"/>
    <x v="0"/>
    <x v="10"/>
    <n v="2185"/>
    <x v="0"/>
    <n v="2185"/>
    <n v="35"/>
    <x v="26"/>
    <x v="0"/>
    <x v="0"/>
    <n v="917.69999999999993"/>
    <n v="1267.3000000000002"/>
    <n v="0"/>
    <n v="0"/>
    <n v="0"/>
    <x v="424"/>
  </r>
  <r>
    <x v="28"/>
    <x v="125"/>
    <x v="429"/>
    <x v="3"/>
    <x v="3"/>
    <x v="2"/>
    <x v="2"/>
    <x v="6"/>
    <n v="4187"/>
    <x v="149"/>
    <n v="3324.4780000000001"/>
    <n v="31"/>
    <x v="0"/>
    <x v="0"/>
    <x v="0"/>
    <n v="1396.2807599999999"/>
    <n v="1928.1972400000002"/>
    <n v="0"/>
    <n v="0"/>
    <n v="0"/>
    <x v="425"/>
  </r>
  <r>
    <x v="2"/>
    <x v="125"/>
    <x v="430"/>
    <x v="1"/>
    <x v="2"/>
    <x v="0"/>
    <x v="2"/>
    <x v="3"/>
    <n v="344"/>
    <x v="0"/>
    <n v="344"/>
    <n v="44"/>
    <x v="27"/>
    <x v="1"/>
    <x v="1"/>
    <n v="144.47999999999999"/>
    <n v="199.52"/>
    <n v="150"/>
    <n v="34.4"/>
    <n v="344"/>
    <x v="426"/>
  </r>
  <r>
    <x v="28"/>
    <x v="125"/>
    <x v="431"/>
    <x v="3"/>
    <x v="3"/>
    <x v="0"/>
    <x v="1"/>
    <x v="6"/>
    <n v="3475"/>
    <x v="0"/>
    <n v="3475"/>
    <n v="12"/>
    <x v="5"/>
    <x v="0"/>
    <x v="0"/>
    <n v="1459.5"/>
    <n v="2015.5"/>
    <n v="0"/>
    <n v="0"/>
    <n v="0"/>
    <x v="427"/>
  </r>
  <r>
    <x v="30"/>
    <x v="125"/>
    <x v="432"/>
    <x v="7"/>
    <x v="4"/>
    <x v="2"/>
    <x v="6"/>
    <x v="0"/>
    <n v="2583"/>
    <x v="0"/>
    <n v="2583"/>
    <n v="25"/>
    <x v="16"/>
    <x v="1"/>
    <x v="7"/>
    <n v="1084.8599999999999"/>
    <n v="1498.14"/>
    <n v="150"/>
    <n v="258.3"/>
    <n v="2583"/>
    <x v="428"/>
  </r>
  <r>
    <x v="26"/>
    <x v="126"/>
    <x v="433"/>
    <x v="0"/>
    <x v="3"/>
    <x v="1"/>
    <x v="5"/>
    <x v="6"/>
    <n v="4338"/>
    <x v="0"/>
    <n v="4338"/>
    <n v="26"/>
    <x v="28"/>
    <x v="1"/>
    <x v="4"/>
    <n v="1821.96"/>
    <n v="2516.04"/>
    <n v="150"/>
    <n v="433.8"/>
    <n v="4338"/>
    <x v="429"/>
  </r>
  <r>
    <x v="26"/>
    <x v="126"/>
    <x v="434"/>
    <x v="0"/>
    <x v="3"/>
    <x v="1"/>
    <x v="0"/>
    <x v="9"/>
    <n v="4331"/>
    <x v="127"/>
    <n v="4149.098"/>
    <n v="17"/>
    <x v="2"/>
    <x v="1"/>
    <x v="4"/>
    <n v="1742.6211599999999"/>
    <n v="2406.4768400000003"/>
    <n v="150"/>
    <n v="414.90980000000002"/>
    <n v="4149.098"/>
    <x v="430"/>
  </r>
  <r>
    <x v="46"/>
    <x v="126"/>
    <x v="435"/>
    <x v="2"/>
    <x v="3"/>
    <x v="0"/>
    <x v="0"/>
    <x v="6"/>
    <n v="3173"/>
    <x v="90"/>
    <n v="1849.8589999999999"/>
    <n v="17"/>
    <x v="20"/>
    <x v="1"/>
    <x v="3"/>
    <n v="776.9407799999999"/>
    <n v="1072.91822"/>
    <n v="150"/>
    <n v="184.98590000000002"/>
    <n v="1849.8589999999999"/>
    <x v="431"/>
  </r>
  <r>
    <x v="11"/>
    <x v="126"/>
    <x v="436"/>
    <x v="5"/>
    <x v="4"/>
    <x v="0"/>
    <x v="1"/>
    <x v="5"/>
    <n v="2275"/>
    <x v="0"/>
    <n v="2275"/>
    <n v="15"/>
    <x v="21"/>
    <x v="0"/>
    <x v="0"/>
    <n v="955.5"/>
    <n v="1319.5"/>
    <n v="0"/>
    <n v="0"/>
    <n v="0"/>
    <x v="239"/>
  </r>
  <r>
    <x v="9"/>
    <x v="126"/>
    <x v="437"/>
    <x v="4"/>
    <x v="0"/>
    <x v="3"/>
    <x v="1"/>
    <x v="0"/>
    <n v="4380"/>
    <x v="0"/>
    <n v="4380"/>
    <n v="27"/>
    <x v="14"/>
    <x v="0"/>
    <x v="0"/>
    <n v="1839.6"/>
    <n v="2540.4"/>
    <n v="0"/>
    <n v="0"/>
    <n v="0"/>
    <x v="432"/>
  </r>
  <r>
    <x v="28"/>
    <x v="127"/>
    <x v="438"/>
    <x v="3"/>
    <x v="3"/>
    <x v="2"/>
    <x v="1"/>
    <x v="2"/>
    <n v="3984"/>
    <x v="0"/>
    <n v="3984"/>
    <n v="8"/>
    <x v="17"/>
    <x v="0"/>
    <x v="0"/>
    <n v="1673.28"/>
    <n v="2310.7200000000003"/>
    <n v="0"/>
    <n v="0"/>
    <n v="0"/>
    <x v="433"/>
  </r>
  <r>
    <x v="6"/>
    <x v="127"/>
    <x v="439"/>
    <x v="0"/>
    <x v="4"/>
    <x v="1"/>
    <x v="2"/>
    <x v="3"/>
    <n v="2091"/>
    <x v="0"/>
    <n v="2091"/>
    <n v="50"/>
    <x v="3"/>
    <x v="0"/>
    <x v="0"/>
    <n v="878.21999999999991"/>
    <n v="1212.7800000000002"/>
    <n v="0"/>
    <n v="0"/>
    <n v="0"/>
    <x v="434"/>
  </r>
  <r>
    <x v="3"/>
    <x v="127"/>
    <x v="440"/>
    <x v="1"/>
    <x v="3"/>
    <x v="1"/>
    <x v="1"/>
    <x v="4"/>
    <n v="3595"/>
    <x v="150"/>
    <n v="3476.3649999999998"/>
    <n v="23"/>
    <x v="17"/>
    <x v="0"/>
    <x v="0"/>
    <n v="1460.0732999999998"/>
    <n v="2016.2917"/>
    <n v="0"/>
    <n v="0"/>
    <n v="0"/>
    <x v="435"/>
  </r>
  <r>
    <x v="31"/>
    <x v="128"/>
    <x v="441"/>
    <x v="2"/>
    <x v="2"/>
    <x v="1"/>
    <x v="2"/>
    <x v="6"/>
    <n v="469"/>
    <x v="0"/>
    <n v="469"/>
    <n v="14"/>
    <x v="30"/>
    <x v="0"/>
    <x v="0"/>
    <n v="196.98"/>
    <n v="272.02"/>
    <n v="0"/>
    <n v="0"/>
    <n v="0"/>
    <x v="436"/>
  </r>
  <r>
    <x v="5"/>
    <x v="128"/>
    <x v="442"/>
    <x v="0"/>
    <x v="2"/>
    <x v="1"/>
    <x v="2"/>
    <x v="4"/>
    <n v="371"/>
    <x v="0"/>
    <n v="371"/>
    <n v="30"/>
    <x v="1"/>
    <x v="0"/>
    <x v="0"/>
    <n v="155.82"/>
    <n v="215.18"/>
    <n v="0"/>
    <n v="0"/>
    <n v="0"/>
    <x v="437"/>
  </r>
  <r>
    <x v="17"/>
    <x v="128"/>
    <x v="443"/>
    <x v="2"/>
    <x v="0"/>
    <x v="0"/>
    <x v="1"/>
    <x v="9"/>
    <n v="3496"/>
    <x v="0"/>
    <n v="3496"/>
    <n v="35"/>
    <x v="27"/>
    <x v="1"/>
    <x v="7"/>
    <n v="1468.32"/>
    <n v="2027.68"/>
    <n v="150"/>
    <n v="349.6"/>
    <n v="3496"/>
    <x v="438"/>
  </r>
  <r>
    <x v="31"/>
    <x v="128"/>
    <x v="444"/>
    <x v="2"/>
    <x v="2"/>
    <x v="3"/>
    <x v="2"/>
    <x v="0"/>
    <n v="226"/>
    <x v="0"/>
    <n v="226"/>
    <n v="36"/>
    <x v="33"/>
    <x v="1"/>
    <x v="4"/>
    <n v="94.92"/>
    <n v="131.07999999999998"/>
    <n v="150"/>
    <n v="22.6"/>
    <n v="226"/>
    <x v="439"/>
  </r>
  <r>
    <x v="15"/>
    <x v="128"/>
    <x v="445"/>
    <x v="5"/>
    <x v="1"/>
    <x v="0"/>
    <x v="2"/>
    <x v="10"/>
    <n v="908"/>
    <x v="0"/>
    <n v="908"/>
    <n v="21"/>
    <x v="29"/>
    <x v="0"/>
    <x v="0"/>
    <n v="381.36"/>
    <n v="526.64"/>
    <n v="0"/>
    <n v="0"/>
    <n v="0"/>
    <x v="440"/>
  </r>
  <r>
    <x v="43"/>
    <x v="129"/>
    <x v="446"/>
    <x v="4"/>
    <x v="5"/>
    <x v="3"/>
    <x v="1"/>
    <x v="1"/>
    <n v="2514"/>
    <x v="0"/>
    <n v="2514"/>
    <n v="18"/>
    <x v="11"/>
    <x v="0"/>
    <x v="0"/>
    <n v="1055.8799999999999"/>
    <n v="1458.1200000000001"/>
    <n v="0"/>
    <n v="0"/>
    <n v="0"/>
    <x v="441"/>
  </r>
  <r>
    <x v="0"/>
    <x v="129"/>
    <x v="447"/>
    <x v="0"/>
    <x v="0"/>
    <x v="2"/>
    <x v="4"/>
    <x v="0"/>
    <n v="3874"/>
    <x v="0"/>
    <n v="3874"/>
    <n v="7"/>
    <x v="10"/>
    <x v="0"/>
    <x v="0"/>
    <n v="1627.08"/>
    <n v="2246.92"/>
    <n v="0"/>
    <n v="0"/>
    <n v="0"/>
    <x v="442"/>
  </r>
  <r>
    <x v="41"/>
    <x v="129"/>
    <x v="448"/>
    <x v="6"/>
    <x v="2"/>
    <x v="1"/>
    <x v="2"/>
    <x v="4"/>
    <n v="292"/>
    <x v="151"/>
    <n v="246.44799999999998"/>
    <n v="49"/>
    <x v="8"/>
    <x v="1"/>
    <x v="4"/>
    <n v="103.50815999999999"/>
    <n v="142.93984"/>
    <n v="150"/>
    <n v="24.6448"/>
    <n v="246.44799999999998"/>
    <x v="443"/>
  </r>
  <r>
    <x v="22"/>
    <x v="129"/>
    <x v="449"/>
    <x v="2"/>
    <x v="4"/>
    <x v="2"/>
    <x v="6"/>
    <x v="4"/>
    <n v="2121"/>
    <x v="0"/>
    <n v="2121"/>
    <n v="29"/>
    <x v="36"/>
    <x v="0"/>
    <x v="0"/>
    <n v="890.81999999999994"/>
    <n v="1230.18"/>
    <n v="0"/>
    <n v="0"/>
    <n v="0"/>
    <x v="444"/>
  </r>
  <r>
    <x v="13"/>
    <x v="130"/>
    <x v="450"/>
    <x v="3"/>
    <x v="2"/>
    <x v="3"/>
    <x v="2"/>
    <x v="10"/>
    <n v="241"/>
    <x v="0"/>
    <n v="241"/>
    <n v="28"/>
    <x v="23"/>
    <x v="0"/>
    <x v="0"/>
    <n v="101.22"/>
    <n v="139.78"/>
    <n v="0"/>
    <n v="0"/>
    <n v="0"/>
    <x v="445"/>
  </r>
  <r>
    <x v="38"/>
    <x v="130"/>
    <x v="451"/>
    <x v="0"/>
    <x v="1"/>
    <x v="1"/>
    <x v="0"/>
    <x v="2"/>
    <n v="994"/>
    <x v="152"/>
    <n v="403.56400000000002"/>
    <n v="5"/>
    <x v="18"/>
    <x v="1"/>
    <x v="2"/>
    <n v="169.49688"/>
    <n v="234.06712000000002"/>
    <n v="150"/>
    <n v="40.356400000000008"/>
    <n v="403.56400000000002"/>
    <x v="446"/>
  </r>
  <r>
    <x v="30"/>
    <x v="130"/>
    <x v="452"/>
    <x v="7"/>
    <x v="4"/>
    <x v="2"/>
    <x v="4"/>
    <x v="7"/>
    <n v="2725"/>
    <x v="0"/>
    <n v="2725"/>
    <n v="21"/>
    <x v="13"/>
    <x v="0"/>
    <x v="0"/>
    <n v="1144.5"/>
    <n v="1580.5"/>
    <n v="0"/>
    <n v="0"/>
    <n v="0"/>
    <x v="447"/>
  </r>
  <r>
    <x v="29"/>
    <x v="131"/>
    <x v="453"/>
    <x v="5"/>
    <x v="2"/>
    <x v="0"/>
    <x v="2"/>
    <x v="7"/>
    <n v="171"/>
    <x v="0"/>
    <n v="171"/>
    <n v="16"/>
    <x v="24"/>
    <x v="1"/>
    <x v="4"/>
    <n v="71.819999999999993"/>
    <n v="99.18"/>
    <n v="150"/>
    <n v="17.100000000000001"/>
    <n v="171"/>
    <x v="448"/>
  </r>
  <r>
    <x v="15"/>
    <x v="131"/>
    <x v="454"/>
    <x v="5"/>
    <x v="1"/>
    <x v="1"/>
    <x v="0"/>
    <x v="2"/>
    <n v="1134"/>
    <x v="153"/>
    <n v="510.29999999999995"/>
    <n v="6"/>
    <x v="5"/>
    <x v="0"/>
    <x v="0"/>
    <n v="214.32599999999996"/>
    <n v="295.97399999999999"/>
    <n v="0"/>
    <n v="0"/>
    <n v="0"/>
    <x v="449"/>
  </r>
  <r>
    <x v="18"/>
    <x v="131"/>
    <x v="455"/>
    <x v="3"/>
    <x v="4"/>
    <x v="3"/>
    <x v="4"/>
    <x v="1"/>
    <n v="2032"/>
    <x v="0"/>
    <n v="2032"/>
    <n v="17"/>
    <x v="38"/>
    <x v="0"/>
    <x v="0"/>
    <n v="853.43999999999994"/>
    <n v="1178.56"/>
    <n v="0"/>
    <n v="0"/>
    <n v="0"/>
    <x v="450"/>
  </r>
  <r>
    <x v="28"/>
    <x v="131"/>
    <x v="456"/>
    <x v="3"/>
    <x v="3"/>
    <x v="2"/>
    <x v="5"/>
    <x v="8"/>
    <n v="4075"/>
    <x v="154"/>
    <n v="1919.3249999999998"/>
    <n v="2"/>
    <x v="18"/>
    <x v="0"/>
    <x v="0"/>
    <n v="806.11649999999986"/>
    <n v="1113.2085"/>
    <n v="0"/>
    <n v="0"/>
    <n v="0"/>
    <x v="451"/>
  </r>
  <r>
    <x v="28"/>
    <x v="131"/>
    <x v="457"/>
    <x v="3"/>
    <x v="3"/>
    <x v="3"/>
    <x v="6"/>
    <x v="2"/>
    <n v="4087"/>
    <x v="155"/>
    <n v="2791.4210000000003"/>
    <n v="3"/>
    <x v="1"/>
    <x v="0"/>
    <x v="0"/>
    <n v="1172.3968200000002"/>
    <n v="1619.0241800000001"/>
    <n v="0"/>
    <n v="0"/>
    <n v="0"/>
    <x v="452"/>
  </r>
  <r>
    <x v="25"/>
    <x v="132"/>
    <x v="458"/>
    <x v="6"/>
    <x v="1"/>
    <x v="0"/>
    <x v="5"/>
    <x v="0"/>
    <n v="1247"/>
    <x v="0"/>
    <n v="1247"/>
    <n v="43"/>
    <x v="19"/>
    <x v="0"/>
    <x v="0"/>
    <n v="523.74"/>
    <n v="723.26"/>
    <n v="0"/>
    <n v="0"/>
    <n v="0"/>
    <x v="453"/>
  </r>
  <r>
    <x v="43"/>
    <x v="132"/>
    <x v="459"/>
    <x v="4"/>
    <x v="5"/>
    <x v="2"/>
    <x v="5"/>
    <x v="2"/>
    <n v="2166"/>
    <x v="156"/>
    <n v="1070.0039999999999"/>
    <n v="10"/>
    <x v="6"/>
    <x v="1"/>
    <x v="3"/>
    <n v="449.40167999999994"/>
    <n v="620.60231999999996"/>
    <n v="150"/>
    <n v="107.0004"/>
    <n v="1070.0039999999999"/>
    <x v="454"/>
  </r>
  <r>
    <x v="19"/>
    <x v="132"/>
    <x v="460"/>
    <x v="2"/>
    <x v="5"/>
    <x v="1"/>
    <x v="6"/>
    <x v="4"/>
    <n v="2210"/>
    <x v="43"/>
    <n v="963.56000000000017"/>
    <n v="30"/>
    <x v="25"/>
    <x v="0"/>
    <x v="0"/>
    <n v="404.69520000000006"/>
    <n v="558.86480000000006"/>
    <n v="0"/>
    <n v="0"/>
    <n v="0"/>
    <x v="455"/>
  </r>
  <r>
    <x v="47"/>
    <x v="133"/>
    <x v="461"/>
    <x v="4"/>
    <x v="2"/>
    <x v="1"/>
    <x v="2"/>
    <x v="3"/>
    <n v="327"/>
    <x v="0"/>
    <n v="327"/>
    <n v="30"/>
    <x v="3"/>
    <x v="0"/>
    <x v="0"/>
    <n v="137.34"/>
    <n v="189.66"/>
    <n v="0"/>
    <n v="0"/>
    <n v="0"/>
    <x v="456"/>
  </r>
  <r>
    <x v="17"/>
    <x v="133"/>
    <x v="462"/>
    <x v="2"/>
    <x v="0"/>
    <x v="2"/>
    <x v="4"/>
    <x v="7"/>
    <n v="4280"/>
    <x v="46"/>
    <n v="1789.0399999999997"/>
    <n v="44"/>
    <x v="37"/>
    <x v="0"/>
    <x v="0"/>
    <n v="751.39679999999987"/>
    <n v="1037.6432"/>
    <n v="0"/>
    <n v="0"/>
    <n v="0"/>
    <x v="457"/>
  </r>
  <r>
    <x v="32"/>
    <x v="133"/>
    <x v="463"/>
    <x v="4"/>
    <x v="4"/>
    <x v="0"/>
    <x v="0"/>
    <x v="0"/>
    <n v="2714"/>
    <x v="0"/>
    <n v="2714"/>
    <n v="0"/>
    <x v="6"/>
    <x v="0"/>
    <x v="0"/>
    <n v="1139.8799999999999"/>
    <n v="1574.1200000000001"/>
    <n v="0"/>
    <n v="0"/>
    <n v="0"/>
    <x v="458"/>
  </r>
  <r>
    <x v="40"/>
    <x v="133"/>
    <x v="464"/>
    <x v="5"/>
    <x v="0"/>
    <x v="1"/>
    <x v="5"/>
    <x v="2"/>
    <n v="4210"/>
    <x v="157"/>
    <n v="4197.37"/>
    <n v="30"/>
    <x v="19"/>
    <x v="1"/>
    <x v="3"/>
    <n v="1762.8953999999999"/>
    <n v="2434.4746"/>
    <n v="150"/>
    <n v="419.73700000000002"/>
    <n v="4197.37"/>
    <x v="459"/>
  </r>
  <r>
    <x v="15"/>
    <x v="134"/>
    <x v="465"/>
    <x v="5"/>
    <x v="1"/>
    <x v="0"/>
    <x v="3"/>
    <x v="9"/>
    <n v="1480"/>
    <x v="0"/>
    <n v="1480"/>
    <n v="35"/>
    <x v="19"/>
    <x v="0"/>
    <x v="0"/>
    <n v="621.6"/>
    <n v="858.4"/>
    <n v="0"/>
    <n v="0"/>
    <n v="0"/>
    <x v="460"/>
  </r>
  <r>
    <x v="22"/>
    <x v="134"/>
    <x v="466"/>
    <x v="2"/>
    <x v="4"/>
    <x v="0"/>
    <x v="5"/>
    <x v="11"/>
    <n v="2207"/>
    <x v="0"/>
    <n v="2207"/>
    <n v="14"/>
    <x v="23"/>
    <x v="0"/>
    <x v="0"/>
    <n v="926.93999999999994"/>
    <n v="1280.06"/>
    <n v="0"/>
    <n v="0"/>
    <n v="0"/>
    <x v="461"/>
  </r>
  <r>
    <x v="15"/>
    <x v="134"/>
    <x v="467"/>
    <x v="5"/>
    <x v="1"/>
    <x v="0"/>
    <x v="1"/>
    <x v="10"/>
    <n v="1038"/>
    <x v="87"/>
    <n v="1023.468"/>
    <n v="29"/>
    <x v="17"/>
    <x v="0"/>
    <x v="0"/>
    <n v="429.85655999999994"/>
    <n v="593.61144000000002"/>
    <n v="0"/>
    <n v="0"/>
    <n v="0"/>
    <x v="462"/>
  </r>
  <r>
    <x v="5"/>
    <x v="135"/>
    <x v="468"/>
    <x v="0"/>
    <x v="2"/>
    <x v="3"/>
    <x v="2"/>
    <x v="10"/>
    <n v="227"/>
    <x v="158"/>
    <n v="200.214"/>
    <n v="30"/>
    <x v="19"/>
    <x v="0"/>
    <x v="0"/>
    <n v="84.089879999999994"/>
    <n v="116.12412"/>
    <n v="0"/>
    <n v="0"/>
    <n v="0"/>
    <x v="463"/>
  </r>
  <r>
    <x v="8"/>
    <x v="135"/>
    <x v="469"/>
    <x v="1"/>
    <x v="0"/>
    <x v="3"/>
    <x v="3"/>
    <x v="11"/>
    <n v="3236"/>
    <x v="0"/>
    <n v="3236"/>
    <n v="28"/>
    <x v="3"/>
    <x v="0"/>
    <x v="0"/>
    <n v="1359.12"/>
    <n v="1876.88"/>
    <n v="0"/>
    <n v="0"/>
    <n v="0"/>
    <x v="464"/>
  </r>
  <r>
    <x v="21"/>
    <x v="135"/>
    <x v="470"/>
    <x v="1"/>
    <x v="4"/>
    <x v="3"/>
    <x v="5"/>
    <x v="7"/>
    <n v="2322"/>
    <x v="0"/>
    <n v="2322"/>
    <n v="17"/>
    <x v="6"/>
    <x v="0"/>
    <x v="0"/>
    <n v="975.24"/>
    <n v="1346.76"/>
    <n v="0"/>
    <n v="0"/>
    <n v="0"/>
    <x v="465"/>
  </r>
  <r>
    <x v="11"/>
    <x v="135"/>
    <x v="471"/>
    <x v="5"/>
    <x v="4"/>
    <x v="2"/>
    <x v="2"/>
    <x v="1"/>
    <n v="2243"/>
    <x v="159"/>
    <n v="1025.0510000000002"/>
    <n v="38"/>
    <x v="4"/>
    <x v="0"/>
    <x v="0"/>
    <n v="430.52142000000003"/>
    <n v="594.52958000000012"/>
    <n v="0"/>
    <n v="0"/>
    <n v="0"/>
    <x v="466"/>
  </r>
  <r>
    <x v="14"/>
    <x v="136"/>
    <x v="472"/>
    <x v="6"/>
    <x v="3"/>
    <x v="2"/>
    <x v="5"/>
    <x v="7"/>
    <n v="3615"/>
    <x v="0"/>
    <n v="3615"/>
    <n v="45"/>
    <x v="22"/>
    <x v="0"/>
    <x v="0"/>
    <n v="1518.3"/>
    <n v="2096.6999999999998"/>
    <n v="0"/>
    <n v="0"/>
    <n v="0"/>
    <x v="467"/>
  </r>
  <r>
    <x v="14"/>
    <x v="136"/>
    <x v="473"/>
    <x v="6"/>
    <x v="3"/>
    <x v="2"/>
    <x v="1"/>
    <x v="5"/>
    <n v="3858"/>
    <x v="160"/>
    <n v="3476.058"/>
    <n v="37"/>
    <x v="1"/>
    <x v="1"/>
    <x v="3"/>
    <n v="1459.94436"/>
    <n v="2016.11364"/>
    <n v="150"/>
    <n v="347.60580000000004"/>
    <n v="3476.058"/>
    <x v="468"/>
  </r>
  <r>
    <x v="0"/>
    <x v="136"/>
    <x v="474"/>
    <x v="0"/>
    <x v="0"/>
    <x v="1"/>
    <x v="1"/>
    <x v="6"/>
    <n v="3965"/>
    <x v="0"/>
    <n v="3965"/>
    <n v="13"/>
    <x v="5"/>
    <x v="0"/>
    <x v="0"/>
    <n v="1665.3"/>
    <n v="2299.6999999999998"/>
    <n v="0"/>
    <n v="0"/>
    <n v="0"/>
    <x v="469"/>
  </r>
  <r>
    <x v="28"/>
    <x v="136"/>
    <x v="475"/>
    <x v="3"/>
    <x v="3"/>
    <x v="3"/>
    <x v="6"/>
    <x v="9"/>
    <n v="4344"/>
    <x v="161"/>
    <n v="1993.8959999999997"/>
    <n v="36"/>
    <x v="26"/>
    <x v="1"/>
    <x v="3"/>
    <n v="837.43631999999991"/>
    <n v="1156.4596799999999"/>
    <n v="150"/>
    <n v="199.38959999999997"/>
    <n v="1993.8959999999997"/>
    <x v="470"/>
  </r>
  <r>
    <x v="38"/>
    <x v="137"/>
    <x v="476"/>
    <x v="0"/>
    <x v="1"/>
    <x v="2"/>
    <x v="3"/>
    <x v="7"/>
    <n v="1263"/>
    <x v="0"/>
    <n v="1263"/>
    <n v="12"/>
    <x v="3"/>
    <x v="1"/>
    <x v="1"/>
    <n v="530.46"/>
    <n v="732.54"/>
    <n v="150"/>
    <n v="126.30000000000001"/>
    <n v="1263"/>
    <x v="471"/>
  </r>
  <r>
    <x v="41"/>
    <x v="137"/>
    <x v="477"/>
    <x v="6"/>
    <x v="2"/>
    <x v="0"/>
    <x v="2"/>
    <x v="1"/>
    <n v="351"/>
    <x v="0"/>
    <n v="351"/>
    <n v="38"/>
    <x v="17"/>
    <x v="0"/>
    <x v="0"/>
    <n v="147.41999999999999"/>
    <n v="203.58"/>
    <n v="0"/>
    <n v="0"/>
    <n v="0"/>
    <x v="472"/>
  </r>
  <r>
    <x v="42"/>
    <x v="137"/>
    <x v="478"/>
    <x v="0"/>
    <x v="5"/>
    <x v="1"/>
    <x v="0"/>
    <x v="0"/>
    <n v="2210"/>
    <x v="35"/>
    <n v="1787.8899999999999"/>
    <n v="14"/>
    <x v="3"/>
    <x v="0"/>
    <x v="0"/>
    <n v="750.91379999999992"/>
    <n v="1036.9762000000001"/>
    <n v="0"/>
    <n v="0"/>
    <n v="0"/>
    <x v="473"/>
  </r>
  <r>
    <x v="28"/>
    <x v="138"/>
    <x v="479"/>
    <x v="3"/>
    <x v="3"/>
    <x v="0"/>
    <x v="5"/>
    <x v="1"/>
    <n v="3372"/>
    <x v="0"/>
    <n v="3372"/>
    <n v="44"/>
    <x v="21"/>
    <x v="0"/>
    <x v="0"/>
    <n v="1416.24"/>
    <n v="1955.76"/>
    <n v="0"/>
    <n v="0"/>
    <n v="0"/>
    <x v="474"/>
  </r>
  <r>
    <x v="46"/>
    <x v="138"/>
    <x v="480"/>
    <x v="2"/>
    <x v="3"/>
    <x v="1"/>
    <x v="3"/>
    <x v="2"/>
    <n v="3842"/>
    <x v="0"/>
    <n v="3842"/>
    <n v="15"/>
    <x v="32"/>
    <x v="1"/>
    <x v="3"/>
    <n v="1613.6399999999999"/>
    <n v="2228.36"/>
    <n v="150"/>
    <n v="384.20000000000005"/>
    <n v="3842"/>
    <x v="475"/>
  </r>
  <r>
    <x v="43"/>
    <x v="138"/>
    <x v="481"/>
    <x v="4"/>
    <x v="5"/>
    <x v="0"/>
    <x v="3"/>
    <x v="9"/>
    <n v="1866"/>
    <x v="162"/>
    <n v="1306.1999999999998"/>
    <n v="39"/>
    <x v="31"/>
    <x v="0"/>
    <x v="0"/>
    <n v="548.60399999999993"/>
    <n v="757.59599999999989"/>
    <n v="0"/>
    <n v="0"/>
    <n v="0"/>
    <x v="476"/>
  </r>
  <r>
    <x v="26"/>
    <x v="138"/>
    <x v="482"/>
    <x v="0"/>
    <x v="3"/>
    <x v="3"/>
    <x v="2"/>
    <x v="8"/>
    <n v="3834"/>
    <x v="0"/>
    <n v="3834"/>
    <n v="12"/>
    <x v="36"/>
    <x v="0"/>
    <x v="0"/>
    <n v="1610.28"/>
    <n v="2223.7200000000003"/>
    <n v="0"/>
    <n v="0"/>
    <n v="0"/>
    <x v="477"/>
  </r>
  <r>
    <x v="3"/>
    <x v="138"/>
    <x v="483"/>
    <x v="1"/>
    <x v="3"/>
    <x v="0"/>
    <x v="5"/>
    <x v="5"/>
    <n v="3363"/>
    <x v="0"/>
    <n v="3363"/>
    <n v="4"/>
    <x v="10"/>
    <x v="0"/>
    <x v="0"/>
    <n v="1412.46"/>
    <n v="1950.54"/>
    <n v="0"/>
    <n v="0"/>
    <n v="0"/>
    <x v="478"/>
  </r>
  <r>
    <x v="25"/>
    <x v="139"/>
    <x v="484"/>
    <x v="6"/>
    <x v="1"/>
    <x v="3"/>
    <x v="3"/>
    <x v="1"/>
    <n v="1306"/>
    <x v="0"/>
    <n v="1306"/>
    <n v="2"/>
    <x v="3"/>
    <x v="0"/>
    <x v="0"/>
    <n v="548.52"/>
    <n v="757.48"/>
    <n v="0"/>
    <n v="0"/>
    <n v="0"/>
    <x v="479"/>
  </r>
  <r>
    <x v="41"/>
    <x v="139"/>
    <x v="485"/>
    <x v="6"/>
    <x v="2"/>
    <x v="2"/>
    <x v="2"/>
    <x v="7"/>
    <n v="383"/>
    <x v="163"/>
    <n v="277.29199999999997"/>
    <n v="36"/>
    <x v="3"/>
    <x v="0"/>
    <x v="0"/>
    <n v="116.46263999999998"/>
    <n v="160.82936000000001"/>
    <n v="0"/>
    <n v="0"/>
    <n v="0"/>
    <x v="480"/>
  </r>
  <r>
    <x v="46"/>
    <x v="139"/>
    <x v="486"/>
    <x v="2"/>
    <x v="3"/>
    <x v="3"/>
    <x v="0"/>
    <x v="5"/>
    <n v="4071"/>
    <x v="0"/>
    <n v="4071"/>
    <n v="17"/>
    <x v="37"/>
    <x v="0"/>
    <x v="0"/>
    <n v="1709.82"/>
    <n v="2361.1800000000003"/>
    <n v="0"/>
    <n v="0"/>
    <n v="0"/>
    <x v="481"/>
  </r>
  <r>
    <x v="2"/>
    <x v="139"/>
    <x v="487"/>
    <x v="1"/>
    <x v="2"/>
    <x v="2"/>
    <x v="2"/>
    <x v="4"/>
    <n v="244"/>
    <x v="164"/>
    <n v="152.012"/>
    <n v="16"/>
    <x v="32"/>
    <x v="1"/>
    <x v="4"/>
    <n v="63.845039999999997"/>
    <n v="88.166960000000003"/>
    <n v="150"/>
    <n v="15.2012"/>
    <n v="152.012"/>
    <x v="482"/>
  </r>
  <r>
    <x v="17"/>
    <x v="140"/>
    <x v="488"/>
    <x v="2"/>
    <x v="0"/>
    <x v="2"/>
    <x v="2"/>
    <x v="1"/>
    <n v="4400"/>
    <x v="165"/>
    <n v="4122.8"/>
    <n v="18"/>
    <x v="31"/>
    <x v="0"/>
    <x v="0"/>
    <n v="1731.576"/>
    <n v="2391.2240000000002"/>
    <n v="0"/>
    <n v="0"/>
    <n v="0"/>
    <x v="483"/>
  </r>
  <r>
    <x v="13"/>
    <x v="140"/>
    <x v="489"/>
    <x v="3"/>
    <x v="2"/>
    <x v="3"/>
    <x v="2"/>
    <x v="5"/>
    <n v="435"/>
    <x v="0"/>
    <n v="435"/>
    <n v="3"/>
    <x v="30"/>
    <x v="0"/>
    <x v="0"/>
    <n v="182.7"/>
    <n v="252.3"/>
    <n v="0"/>
    <n v="0"/>
    <n v="0"/>
    <x v="484"/>
  </r>
  <r>
    <x v="42"/>
    <x v="140"/>
    <x v="490"/>
    <x v="0"/>
    <x v="5"/>
    <x v="3"/>
    <x v="6"/>
    <x v="0"/>
    <n v="2794"/>
    <x v="79"/>
    <n v="1863.5980000000002"/>
    <n v="33"/>
    <x v="24"/>
    <x v="0"/>
    <x v="0"/>
    <n v="782.71116000000006"/>
    <n v="1080.8868400000001"/>
    <n v="0"/>
    <n v="0"/>
    <n v="0"/>
    <x v="485"/>
  </r>
  <r>
    <x v="34"/>
    <x v="140"/>
    <x v="491"/>
    <x v="6"/>
    <x v="0"/>
    <x v="1"/>
    <x v="5"/>
    <x v="10"/>
    <n v="4385"/>
    <x v="166"/>
    <n v="2060.9499999999998"/>
    <n v="2"/>
    <x v="9"/>
    <x v="1"/>
    <x v="1"/>
    <n v="865.59899999999993"/>
    <n v="1195.3509999999999"/>
    <n v="150"/>
    <n v="206.095"/>
    <n v="2060.9499999999998"/>
    <x v="486"/>
  </r>
  <r>
    <x v="39"/>
    <x v="141"/>
    <x v="492"/>
    <x v="7"/>
    <x v="5"/>
    <x v="3"/>
    <x v="4"/>
    <x v="7"/>
    <n v="2871"/>
    <x v="0"/>
    <n v="2871"/>
    <n v="48"/>
    <x v="18"/>
    <x v="0"/>
    <x v="0"/>
    <n v="1205.82"/>
    <n v="1665.18"/>
    <n v="0"/>
    <n v="0"/>
    <n v="0"/>
    <x v="487"/>
  </r>
  <r>
    <x v="17"/>
    <x v="141"/>
    <x v="493"/>
    <x v="2"/>
    <x v="0"/>
    <x v="1"/>
    <x v="5"/>
    <x v="1"/>
    <n v="4379"/>
    <x v="0"/>
    <n v="4379"/>
    <n v="38"/>
    <x v="23"/>
    <x v="0"/>
    <x v="0"/>
    <n v="1839.1799999999998"/>
    <n v="2539.8200000000002"/>
    <n v="0"/>
    <n v="0"/>
    <n v="0"/>
    <x v="488"/>
  </r>
  <r>
    <x v="0"/>
    <x v="141"/>
    <x v="494"/>
    <x v="0"/>
    <x v="0"/>
    <x v="1"/>
    <x v="4"/>
    <x v="7"/>
    <n v="3961"/>
    <x v="0"/>
    <n v="3961"/>
    <n v="43"/>
    <x v="10"/>
    <x v="1"/>
    <x v="4"/>
    <n v="1663.62"/>
    <n v="2297.38"/>
    <n v="150"/>
    <n v="396.1"/>
    <n v="3961"/>
    <x v="489"/>
  </r>
  <r>
    <x v="15"/>
    <x v="141"/>
    <x v="495"/>
    <x v="5"/>
    <x v="1"/>
    <x v="0"/>
    <x v="2"/>
    <x v="8"/>
    <n v="1715"/>
    <x v="167"/>
    <n v="1142.19"/>
    <n v="36"/>
    <x v="19"/>
    <x v="1"/>
    <x v="4"/>
    <n v="479.71980000000002"/>
    <n v="662.47019999999998"/>
    <n v="150"/>
    <n v="114.21900000000001"/>
    <n v="1142.19"/>
    <x v="490"/>
  </r>
  <r>
    <x v="40"/>
    <x v="142"/>
    <x v="496"/>
    <x v="5"/>
    <x v="0"/>
    <x v="3"/>
    <x v="1"/>
    <x v="1"/>
    <n v="3695"/>
    <x v="0"/>
    <n v="3695"/>
    <n v="43"/>
    <x v="10"/>
    <x v="1"/>
    <x v="4"/>
    <n v="1551.8999999999999"/>
    <n v="2143.1000000000004"/>
    <n v="150"/>
    <n v="369.5"/>
    <n v="3695"/>
    <x v="491"/>
  </r>
  <r>
    <x v="30"/>
    <x v="142"/>
    <x v="497"/>
    <x v="7"/>
    <x v="4"/>
    <x v="2"/>
    <x v="4"/>
    <x v="6"/>
    <n v="2759"/>
    <x v="168"/>
    <n v="1688.5080000000003"/>
    <n v="46"/>
    <x v="7"/>
    <x v="0"/>
    <x v="0"/>
    <n v="709.17336000000012"/>
    <n v="979.33464000000015"/>
    <n v="0"/>
    <n v="0"/>
    <n v="0"/>
    <x v="492"/>
  </r>
  <r>
    <x v="32"/>
    <x v="142"/>
    <x v="498"/>
    <x v="4"/>
    <x v="4"/>
    <x v="0"/>
    <x v="6"/>
    <x v="10"/>
    <n v="2927"/>
    <x v="169"/>
    <n v="1811.8129999999999"/>
    <n v="50"/>
    <x v="13"/>
    <x v="1"/>
    <x v="5"/>
    <n v="760.96145999999987"/>
    <n v="1050.8515400000001"/>
    <n v="150"/>
    <n v="181.18129999999999"/>
    <n v="1811.8129999999999"/>
    <x v="493"/>
  </r>
  <r>
    <x v="34"/>
    <x v="142"/>
    <x v="499"/>
    <x v="6"/>
    <x v="0"/>
    <x v="1"/>
    <x v="3"/>
    <x v="6"/>
    <n v="3790"/>
    <x v="0"/>
    <n v="3790"/>
    <n v="33"/>
    <x v="32"/>
    <x v="1"/>
    <x v="4"/>
    <n v="1591.8"/>
    <n v="2198.1999999999998"/>
    <n v="150"/>
    <n v="379"/>
    <n v="3790"/>
    <x v="494"/>
  </r>
  <r>
    <x v="30"/>
    <x v="143"/>
    <x v="500"/>
    <x v="7"/>
    <x v="4"/>
    <x v="0"/>
    <x v="1"/>
    <x v="7"/>
    <n v="2426"/>
    <x v="0"/>
    <n v="2426"/>
    <n v="29"/>
    <x v="3"/>
    <x v="1"/>
    <x v="4"/>
    <n v="1018.92"/>
    <n v="1407.08"/>
    <n v="150"/>
    <n v="242.60000000000002"/>
    <n v="2426"/>
    <x v="495"/>
  </r>
  <r>
    <x v="34"/>
    <x v="143"/>
    <x v="501"/>
    <x v="6"/>
    <x v="0"/>
    <x v="3"/>
    <x v="4"/>
    <x v="7"/>
    <n v="3556"/>
    <x v="0"/>
    <n v="3556"/>
    <n v="1"/>
    <x v="1"/>
    <x v="0"/>
    <x v="0"/>
    <n v="1493.52"/>
    <n v="2062.48"/>
    <n v="0"/>
    <n v="0"/>
    <n v="0"/>
    <x v="496"/>
  </r>
  <r>
    <x v="23"/>
    <x v="143"/>
    <x v="502"/>
    <x v="6"/>
    <x v="4"/>
    <x v="2"/>
    <x v="0"/>
    <x v="9"/>
    <n v="2059"/>
    <x v="0"/>
    <n v="2059"/>
    <n v="13"/>
    <x v="23"/>
    <x v="0"/>
    <x v="0"/>
    <n v="864.78"/>
    <n v="1194.22"/>
    <n v="0"/>
    <n v="0"/>
    <n v="0"/>
    <x v="497"/>
  </r>
  <r>
    <x v="7"/>
    <x v="143"/>
    <x v="503"/>
    <x v="3"/>
    <x v="5"/>
    <x v="2"/>
    <x v="4"/>
    <x v="7"/>
    <n v="2919"/>
    <x v="44"/>
    <n v="2831.43"/>
    <n v="45"/>
    <x v="30"/>
    <x v="1"/>
    <x v="4"/>
    <n v="1189.2005999999999"/>
    <n v="1642.2293999999999"/>
    <n v="150"/>
    <n v="283.14299999999997"/>
    <n v="2831.43"/>
    <x v="498"/>
  </r>
  <r>
    <x v="24"/>
    <x v="144"/>
    <x v="504"/>
    <x v="5"/>
    <x v="5"/>
    <x v="1"/>
    <x v="0"/>
    <x v="6"/>
    <n v="2490"/>
    <x v="170"/>
    <n v="2343.0899999999997"/>
    <n v="47"/>
    <x v="3"/>
    <x v="0"/>
    <x v="0"/>
    <n v="984.09779999999978"/>
    <n v="1358.9921999999999"/>
    <n v="0"/>
    <n v="0"/>
    <n v="0"/>
    <x v="499"/>
  </r>
  <r>
    <x v="5"/>
    <x v="144"/>
    <x v="505"/>
    <x v="0"/>
    <x v="2"/>
    <x v="3"/>
    <x v="2"/>
    <x v="4"/>
    <n v="385"/>
    <x v="0"/>
    <n v="385"/>
    <n v="43"/>
    <x v="0"/>
    <x v="0"/>
    <x v="0"/>
    <n v="161.69999999999999"/>
    <n v="223.3"/>
    <n v="0"/>
    <n v="0"/>
    <n v="0"/>
    <x v="500"/>
  </r>
  <r>
    <x v="22"/>
    <x v="144"/>
    <x v="506"/>
    <x v="2"/>
    <x v="4"/>
    <x v="0"/>
    <x v="6"/>
    <x v="4"/>
    <n v="2423"/>
    <x v="0"/>
    <n v="2423"/>
    <n v="18"/>
    <x v="12"/>
    <x v="1"/>
    <x v="3"/>
    <n v="1017.66"/>
    <n v="1405.3400000000001"/>
    <n v="150"/>
    <n v="242.3"/>
    <n v="2423"/>
    <x v="501"/>
  </r>
  <r>
    <x v="47"/>
    <x v="145"/>
    <x v="507"/>
    <x v="4"/>
    <x v="2"/>
    <x v="3"/>
    <x v="2"/>
    <x v="11"/>
    <n v="289"/>
    <x v="0"/>
    <n v="289"/>
    <n v="2"/>
    <x v="8"/>
    <x v="0"/>
    <x v="0"/>
    <n v="121.38"/>
    <n v="167.62"/>
    <n v="0"/>
    <n v="0"/>
    <n v="0"/>
    <x v="502"/>
  </r>
  <r>
    <x v="18"/>
    <x v="145"/>
    <x v="508"/>
    <x v="3"/>
    <x v="4"/>
    <x v="0"/>
    <x v="0"/>
    <x v="10"/>
    <n v="2064"/>
    <x v="0"/>
    <n v="2064"/>
    <n v="33"/>
    <x v="26"/>
    <x v="1"/>
    <x v="4"/>
    <n v="866.88"/>
    <n v="1197.1199999999999"/>
    <n v="150"/>
    <n v="206.4"/>
    <n v="2064"/>
    <x v="503"/>
  </r>
  <r>
    <x v="19"/>
    <x v="145"/>
    <x v="509"/>
    <x v="2"/>
    <x v="5"/>
    <x v="3"/>
    <x v="0"/>
    <x v="10"/>
    <n v="2411"/>
    <x v="0"/>
    <n v="2411"/>
    <n v="16"/>
    <x v="3"/>
    <x v="0"/>
    <x v="0"/>
    <n v="1012.62"/>
    <n v="1398.38"/>
    <n v="0"/>
    <n v="0"/>
    <n v="0"/>
    <x v="504"/>
  </r>
  <r>
    <x v="26"/>
    <x v="145"/>
    <x v="510"/>
    <x v="0"/>
    <x v="3"/>
    <x v="2"/>
    <x v="5"/>
    <x v="6"/>
    <n v="3487"/>
    <x v="171"/>
    <n v="2378.134"/>
    <n v="9"/>
    <x v="9"/>
    <x v="0"/>
    <x v="0"/>
    <n v="998.81628000000001"/>
    <n v="1379.31772"/>
    <n v="0"/>
    <n v="0"/>
    <n v="0"/>
    <x v="505"/>
  </r>
  <r>
    <x v="29"/>
    <x v="146"/>
    <x v="511"/>
    <x v="5"/>
    <x v="2"/>
    <x v="1"/>
    <x v="2"/>
    <x v="3"/>
    <n v="410"/>
    <x v="0"/>
    <n v="410"/>
    <n v="42"/>
    <x v="26"/>
    <x v="0"/>
    <x v="0"/>
    <n v="172.2"/>
    <n v="237.8"/>
    <n v="0"/>
    <n v="0"/>
    <n v="0"/>
    <x v="506"/>
  </r>
  <r>
    <x v="43"/>
    <x v="146"/>
    <x v="512"/>
    <x v="4"/>
    <x v="5"/>
    <x v="3"/>
    <x v="6"/>
    <x v="9"/>
    <n v="2581"/>
    <x v="0"/>
    <n v="2581"/>
    <n v="6"/>
    <x v="9"/>
    <x v="0"/>
    <x v="0"/>
    <n v="1084.02"/>
    <n v="1496.98"/>
    <n v="0"/>
    <n v="0"/>
    <n v="0"/>
    <x v="507"/>
  </r>
  <r>
    <x v="31"/>
    <x v="146"/>
    <x v="513"/>
    <x v="2"/>
    <x v="2"/>
    <x v="0"/>
    <x v="2"/>
    <x v="11"/>
    <n v="276"/>
    <x v="172"/>
    <n v="134.41200000000001"/>
    <n v="31"/>
    <x v="31"/>
    <x v="1"/>
    <x v="3"/>
    <n v="56.453040000000001"/>
    <n v="77.958960000000005"/>
    <n v="150"/>
    <n v="13.441200000000002"/>
    <n v="134.41200000000001"/>
    <x v="508"/>
  </r>
  <r>
    <x v="40"/>
    <x v="146"/>
    <x v="514"/>
    <x v="5"/>
    <x v="0"/>
    <x v="3"/>
    <x v="2"/>
    <x v="7"/>
    <n v="3185"/>
    <x v="0"/>
    <n v="3185"/>
    <n v="28"/>
    <x v="4"/>
    <x v="0"/>
    <x v="0"/>
    <n v="1337.7"/>
    <n v="1847.3"/>
    <n v="0"/>
    <n v="0"/>
    <n v="0"/>
    <x v="509"/>
  </r>
  <r>
    <x v="22"/>
    <x v="146"/>
    <x v="515"/>
    <x v="2"/>
    <x v="4"/>
    <x v="1"/>
    <x v="0"/>
    <x v="4"/>
    <n v="2025"/>
    <x v="0"/>
    <n v="2025"/>
    <n v="35"/>
    <x v="30"/>
    <x v="0"/>
    <x v="0"/>
    <n v="850.5"/>
    <n v="1174.5"/>
    <n v="0"/>
    <n v="0"/>
    <n v="0"/>
    <x v="510"/>
  </r>
  <r>
    <x v="25"/>
    <x v="147"/>
    <x v="516"/>
    <x v="6"/>
    <x v="1"/>
    <x v="1"/>
    <x v="5"/>
    <x v="11"/>
    <n v="1752"/>
    <x v="173"/>
    <n v="1007.4"/>
    <n v="8"/>
    <x v="3"/>
    <x v="1"/>
    <x v="5"/>
    <n v="423.10799999999995"/>
    <n v="584.29200000000003"/>
    <n v="150"/>
    <n v="100.74000000000001"/>
    <n v="1007.4"/>
    <x v="511"/>
  </r>
  <r>
    <x v="9"/>
    <x v="147"/>
    <x v="517"/>
    <x v="4"/>
    <x v="0"/>
    <x v="2"/>
    <x v="6"/>
    <x v="9"/>
    <n v="3552"/>
    <x v="174"/>
    <n v="1996.2240000000002"/>
    <n v="33"/>
    <x v="17"/>
    <x v="0"/>
    <x v="0"/>
    <n v="838.41408000000001"/>
    <n v="1157.8099200000001"/>
    <n v="0"/>
    <n v="0"/>
    <n v="0"/>
    <x v="512"/>
  </r>
  <r>
    <x v="2"/>
    <x v="147"/>
    <x v="518"/>
    <x v="1"/>
    <x v="2"/>
    <x v="2"/>
    <x v="2"/>
    <x v="1"/>
    <n v="314"/>
    <x v="0"/>
    <n v="314"/>
    <n v="4"/>
    <x v="32"/>
    <x v="0"/>
    <x v="0"/>
    <n v="131.88"/>
    <n v="182.12"/>
    <n v="0"/>
    <n v="0"/>
    <n v="0"/>
    <x v="513"/>
  </r>
  <r>
    <x v="6"/>
    <x v="148"/>
    <x v="519"/>
    <x v="0"/>
    <x v="4"/>
    <x v="3"/>
    <x v="6"/>
    <x v="4"/>
    <n v="2993"/>
    <x v="0"/>
    <n v="2993"/>
    <n v="40"/>
    <x v="16"/>
    <x v="0"/>
    <x v="0"/>
    <n v="1257.06"/>
    <n v="1735.94"/>
    <n v="0"/>
    <n v="0"/>
    <n v="0"/>
    <x v="514"/>
  </r>
  <r>
    <x v="13"/>
    <x v="148"/>
    <x v="520"/>
    <x v="3"/>
    <x v="2"/>
    <x v="2"/>
    <x v="2"/>
    <x v="9"/>
    <n v="390"/>
    <x v="0"/>
    <n v="390"/>
    <n v="27"/>
    <x v="1"/>
    <x v="0"/>
    <x v="0"/>
    <n v="163.79999999999998"/>
    <n v="226.20000000000002"/>
    <n v="0"/>
    <n v="0"/>
    <n v="0"/>
    <x v="515"/>
  </r>
  <r>
    <x v="32"/>
    <x v="148"/>
    <x v="521"/>
    <x v="4"/>
    <x v="4"/>
    <x v="2"/>
    <x v="1"/>
    <x v="5"/>
    <n v="2932"/>
    <x v="0"/>
    <n v="2932"/>
    <n v="10"/>
    <x v="10"/>
    <x v="0"/>
    <x v="0"/>
    <n v="1231.44"/>
    <n v="1700.56"/>
    <n v="0"/>
    <n v="0"/>
    <n v="0"/>
    <x v="516"/>
  </r>
  <r>
    <x v="42"/>
    <x v="148"/>
    <x v="522"/>
    <x v="0"/>
    <x v="5"/>
    <x v="1"/>
    <x v="3"/>
    <x v="4"/>
    <n v="2147"/>
    <x v="0"/>
    <n v="2147"/>
    <n v="12"/>
    <x v="6"/>
    <x v="0"/>
    <x v="0"/>
    <n v="901.74"/>
    <n v="1245.26"/>
    <n v="0"/>
    <n v="0"/>
    <n v="0"/>
    <x v="517"/>
  </r>
  <r>
    <x v="27"/>
    <x v="149"/>
    <x v="523"/>
    <x v="7"/>
    <x v="2"/>
    <x v="0"/>
    <x v="2"/>
    <x v="9"/>
    <n v="364"/>
    <x v="0"/>
    <n v="364"/>
    <n v="17"/>
    <x v="22"/>
    <x v="0"/>
    <x v="0"/>
    <n v="152.88"/>
    <n v="211.12"/>
    <n v="0"/>
    <n v="0"/>
    <n v="0"/>
    <x v="518"/>
  </r>
  <r>
    <x v="10"/>
    <x v="149"/>
    <x v="524"/>
    <x v="3"/>
    <x v="1"/>
    <x v="0"/>
    <x v="1"/>
    <x v="2"/>
    <n v="974"/>
    <x v="142"/>
    <n v="421.74199999999996"/>
    <n v="44"/>
    <x v="2"/>
    <x v="1"/>
    <x v="4"/>
    <n v="177.13163999999998"/>
    <n v="244.61035999999999"/>
    <n v="150"/>
    <n v="42.174199999999999"/>
    <n v="421.74199999999996"/>
    <x v="519"/>
  </r>
  <r>
    <x v="4"/>
    <x v="149"/>
    <x v="525"/>
    <x v="2"/>
    <x v="1"/>
    <x v="0"/>
    <x v="5"/>
    <x v="10"/>
    <n v="1214"/>
    <x v="0"/>
    <n v="1214"/>
    <n v="35"/>
    <x v="7"/>
    <x v="1"/>
    <x v="5"/>
    <n v="509.88"/>
    <n v="704.12"/>
    <n v="150"/>
    <n v="121.4"/>
    <n v="1214"/>
    <x v="520"/>
  </r>
  <r>
    <x v="42"/>
    <x v="149"/>
    <x v="526"/>
    <x v="0"/>
    <x v="5"/>
    <x v="1"/>
    <x v="3"/>
    <x v="1"/>
    <n v="1998"/>
    <x v="31"/>
    <n v="1850.1479999999999"/>
    <n v="0"/>
    <x v="27"/>
    <x v="0"/>
    <x v="0"/>
    <n v="777.06215999999995"/>
    <n v="1073.08584"/>
    <n v="0"/>
    <n v="0"/>
    <n v="0"/>
    <x v="521"/>
  </r>
  <r>
    <x v="40"/>
    <x v="150"/>
    <x v="527"/>
    <x v="5"/>
    <x v="0"/>
    <x v="2"/>
    <x v="0"/>
    <x v="1"/>
    <n v="3979"/>
    <x v="0"/>
    <n v="3979"/>
    <n v="40"/>
    <x v="7"/>
    <x v="0"/>
    <x v="0"/>
    <n v="1671.1799999999998"/>
    <n v="2307.8200000000002"/>
    <n v="0"/>
    <n v="0"/>
    <n v="0"/>
    <x v="522"/>
  </r>
  <r>
    <x v="47"/>
    <x v="150"/>
    <x v="528"/>
    <x v="4"/>
    <x v="2"/>
    <x v="2"/>
    <x v="2"/>
    <x v="2"/>
    <n v="272"/>
    <x v="175"/>
    <n v="140.89600000000002"/>
    <n v="32"/>
    <x v="26"/>
    <x v="0"/>
    <x v="0"/>
    <n v="59.176320000000004"/>
    <n v="81.719680000000011"/>
    <n v="0"/>
    <n v="0"/>
    <n v="0"/>
    <x v="523"/>
  </r>
  <r>
    <x v="2"/>
    <x v="150"/>
    <x v="529"/>
    <x v="1"/>
    <x v="2"/>
    <x v="0"/>
    <x v="2"/>
    <x v="4"/>
    <n v="271"/>
    <x v="176"/>
    <n v="171.54300000000001"/>
    <n v="41"/>
    <x v="16"/>
    <x v="0"/>
    <x v="0"/>
    <n v="72.048060000000007"/>
    <n v="99.49494"/>
    <n v="0"/>
    <n v="0"/>
    <n v="0"/>
    <x v="524"/>
  </r>
  <r>
    <x v="37"/>
    <x v="151"/>
    <x v="530"/>
    <x v="4"/>
    <x v="3"/>
    <x v="1"/>
    <x v="5"/>
    <x v="10"/>
    <n v="3714"/>
    <x v="0"/>
    <n v="3714"/>
    <n v="48"/>
    <x v="15"/>
    <x v="0"/>
    <x v="0"/>
    <n v="1559.8799999999999"/>
    <n v="2154.12"/>
    <n v="0"/>
    <n v="0"/>
    <n v="0"/>
    <x v="525"/>
  </r>
  <r>
    <x v="5"/>
    <x v="151"/>
    <x v="531"/>
    <x v="0"/>
    <x v="2"/>
    <x v="0"/>
    <x v="2"/>
    <x v="4"/>
    <n v="344"/>
    <x v="0"/>
    <n v="344"/>
    <n v="38"/>
    <x v="18"/>
    <x v="0"/>
    <x v="0"/>
    <n v="144.47999999999999"/>
    <n v="199.52"/>
    <n v="0"/>
    <n v="0"/>
    <n v="0"/>
    <x v="526"/>
  </r>
  <r>
    <x v="34"/>
    <x v="151"/>
    <x v="532"/>
    <x v="6"/>
    <x v="0"/>
    <x v="2"/>
    <x v="6"/>
    <x v="11"/>
    <n v="4085"/>
    <x v="0"/>
    <n v="4085"/>
    <n v="28"/>
    <x v="21"/>
    <x v="1"/>
    <x v="4"/>
    <n v="1715.7"/>
    <n v="2369.3000000000002"/>
    <n v="150"/>
    <n v="408.5"/>
    <n v="4085"/>
    <x v="527"/>
  </r>
  <r>
    <x v="32"/>
    <x v="151"/>
    <x v="533"/>
    <x v="4"/>
    <x v="4"/>
    <x v="0"/>
    <x v="1"/>
    <x v="7"/>
    <n v="2457"/>
    <x v="177"/>
    <n v="1501.2269999999999"/>
    <n v="39"/>
    <x v="36"/>
    <x v="0"/>
    <x v="0"/>
    <n v="630.51533999999992"/>
    <n v="870.71165999999994"/>
    <n v="0"/>
    <n v="0"/>
    <n v="0"/>
    <x v="528"/>
  </r>
  <r>
    <x v="36"/>
    <x v="152"/>
    <x v="534"/>
    <x v="5"/>
    <x v="3"/>
    <x v="0"/>
    <x v="0"/>
    <x v="0"/>
    <n v="4468"/>
    <x v="178"/>
    <n v="3485.04"/>
    <n v="29"/>
    <x v="38"/>
    <x v="0"/>
    <x v="0"/>
    <n v="1463.7167999999999"/>
    <n v="2021.3232"/>
    <n v="0"/>
    <n v="0"/>
    <n v="0"/>
    <x v="529"/>
  </r>
  <r>
    <x v="6"/>
    <x v="152"/>
    <x v="535"/>
    <x v="0"/>
    <x v="4"/>
    <x v="3"/>
    <x v="1"/>
    <x v="10"/>
    <n v="2106"/>
    <x v="0"/>
    <n v="2106"/>
    <n v="21"/>
    <x v="5"/>
    <x v="0"/>
    <x v="0"/>
    <n v="884.52"/>
    <n v="1221.48"/>
    <n v="0"/>
    <n v="0"/>
    <n v="0"/>
    <x v="530"/>
  </r>
  <r>
    <x v="34"/>
    <x v="152"/>
    <x v="536"/>
    <x v="6"/>
    <x v="0"/>
    <x v="1"/>
    <x v="4"/>
    <x v="4"/>
    <n v="3336"/>
    <x v="0"/>
    <n v="3336"/>
    <n v="15"/>
    <x v="7"/>
    <x v="1"/>
    <x v="3"/>
    <n v="1401.12"/>
    <n v="1934.88"/>
    <n v="150"/>
    <n v="333.6"/>
    <n v="3336"/>
    <x v="531"/>
  </r>
  <r>
    <x v="8"/>
    <x v="153"/>
    <x v="537"/>
    <x v="1"/>
    <x v="0"/>
    <x v="0"/>
    <x v="1"/>
    <x v="3"/>
    <n v="3759"/>
    <x v="179"/>
    <n v="1902.0540000000001"/>
    <n v="42"/>
    <x v="4"/>
    <x v="0"/>
    <x v="0"/>
    <n v="798.86267999999995"/>
    <n v="1103.1913200000001"/>
    <n v="0"/>
    <n v="0"/>
    <n v="0"/>
    <x v="532"/>
  </r>
  <r>
    <x v="28"/>
    <x v="153"/>
    <x v="538"/>
    <x v="3"/>
    <x v="3"/>
    <x v="1"/>
    <x v="1"/>
    <x v="2"/>
    <n v="4271"/>
    <x v="0"/>
    <n v="4271"/>
    <n v="15"/>
    <x v="25"/>
    <x v="1"/>
    <x v="3"/>
    <n v="1793.82"/>
    <n v="2477.1800000000003"/>
    <n v="150"/>
    <n v="427.1"/>
    <n v="4271"/>
    <x v="533"/>
  </r>
  <r>
    <x v="15"/>
    <x v="153"/>
    <x v="539"/>
    <x v="5"/>
    <x v="1"/>
    <x v="1"/>
    <x v="0"/>
    <x v="9"/>
    <n v="1045"/>
    <x v="0"/>
    <n v="1045"/>
    <n v="23"/>
    <x v="22"/>
    <x v="0"/>
    <x v="0"/>
    <n v="438.9"/>
    <n v="606.1"/>
    <n v="0"/>
    <n v="0"/>
    <n v="0"/>
    <x v="534"/>
  </r>
  <r>
    <x v="43"/>
    <x v="153"/>
    <x v="540"/>
    <x v="4"/>
    <x v="5"/>
    <x v="0"/>
    <x v="0"/>
    <x v="5"/>
    <n v="1990"/>
    <x v="0"/>
    <n v="1990"/>
    <n v="18"/>
    <x v="22"/>
    <x v="0"/>
    <x v="0"/>
    <n v="835.8"/>
    <n v="1154.2"/>
    <n v="0"/>
    <n v="0"/>
    <n v="0"/>
    <x v="535"/>
  </r>
  <r>
    <x v="14"/>
    <x v="153"/>
    <x v="541"/>
    <x v="6"/>
    <x v="3"/>
    <x v="3"/>
    <x v="3"/>
    <x v="2"/>
    <n v="3618"/>
    <x v="0"/>
    <n v="3618"/>
    <n v="7"/>
    <x v="3"/>
    <x v="0"/>
    <x v="0"/>
    <n v="1519.56"/>
    <n v="2098.44"/>
    <n v="0"/>
    <n v="0"/>
    <n v="0"/>
    <x v="536"/>
  </r>
  <r>
    <x v="14"/>
    <x v="154"/>
    <x v="542"/>
    <x v="6"/>
    <x v="3"/>
    <x v="1"/>
    <x v="4"/>
    <x v="4"/>
    <n v="3237"/>
    <x v="0"/>
    <n v="3237"/>
    <n v="15"/>
    <x v="40"/>
    <x v="1"/>
    <x v="5"/>
    <n v="1359.54"/>
    <n v="1877.46"/>
    <n v="150"/>
    <n v="323.70000000000005"/>
    <n v="3237"/>
    <x v="537"/>
  </r>
  <r>
    <x v="3"/>
    <x v="154"/>
    <x v="543"/>
    <x v="1"/>
    <x v="3"/>
    <x v="2"/>
    <x v="1"/>
    <x v="1"/>
    <n v="3156"/>
    <x v="0"/>
    <n v="3156"/>
    <n v="48"/>
    <x v="38"/>
    <x v="0"/>
    <x v="0"/>
    <n v="1325.52"/>
    <n v="1830.48"/>
    <n v="0"/>
    <n v="0"/>
    <n v="0"/>
    <x v="538"/>
  </r>
  <r>
    <x v="40"/>
    <x v="154"/>
    <x v="544"/>
    <x v="5"/>
    <x v="0"/>
    <x v="2"/>
    <x v="6"/>
    <x v="9"/>
    <n v="3567"/>
    <x v="0"/>
    <n v="3567"/>
    <n v="5"/>
    <x v="26"/>
    <x v="0"/>
    <x v="0"/>
    <n v="1498.1399999999999"/>
    <n v="2068.86"/>
    <n v="0"/>
    <n v="0"/>
    <n v="0"/>
    <x v="539"/>
  </r>
  <r>
    <x v="29"/>
    <x v="154"/>
    <x v="545"/>
    <x v="5"/>
    <x v="2"/>
    <x v="1"/>
    <x v="2"/>
    <x v="4"/>
    <n v="363"/>
    <x v="180"/>
    <n v="244.66199999999998"/>
    <n v="46"/>
    <x v="15"/>
    <x v="0"/>
    <x v="0"/>
    <n v="102.75803999999998"/>
    <n v="141.90395999999998"/>
    <n v="0"/>
    <n v="0"/>
    <n v="0"/>
    <x v="540"/>
  </r>
  <r>
    <x v="22"/>
    <x v="155"/>
    <x v="546"/>
    <x v="2"/>
    <x v="4"/>
    <x v="0"/>
    <x v="5"/>
    <x v="1"/>
    <n v="2696"/>
    <x v="0"/>
    <n v="2696"/>
    <n v="42"/>
    <x v="3"/>
    <x v="0"/>
    <x v="0"/>
    <n v="1132.32"/>
    <n v="1563.68"/>
    <n v="0"/>
    <n v="0"/>
    <n v="0"/>
    <x v="541"/>
  </r>
  <r>
    <x v="2"/>
    <x v="155"/>
    <x v="547"/>
    <x v="1"/>
    <x v="2"/>
    <x v="0"/>
    <x v="2"/>
    <x v="8"/>
    <n v="185"/>
    <x v="0"/>
    <n v="185"/>
    <n v="35"/>
    <x v="21"/>
    <x v="1"/>
    <x v="3"/>
    <n v="77.7"/>
    <n v="107.3"/>
    <n v="150"/>
    <n v="18.5"/>
    <n v="185"/>
    <x v="542"/>
  </r>
  <r>
    <x v="42"/>
    <x v="155"/>
    <x v="548"/>
    <x v="0"/>
    <x v="5"/>
    <x v="2"/>
    <x v="6"/>
    <x v="8"/>
    <n v="2923"/>
    <x v="0"/>
    <n v="2923"/>
    <n v="33"/>
    <x v="29"/>
    <x v="0"/>
    <x v="0"/>
    <n v="1227.6599999999999"/>
    <n v="1695.3400000000001"/>
    <n v="0"/>
    <n v="0"/>
    <n v="0"/>
    <x v="543"/>
  </r>
  <r>
    <x v="23"/>
    <x v="156"/>
    <x v="549"/>
    <x v="6"/>
    <x v="4"/>
    <x v="2"/>
    <x v="2"/>
    <x v="2"/>
    <n v="2464"/>
    <x v="181"/>
    <n v="1764.2239999999999"/>
    <n v="40"/>
    <x v="26"/>
    <x v="0"/>
    <x v="0"/>
    <n v="740.97407999999996"/>
    <n v="1023.24992"/>
    <n v="0"/>
    <n v="0"/>
    <n v="0"/>
    <x v="544"/>
  </r>
  <r>
    <x v="22"/>
    <x v="156"/>
    <x v="550"/>
    <x v="2"/>
    <x v="4"/>
    <x v="0"/>
    <x v="1"/>
    <x v="0"/>
    <n v="2145"/>
    <x v="0"/>
    <n v="2145"/>
    <n v="26"/>
    <x v="11"/>
    <x v="0"/>
    <x v="0"/>
    <n v="900.9"/>
    <n v="1244.0999999999999"/>
    <n v="0"/>
    <n v="0"/>
    <n v="0"/>
    <x v="545"/>
  </r>
  <r>
    <x v="45"/>
    <x v="156"/>
    <x v="551"/>
    <x v="7"/>
    <x v="3"/>
    <x v="3"/>
    <x v="4"/>
    <x v="6"/>
    <n v="3315"/>
    <x v="182"/>
    <n v="2171.3250000000003"/>
    <n v="48"/>
    <x v="26"/>
    <x v="1"/>
    <x v="7"/>
    <n v="911.95650000000012"/>
    <n v="1259.3685"/>
    <n v="150"/>
    <n v="217.13250000000005"/>
    <n v="2171.3250000000003"/>
    <x v="546"/>
  </r>
  <r>
    <x v="42"/>
    <x v="156"/>
    <x v="552"/>
    <x v="0"/>
    <x v="5"/>
    <x v="0"/>
    <x v="2"/>
    <x v="8"/>
    <n v="1992"/>
    <x v="0"/>
    <n v="1992"/>
    <n v="11"/>
    <x v="6"/>
    <x v="0"/>
    <x v="0"/>
    <n v="836.64"/>
    <n v="1155.3600000000001"/>
    <n v="0"/>
    <n v="0"/>
    <n v="0"/>
    <x v="547"/>
  </r>
  <r>
    <x v="23"/>
    <x v="157"/>
    <x v="553"/>
    <x v="6"/>
    <x v="4"/>
    <x v="3"/>
    <x v="0"/>
    <x v="9"/>
    <n v="2494"/>
    <x v="41"/>
    <n v="1259.47"/>
    <n v="19"/>
    <x v="20"/>
    <x v="0"/>
    <x v="0"/>
    <n v="528.97739999999999"/>
    <n v="730.49260000000004"/>
    <n v="0"/>
    <n v="0"/>
    <n v="0"/>
    <x v="548"/>
  </r>
  <r>
    <x v="20"/>
    <x v="157"/>
    <x v="554"/>
    <x v="7"/>
    <x v="1"/>
    <x v="1"/>
    <x v="5"/>
    <x v="0"/>
    <n v="1021"/>
    <x v="183"/>
    <n v="828.03100000000006"/>
    <n v="39"/>
    <x v="13"/>
    <x v="0"/>
    <x v="0"/>
    <n v="347.77302000000003"/>
    <n v="480.25798000000003"/>
    <n v="0"/>
    <n v="0"/>
    <n v="0"/>
    <x v="549"/>
  </r>
  <r>
    <x v="15"/>
    <x v="157"/>
    <x v="555"/>
    <x v="5"/>
    <x v="1"/>
    <x v="0"/>
    <x v="5"/>
    <x v="1"/>
    <n v="1347"/>
    <x v="0"/>
    <n v="1347"/>
    <n v="2"/>
    <x v="37"/>
    <x v="1"/>
    <x v="7"/>
    <n v="565.74"/>
    <n v="781.26"/>
    <n v="150"/>
    <n v="134.70000000000002"/>
    <n v="1347"/>
    <x v="550"/>
  </r>
  <r>
    <x v="18"/>
    <x v="157"/>
    <x v="556"/>
    <x v="3"/>
    <x v="4"/>
    <x v="1"/>
    <x v="2"/>
    <x v="8"/>
    <n v="2919"/>
    <x v="164"/>
    <n v="1818.537"/>
    <n v="40"/>
    <x v="38"/>
    <x v="0"/>
    <x v="0"/>
    <n v="763.78553999999997"/>
    <n v="1054.75146"/>
    <n v="0"/>
    <n v="0"/>
    <n v="0"/>
    <x v="551"/>
  </r>
  <r>
    <x v="12"/>
    <x v="158"/>
    <x v="557"/>
    <x v="1"/>
    <x v="5"/>
    <x v="2"/>
    <x v="6"/>
    <x v="11"/>
    <n v="2385"/>
    <x v="0"/>
    <n v="2385"/>
    <n v="30"/>
    <x v="3"/>
    <x v="0"/>
    <x v="0"/>
    <n v="1001.6999999999999"/>
    <n v="1383.3000000000002"/>
    <n v="0"/>
    <n v="0"/>
    <n v="0"/>
    <x v="552"/>
  </r>
  <r>
    <x v="15"/>
    <x v="158"/>
    <x v="558"/>
    <x v="5"/>
    <x v="1"/>
    <x v="0"/>
    <x v="3"/>
    <x v="9"/>
    <n v="1786"/>
    <x v="0"/>
    <n v="1786"/>
    <n v="10"/>
    <x v="19"/>
    <x v="1"/>
    <x v="4"/>
    <n v="750.12"/>
    <n v="1035.8800000000001"/>
    <n v="150"/>
    <n v="178.60000000000002"/>
    <n v="1786"/>
    <x v="553"/>
  </r>
  <r>
    <x v="18"/>
    <x v="158"/>
    <x v="559"/>
    <x v="3"/>
    <x v="4"/>
    <x v="3"/>
    <x v="1"/>
    <x v="6"/>
    <n v="2597"/>
    <x v="76"/>
    <n v="1488.0809999999999"/>
    <n v="11"/>
    <x v="8"/>
    <x v="1"/>
    <x v="3"/>
    <n v="624.99401999999998"/>
    <n v="863.08697999999993"/>
    <n v="150"/>
    <n v="148.8081"/>
    <n v="1488.0809999999999"/>
    <x v="554"/>
  </r>
  <r>
    <x v="24"/>
    <x v="159"/>
    <x v="560"/>
    <x v="5"/>
    <x v="5"/>
    <x v="0"/>
    <x v="6"/>
    <x v="7"/>
    <n v="2924"/>
    <x v="0"/>
    <n v="2924"/>
    <n v="10"/>
    <x v="1"/>
    <x v="0"/>
    <x v="0"/>
    <n v="1228.08"/>
    <n v="1695.92"/>
    <n v="0"/>
    <n v="0"/>
    <n v="0"/>
    <x v="555"/>
  </r>
  <r>
    <x v="3"/>
    <x v="159"/>
    <x v="561"/>
    <x v="1"/>
    <x v="3"/>
    <x v="0"/>
    <x v="1"/>
    <x v="2"/>
    <n v="4143"/>
    <x v="0"/>
    <n v="4143"/>
    <n v="24"/>
    <x v="34"/>
    <x v="0"/>
    <x v="0"/>
    <n v="1740.06"/>
    <n v="2402.94"/>
    <n v="0"/>
    <n v="0"/>
    <n v="0"/>
    <x v="556"/>
  </r>
  <r>
    <x v="30"/>
    <x v="159"/>
    <x v="562"/>
    <x v="7"/>
    <x v="4"/>
    <x v="1"/>
    <x v="1"/>
    <x v="9"/>
    <n v="2287"/>
    <x v="0"/>
    <n v="2287"/>
    <n v="6"/>
    <x v="20"/>
    <x v="0"/>
    <x v="0"/>
    <n v="960.54"/>
    <n v="1326.46"/>
    <n v="0"/>
    <n v="0"/>
    <n v="0"/>
    <x v="557"/>
  </r>
  <r>
    <x v="43"/>
    <x v="159"/>
    <x v="563"/>
    <x v="4"/>
    <x v="5"/>
    <x v="2"/>
    <x v="5"/>
    <x v="4"/>
    <n v="2360"/>
    <x v="0"/>
    <n v="2360"/>
    <n v="45"/>
    <x v="27"/>
    <x v="0"/>
    <x v="0"/>
    <n v="991.19999999999993"/>
    <n v="1368.8000000000002"/>
    <n v="0"/>
    <n v="0"/>
    <n v="0"/>
    <x v="558"/>
  </r>
  <r>
    <x v="28"/>
    <x v="159"/>
    <x v="564"/>
    <x v="3"/>
    <x v="3"/>
    <x v="3"/>
    <x v="6"/>
    <x v="11"/>
    <n v="3299"/>
    <x v="0"/>
    <n v="3299"/>
    <n v="41"/>
    <x v="2"/>
    <x v="0"/>
    <x v="0"/>
    <n v="1385.58"/>
    <n v="1913.42"/>
    <n v="0"/>
    <n v="0"/>
    <n v="0"/>
    <x v="559"/>
  </r>
  <r>
    <x v="28"/>
    <x v="160"/>
    <x v="565"/>
    <x v="3"/>
    <x v="3"/>
    <x v="3"/>
    <x v="0"/>
    <x v="3"/>
    <n v="3074"/>
    <x v="0"/>
    <n v="3074"/>
    <n v="38"/>
    <x v="11"/>
    <x v="1"/>
    <x v="5"/>
    <n v="1291.08"/>
    <n v="1782.92"/>
    <n v="150"/>
    <n v="307.40000000000003"/>
    <n v="3074"/>
    <x v="560"/>
  </r>
  <r>
    <x v="44"/>
    <x v="160"/>
    <x v="566"/>
    <x v="6"/>
    <x v="5"/>
    <x v="1"/>
    <x v="3"/>
    <x v="4"/>
    <n v="2258"/>
    <x v="76"/>
    <n v="1293.8339999999998"/>
    <n v="3"/>
    <x v="10"/>
    <x v="0"/>
    <x v="0"/>
    <n v="543.41027999999994"/>
    <n v="750.42371999999989"/>
    <n v="0"/>
    <n v="0"/>
    <n v="0"/>
    <x v="561"/>
  </r>
  <r>
    <x v="5"/>
    <x v="160"/>
    <x v="567"/>
    <x v="0"/>
    <x v="2"/>
    <x v="1"/>
    <x v="2"/>
    <x v="6"/>
    <n v="321"/>
    <x v="22"/>
    <n v="236.577"/>
    <n v="5"/>
    <x v="36"/>
    <x v="0"/>
    <x v="0"/>
    <n v="99.362339999999989"/>
    <n v="137.21466000000001"/>
    <n v="0"/>
    <n v="0"/>
    <n v="0"/>
    <x v="562"/>
  </r>
  <r>
    <x v="1"/>
    <x v="161"/>
    <x v="568"/>
    <x v="1"/>
    <x v="1"/>
    <x v="1"/>
    <x v="3"/>
    <x v="6"/>
    <n v="1370"/>
    <x v="184"/>
    <n v="753.50000000000011"/>
    <n v="47"/>
    <x v="2"/>
    <x v="1"/>
    <x v="3"/>
    <n v="316.47000000000003"/>
    <n v="437.03000000000009"/>
    <n v="150"/>
    <n v="75.350000000000009"/>
    <n v="753.50000000000011"/>
    <x v="563"/>
  </r>
  <r>
    <x v="5"/>
    <x v="161"/>
    <x v="569"/>
    <x v="0"/>
    <x v="2"/>
    <x v="0"/>
    <x v="2"/>
    <x v="7"/>
    <n v="297"/>
    <x v="185"/>
    <n v="199.881"/>
    <n v="39"/>
    <x v="24"/>
    <x v="0"/>
    <x v="0"/>
    <n v="83.950019999999995"/>
    <n v="115.93098000000001"/>
    <n v="0"/>
    <n v="0"/>
    <n v="0"/>
    <x v="564"/>
  </r>
  <r>
    <x v="25"/>
    <x v="161"/>
    <x v="570"/>
    <x v="6"/>
    <x v="1"/>
    <x v="3"/>
    <x v="6"/>
    <x v="10"/>
    <n v="1041"/>
    <x v="0"/>
    <n v="1041"/>
    <n v="22"/>
    <x v="38"/>
    <x v="1"/>
    <x v="7"/>
    <n v="437.21999999999997"/>
    <n v="603.78"/>
    <n v="150"/>
    <n v="104.10000000000001"/>
    <n v="1041"/>
    <x v="565"/>
  </r>
  <r>
    <x v="37"/>
    <x v="161"/>
    <x v="571"/>
    <x v="4"/>
    <x v="3"/>
    <x v="3"/>
    <x v="5"/>
    <x v="7"/>
    <n v="3998"/>
    <x v="16"/>
    <n v="2786.6060000000002"/>
    <n v="16"/>
    <x v="3"/>
    <x v="0"/>
    <x v="0"/>
    <n v="1170.3745200000001"/>
    <n v="1616.2314800000001"/>
    <n v="0"/>
    <n v="0"/>
    <n v="0"/>
    <x v="566"/>
  </r>
  <r>
    <x v="35"/>
    <x v="162"/>
    <x v="572"/>
    <x v="4"/>
    <x v="1"/>
    <x v="0"/>
    <x v="0"/>
    <x v="11"/>
    <n v="1474"/>
    <x v="0"/>
    <n v="1474"/>
    <n v="15"/>
    <x v="3"/>
    <x v="0"/>
    <x v="0"/>
    <n v="619.07999999999993"/>
    <n v="854.92000000000007"/>
    <n v="0"/>
    <n v="0"/>
    <n v="0"/>
    <x v="567"/>
  </r>
  <r>
    <x v="8"/>
    <x v="162"/>
    <x v="573"/>
    <x v="1"/>
    <x v="0"/>
    <x v="1"/>
    <x v="3"/>
    <x v="7"/>
    <n v="3898"/>
    <x v="0"/>
    <n v="3898"/>
    <n v="42"/>
    <x v="41"/>
    <x v="0"/>
    <x v="0"/>
    <n v="1637.1599999999999"/>
    <n v="2260.84"/>
    <n v="0"/>
    <n v="0"/>
    <n v="0"/>
    <x v="568"/>
  </r>
  <r>
    <x v="29"/>
    <x v="162"/>
    <x v="574"/>
    <x v="5"/>
    <x v="2"/>
    <x v="3"/>
    <x v="2"/>
    <x v="8"/>
    <n v="393"/>
    <x v="0"/>
    <n v="393"/>
    <n v="9"/>
    <x v="15"/>
    <x v="1"/>
    <x v="4"/>
    <n v="165.06"/>
    <n v="227.94"/>
    <n v="150"/>
    <n v="39.300000000000004"/>
    <n v="393"/>
    <x v="569"/>
  </r>
  <r>
    <x v="11"/>
    <x v="162"/>
    <x v="575"/>
    <x v="5"/>
    <x v="4"/>
    <x v="2"/>
    <x v="6"/>
    <x v="1"/>
    <n v="2822"/>
    <x v="177"/>
    <n v="1724.242"/>
    <n v="48"/>
    <x v="3"/>
    <x v="0"/>
    <x v="0"/>
    <n v="724.1816399999999"/>
    <n v="1000.0603600000001"/>
    <n v="0"/>
    <n v="0"/>
    <n v="0"/>
    <x v="570"/>
  </r>
  <r>
    <x v="9"/>
    <x v="163"/>
    <x v="576"/>
    <x v="4"/>
    <x v="0"/>
    <x v="2"/>
    <x v="4"/>
    <x v="7"/>
    <n v="4353"/>
    <x v="0"/>
    <n v="4353"/>
    <n v="20"/>
    <x v="35"/>
    <x v="0"/>
    <x v="0"/>
    <n v="1828.26"/>
    <n v="2524.7399999999998"/>
    <n v="0"/>
    <n v="0"/>
    <n v="0"/>
    <x v="571"/>
  </r>
  <r>
    <x v="47"/>
    <x v="163"/>
    <x v="577"/>
    <x v="4"/>
    <x v="2"/>
    <x v="2"/>
    <x v="2"/>
    <x v="6"/>
    <n v="361"/>
    <x v="0"/>
    <n v="361"/>
    <n v="14"/>
    <x v="3"/>
    <x v="0"/>
    <x v="0"/>
    <n v="151.62"/>
    <n v="209.38"/>
    <n v="0"/>
    <n v="0"/>
    <n v="0"/>
    <x v="572"/>
  </r>
  <r>
    <x v="38"/>
    <x v="163"/>
    <x v="578"/>
    <x v="0"/>
    <x v="1"/>
    <x v="3"/>
    <x v="6"/>
    <x v="9"/>
    <n v="966"/>
    <x v="0"/>
    <n v="966"/>
    <n v="12"/>
    <x v="16"/>
    <x v="0"/>
    <x v="0"/>
    <n v="405.71999999999997"/>
    <n v="560.28"/>
    <n v="0"/>
    <n v="0"/>
    <n v="0"/>
    <x v="573"/>
  </r>
  <r>
    <x v="37"/>
    <x v="163"/>
    <x v="579"/>
    <x v="4"/>
    <x v="3"/>
    <x v="3"/>
    <x v="6"/>
    <x v="1"/>
    <n v="4072"/>
    <x v="0"/>
    <n v="4072"/>
    <n v="28"/>
    <x v="0"/>
    <x v="0"/>
    <x v="0"/>
    <n v="1710.24"/>
    <n v="2361.7600000000002"/>
    <n v="0"/>
    <n v="0"/>
    <n v="0"/>
    <x v="574"/>
  </r>
  <r>
    <x v="43"/>
    <x v="164"/>
    <x v="580"/>
    <x v="4"/>
    <x v="5"/>
    <x v="0"/>
    <x v="6"/>
    <x v="0"/>
    <n v="2290"/>
    <x v="0"/>
    <n v="2290"/>
    <n v="47"/>
    <x v="18"/>
    <x v="0"/>
    <x v="0"/>
    <n v="961.8"/>
    <n v="1328.2"/>
    <n v="0"/>
    <n v="0"/>
    <n v="0"/>
    <x v="575"/>
  </r>
  <r>
    <x v="25"/>
    <x v="164"/>
    <x v="581"/>
    <x v="6"/>
    <x v="1"/>
    <x v="2"/>
    <x v="6"/>
    <x v="11"/>
    <n v="1343"/>
    <x v="0"/>
    <n v="1343"/>
    <n v="3"/>
    <x v="5"/>
    <x v="0"/>
    <x v="0"/>
    <n v="564.05999999999995"/>
    <n v="778.94"/>
    <n v="0"/>
    <n v="0"/>
    <n v="0"/>
    <x v="576"/>
  </r>
  <r>
    <x v="1"/>
    <x v="164"/>
    <x v="582"/>
    <x v="1"/>
    <x v="1"/>
    <x v="3"/>
    <x v="0"/>
    <x v="4"/>
    <n v="1316"/>
    <x v="24"/>
    <n v="1229.144"/>
    <n v="35"/>
    <x v="33"/>
    <x v="1"/>
    <x v="3"/>
    <n v="516.24047999999993"/>
    <n v="712.90352000000007"/>
    <n v="150"/>
    <n v="122.9144"/>
    <n v="1229.144"/>
    <x v="577"/>
  </r>
  <r>
    <x v="6"/>
    <x v="165"/>
    <x v="583"/>
    <x v="0"/>
    <x v="4"/>
    <x v="1"/>
    <x v="1"/>
    <x v="8"/>
    <n v="2318"/>
    <x v="152"/>
    <n v="941.10800000000006"/>
    <n v="40"/>
    <x v="3"/>
    <x v="1"/>
    <x v="6"/>
    <n v="395.26535999999999"/>
    <n v="545.84264000000007"/>
    <n v="150"/>
    <n v="94.110800000000012"/>
    <n v="941.10800000000006"/>
    <x v="578"/>
  </r>
  <r>
    <x v="8"/>
    <x v="165"/>
    <x v="584"/>
    <x v="1"/>
    <x v="0"/>
    <x v="3"/>
    <x v="1"/>
    <x v="8"/>
    <n v="3850"/>
    <x v="186"/>
    <n v="3311"/>
    <n v="27"/>
    <x v="16"/>
    <x v="1"/>
    <x v="3"/>
    <n v="1390.62"/>
    <n v="1920.38"/>
    <n v="150"/>
    <n v="331.1"/>
    <n v="3311"/>
    <x v="579"/>
  </r>
  <r>
    <x v="38"/>
    <x v="165"/>
    <x v="585"/>
    <x v="0"/>
    <x v="1"/>
    <x v="1"/>
    <x v="4"/>
    <x v="1"/>
    <n v="1335"/>
    <x v="187"/>
    <n v="706.21499999999992"/>
    <n v="44"/>
    <x v="36"/>
    <x v="1"/>
    <x v="4"/>
    <n v="296.61029999999994"/>
    <n v="409.60469999999998"/>
    <n v="150"/>
    <n v="70.621499999999997"/>
    <n v="706.21499999999992"/>
    <x v="580"/>
  </r>
  <r>
    <x v="47"/>
    <x v="165"/>
    <x v="586"/>
    <x v="4"/>
    <x v="2"/>
    <x v="3"/>
    <x v="2"/>
    <x v="5"/>
    <n v="265"/>
    <x v="188"/>
    <n v="157.67499999999998"/>
    <n v="25"/>
    <x v="4"/>
    <x v="0"/>
    <x v="0"/>
    <n v="66.223499999999987"/>
    <n v="91.451499999999996"/>
    <n v="0"/>
    <n v="0"/>
    <n v="0"/>
    <x v="581"/>
  </r>
  <r>
    <x v="30"/>
    <x v="166"/>
    <x v="587"/>
    <x v="7"/>
    <x v="4"/>
    <x v="1"/>
    <x v="6"/>
    <x v="0"/>
    <n v="2057"/>
    <x v="189"/>
    <n v="1715.538"/>
    <n v="34"/>
    <x v="21"/>
    <x v="0"/>
    <x v="0"/>
    <n v="720.52595999999994"/>
    <n v="995.01204000000007"/>
    <n v="0"/>
    <n v="0"/>
    <n v="0"/>
    <x v="582"/>
  </r>
  <r>
    <x v="29"/>
    <x v="166"/>
    <x v="588"/>
    <x v="5"/>
    <x v="2"/>
    <x v="3"/>
    <x v="2"/>
    <x v="9"/>
    <n v="285"/>
    <x v="0"/>
    <n v="285"/>
    <n v="29"/>
    <x v="20"/>
    <x v="0"/>
    <x v="0"/>
    <n v="119.69999999999999"/>
    <n v="165.3"/>
    <n v="0"/>
    <n v="0"/>
    <n v="0"/>
    <x v="583"/>
  </r>
  <r>
    <x v="44"/>
    <x v="166"/>
    <x v="589"/>
    <x v="6"/>
    <x v="5"/>
    <x v="1"/>
    <x v="3"/>
    <x v="6"/>
    <n v="1904"/>
    <x v="190"/>
    <n v="1370.8799999999999"/>
    <n v="23"/>
    <x v="3"/>
    <x v="0"/>
    <x v="0"/>
    <n v="575.76959999999997"/>
    <n v="795.11039999999991"/>
    <n v="0"/>
    <n v="0"/>
    <n v="0"/>
    <x v="584"/>
  </r>
  <r>
    <x v="28"/>
    <x v="166"/>
    <x v="590"/>
    <x v="3"/>
    <x v="3"/>
    <x v="2"/>
    <x v="5"/>
    <x v="0"/>
    <n v="3873"/>
    <x v="191"/>
    <n v="2567.799"/>
    <n v="38"/>
    <x v="0"/>
    <x v="1"/>
    <x v="3"/>
    <n v="1078.47558"/>
    <n v="1489.3234199999999"/>
    <n v="150"/>
    <n v="256.7799"/>
    <n v="2567.799"/>
    <x v="585"/>
  </r>
  <r>
    <x v="5"/>
    <x v="167"/>
    <x v="591"/>
    <x v="0"/>
    <x v="2"/>
    <x v="3"/>
    <x v="2"/>
    <x v="8"/>
    <n v="341"/>
    <x v="0"/>
    <n v="341"/>
    <n v="20"/>
    <x v="0"/>
    <x v="0"/>
    <x v="0"/>
    <n v="143.22"/>
    <n v="197.78"/>
    <n v="0"/>
    <n v="0"/>
    <n v="0"/>
    <x v="586"/>
  </r>
  <r>
    <x v="35"/>
    <x v="167"/>
    <x v="592"/>
    <x v="4"/>
    <x v="1"/>
    <x v="3"/>
    <x v="4"/>
    <x v="0"/>
    <n v="1610"/>
    <x v="192"/>
    <n v="1391.04"/>
    <n v="19"/>
    <x v="3"/>
    <x v="0"/>
    <x v="0"/>
    <n v="584.23680000000002"/>
    <n v="806.80319999999995"/>
    <n v="0"/>
    <n v="0"/>
    <n v="0"/>
    <x v="587"/>
  </r>
  <r>
    <x v="11"/>
    <x v="167"/>
    <x v="593"/>
    <x v="5"/>
    <x v="4"/>
    <x v="1"/>
    <x v="4"/>
    <x v="7"/>
    <n v="2296"/>
    <x v="193"/>
    <n v="1524.5439999999999"/>
    <n v="9"/>
    <x v="3"/>
    <x v="0"/>
    <x v="0"/>
    <n v="640.30847999999992"/>
    <n v="884.23551999999995"/>
    <n v="0"/>
    <n v="0"/>
    <n v="0"/>
    <x v="588"/>
  </r>
  <r>
    <x v="19"/>
    <x v="167"/>
    <x v="594"/>
    <x v="2"/>
    <x v="5"/>
    <x v="2"/>
    <x v="6"/>
    <x v="9"/>
    <n v="2925"/>
    <x v="0"/>
    <n v="2925"/>
    <n v="18"/>
    <x v="3"/>
    <x v="0"/>
    <x v="0"/>
    <n v="1228.5"/>
    <n v="1696.5"/>
    <n v="0"/>
    <n v="0"/>
    <n v="0"/>
    <x v="589"/>
  </r>
  <r>
    <x v="37"/>
    <x v="168"/>
    <x v="595"/>
    <x v="4"/>
    <x v="3"/>
    <x v="2"/>
    <x v="2"/>
    <x v="3"/>
    <n v="3613"/>
    <x v="0"/>
    <n v="3613"/>
    <n v="46"/>
    <x v="37"/>
    <x v="1"/>
    <x v="5"/>
    <n v="1517.46"/>
    <n v="2095.54"/>
    <n v="150"/>
    <n v="361.3"/>
    <n v="3613"/>
    <x v="590"/>
  </r>
  <r>
    <x v="3"/>
    <x v="168"/>
    <x v="596"/>
    <x v="1"/>
    <x v="3"/>
    <x v="1"/>
    <x v="0"/>
    <x v="5"/>
    <n v="3204"/>
    <x v="0"/>
    <n v="3204"/>
    <n v="44"/>
    <x v="19"/>
    <x v="0"/>
    <x v="0"/>
    <n v="1345.68"/>
    <n v="1858.32"/>
    <n v="0"/>
    <n v="0"/>
    <n v="0"/>
    <x v="591"/>
  </r>
  <r>
    <x v="7"/>
    <x v="168"/>
    <x v="597"/>
    <x v="3"/>
    <x v="5"/>
    <x v="2"/>
    <x v="6"/>
    <x v="0"/>
    <n v="2246"/>
    <x v="0"/>
    <n v="2246"/>
    <n v="6"/>
    <x v="9"/>
    <x v="1"/>
    <x v="6"/>
    <n v="943.31999999999994"/>
    <n v="1302.68"/>
    <n v="150"/>
    <n v="224.60000000000002"/>
    <n v="2246"/>
    <x v="592"/>
  </r>
  <r>
    <x v="37"/>
    <x v="168"/>
    <x v="598"/>
    <x v="4"/>
    <x v="3"/>
    <x v="0"/>
    <x v="1"/>
    <x v="3"/>
    <n v="3325"/>
    <x v="0"/>
    <n v="3325"/>
    <n v="49"/>
    <x v="18"/>
    <x v="1"/>
    <x v="3"/>
    <n v="1396.5"/>
    <n v="1928.5"/>
    <n v="150"/>
    <n v="332.5"/>
    <n v="3325"/>
    <x v="593"/>
  </r>
  <r>
    <x v="16"/>
    <x v="169"/>
    <x v="599"/>
    <x v="3"/>
    <x v="0"/>
    <x v="2"/>
    <x v="2"/>
    <x v="2"/>
    <n v="3345"/>
    <x v="0"/>
    <n v="3345"/>
    <n v="45"/>
    <x v="5"/>
    <x v="0"/>
    <x v="0"/>
    <n v="1404.8999999999999"/>
    <n v="1940.1000000000001"/>
    <n v="0"/>
    <n v="0"/>
    <n v="0"/>
    <x v="594"/>
  </r>
  <r>
    <x v="6"/>
    <x v="169"/>
    <x v="600"/>
    <x v="0"/>
    <x v="4"/>
    <x v="2"/>
    <x v="6"/>
    <x v="7"/>
    <n v="2482"/>
    <x v="0"/>
    <n v="2482"/>
    <n v="7"/>
    <x v="10"/>
    <x v="0"/>
    <x v="0"/>
    <n v="1042.44"/>
    <n v="1439.56"/>
    <n v="0"/>
    <n v="0"/>
    <n v="0"/>
    <x v="595"/>
  </r>
  <r>
    <x v="29"/>
    <x v="169"/>
    <x v="601"/>
    <x v="5"/>
    <x v="2"/>
    <x v="2"/>
    <x v="2"/>
    <x v="2"/>
    <n v="467"/>
    <x v="0"/>
    <n v="467"/>
    <n v="38"/>
    <x v="27"/>
    <x v="0"/>
    <x v="0"/>
    <n v="196.14"/>
    <n v="270.86"/>
    <n v="0"/>
    <n v="0"/>
    <n v="0"/>
    <x v="596"/>
  </r>
  <r>
    <x v="22"/>
    <x v="170"/>
    <x v="602"/>
    <x v="2"/>
    <x v="4"/>
    <x v="0"/>
    <x v="1"/>
    <x v="6"/>
    <n v="2230"/>
    <x v="0"/>
    <n v="2230"/>
    <n v="33"/>
    <x v="4"/>
    <x v="1"/>
    <x v="5"/>
    <n v="936.59999999999991"/>
    <n v="1293.4000000000001"/>
    <n v="150"/>
    <n v="223"/>
    <n v="2230"/>
    <x v="597"/>
  </r>
  <r>
    <x v="43"/>
    <x v="170"/>
    <x v="603"/>
    <x v="4"/>
    <x v="5"/>
    <x v="1"/>
    <x v="4"/>
    <x v="2"/>
    <n v="2563"/>
    <x v="0"/>
    <n v="2563"/>
    <n v="15"/>
    <x v="40"/>
    <x v="0"/>
    <x v="0"/>
    <n v="1076.46"/>
    <n v="1486.54"/>
    <n v="0"/>
    <n v="0"/>
    <n v="0"/>
    <x v="598"/>
  </r>
  <r>
    <x v="2"/>
    <x v="170"/>
    <x v="604"/>
    <x v="1"/>
    <x v="2"/>
    <x v="1"/>
    <x v="2"/>
    <x v="2"/>
    <n v="354"/>
    <x v="0"/>
    <n v="354"/>
    <n v="47"/>
    <x v="21"/>
    <x v="0"/>
    <x v="0"/>
    <n v="148.68"/>
    <n v="205.32"/>
    <n v="0"/>
    <n v="0"/>
    <n v="0"/>
    <x v="599"/>
  </r>
  <r>
    <x v="41"/>
    <x v="170"/>
    <x v="605"/>
    <x v="6"/>
    <x v="2"/>
    <x v="3"/>
    <x v="2"/>
    <x v="10"/>
    <n v="464"/>
    <x v="1"/>
    <n v="299.74400000000003"/>
    <n v="9"/>
    <x v="9"/>
    <x v="1"/>
    <x v="4"/>
    <n v="125.89248000000001"/>
    <n v="173.85152000000002"/>
    <n v="150"/>
    <n v="29.974400000000003"/>
    <n v="299.74400000000003"/>
    <x v="600"/>
  </r>
  <r>
    <x v="5"/>
    <x v="171"/>
    <x v="606"/>
    <x v="0"/>
    <x v="2"/>
    <x v="2"/>
    <x v="2"/>
    <x v="0"/>
    <n v="261"/>
    <x v="0"/>
    <n v="261"/>
    <n v="49"/>
    <x v="25"/>
    <x v="0"/>
    <x v="0"/>
    <n v="109.61999999999999"/>
    <n v="151.38"/>
    <n v="0"/>
    <n v="0"/>
    <n v="0"/>
    <x v="601"/>
  </r>
  <r>
    <x v="42"/>
    <x v="171"/>
    <x v="607"/>
    <x v="0"/>
    <x v="5"/>
    <x v="0"/>
    <x v="6"/>
    <x v="0"/>
    <n v="2207"/>
    <x v="0"/>
    <n v="2207"/>
    <n v="36"/>
    <x v="3"/>
    <x v="0"/>
    <x v="0"/>
    <n v="926.93999999999994"/>
    <n v="1280.06"/>
    <n v="0"/>
    <n v="0"/>
    <n v="0"/>
    <x v="461"/>
  </r>
  <r>
    <x v="27"/>
    <x v="171"/>
    <x v="608"/>
    <x v="7"/>
    <x v="2"/>
    <x v="0"/>
    <x v="2"/>
    <x v="0"/>
    <n v="307"/>
    <x v="8"/>
    <n v="217.66299999999998"/>
    <n v="9"/>
    <x v="30"/>
    <x v="0"/>
    <x v="0"/>
    <n v="91.418459999999996"/>
    <n v="126.24453999999999"/>
    <n v="0"/>
    <n v="0"/>
    <n v="0"/>
    <x v="602"/>
  </r>
  <r>
    <x v="18"/>
    <x v="172"/>
    <x v="609"/>
    <x v="3"/>
    <x v="4"/>
    <x v="3"/>
    <x v="0"/>
    <x v="10"/>
    <n v="2688"/>
    <x v="0"/>
    <n v="2688"/>
    <n v="10"/>
    <x v="35"/>
    <x v="0"/>
    <x v="0"/>
    <n v="1128.96"/>
    <n v="1559.04"/>
    <n v="0"/>
    <n v="0"/>
    <n v="0"/>
    <x v="603"/>
  </r>
  <r>
    <x v="6"/>
    <x v="172"/>
    <x v="610"/>
    <x v="0"/>
    <x v="4"/>
    <x v="1"/>
    <x v="0"/>
    <x v="4"/>
    <n v="2681"/>
    <x v="0"/>
    <n v="2681"/>
    <n v="34"/>
    <x v="18"/>
    <x v="0"/>
    <x v="0"/>
    <n v="1126.02"/>
    <n v="1554.98"/>
    <n v="0"/>
    <n v="0"/>
    <n v="0"/>
    <x v="604"/>
  </r>
  <r>
    <x v="40"/>
    <x v="172"/>
    <x v="611"/>
    <x v="5"/>
    <x v="0"/>
    <x v="1"/>
    <x v="4"/>
    <x v="9"/>
    <n v="4342"/>
    <x v="138"/>
    <n v="3130.5820000000003"/>
    <n v="21"/>
    <x v="41"/>
    <x v="0"/>
    <x v="0"/>
    <n v="1314.8444400000001"/>
    <n v="1815.7375600000003"/>
    <n v="0"/>
    <n v="0"/>
    <n v="0"/>
    <x v="605"/>
  </r>
  <r>
    <x v="13"/>
    <x v="172"/>
    <x v="612"/>
    <x v="3"/>
    <x v="2"/>
    <x v="1"/>
    <x v="2"/>
    <x v="0"/>
    <n v="430"/>
    <x v="0"/>
    <n v="430"/>
    <n v="15"/>
    <x v="2"/>
    <x v="0"/>
    <x v="0"/>
    <n v="180.6"/>
    <n v="249.4"/>
    <n v="0"/>
    <n v="0"/>
    <n v="0"/>
    <x v="606"/>
  </r>
  <r>
    <x v="13"/>
    <x v="173"/>
    <x v="613"/>
    <x v="3"/>
    <x v="2"/>
    <x v="1"/>
    <x v="2"/>
    <x v="10"/>
    <n v="494"/>
    <x v="0"/>
    <n v="494"/>
    <n v="35"/>
    <x v="24"/>
    <x v="0"/>
    <x v="0"/>
    <n v="207.48"/>
    <n v="286.52"/>
    <n v="0"/>
    <n v="0"/>
    <n v="0"/>
    <x v="607"/>
  </r>
  <r>
    <x v="31"/>
    <x v="173"/>
    <x v="614"/>
    <x v="2"/>
    <x v="2"/>
    <x v="1"/>
    <x v="2"/>
    <x v="1"/>
    <n v="378"/>
    <x v="0"/>
    <n v="378"/>
    <n v="19"/>
    <x v="2"/>
    <x v="1"/>
    <x v="5"/>
    <n v="158.76"/>
    <n v="219.24"/>
    <n v="150"/>
    <n v="37.800000000000004"/>
    <n v="378"/>
    <x v="608"/>
  </r>
  <r>
    <x v="22"/>
    <x v="173"/>
    <x v="615"/>
    <x v="2"/>
    <x v="4"/>
    <x v="3"/>
    <x v="6"/>
    <x v="7"/>
    <n v="2200"/>
    <x v="0"/>
    <n v="2200"/>
    <n v="10"/>
    <x v="16"/>
    <x v="0"/>
    <x v="0"/>
    <n v="924"/>
    <n v="1276"/>
    <n v="0"/>
    <n v="0"/>
    <n v="0"/>
    <x v="609"/>
  </r>
  <r>
    <x v="5"/>
    <x v="174"/>
    <x v="616"/>
    <x v="0"/>
    <x v="2"/>
    <x v="3"/>
    <x v="2"/>
    <x v="8"/>
    <n v="391"/>
    <x v="0"/>
    <n v="391"/>
    <n v="15"/>
    <x v="21"/>
    <x v="0"/>
    <x v="0"/>
    <n v="164.22"/>
    <n v="226.78"/>
    <n v="0"/>
    <n v="0"/>
    <n v="0"/>
    <x v="610"/>
  </r>
  <r>
    <x v="32"/>
    <x v="174"/>
    <x v="617"/>
    <x v="4"/>
    <x v="4"/>
    <x v="0"/>
    <x v="5"/>
    <x v="8"/>
    <n v="2675"/>
    <x v="0"/>
    <n v="2675"/>
    <n v="49"/>
    <x v="23"/>
    <x v="0"/>
    <x v="0"/>
    <n v="1123.5"/>
    <n v="1551.5"/>
    <n v="0"/>
    <n v="0"/>
    <n v="0"/>
    <x v="611"/>
  </r>
  <r>
    <x v="7"/>
    <x v="174"/>
    <x v="618"/>
    <x v="3"/>
    <x v="5"/>
    <x v="2"/>
    <x v="0"/>
    <x v="6"/>
    <n v="2968"/>
    <x v="0"/>
    <n v="2968"/>
    <n v="5"/>
    <x v="39"/>
    <x v="0"/>
    <x v="0"/>
    <n v="1246.56"/>
    <n v="1721.44"/>
    <n v="0"/>
    <n v="0"/>
    <n v="0"/>
    <x v="612"/>
  </r>
  <r>
    <x v="45"/>
    <x v="174"/>
    <x v="619"/>
    <x v="7"/>
    <x v="3"/>
    <x v="2"/>
    <x v="4"/>
    <x v="0"/>
    <n v="4197"/>
    <x v="0"/>
    <n v="4197"/>
    <n v="50"/>
    <x v="36"/>
    <x v="0"/>
    <x v="0"/>
    <n v="1762.74"/>
    <n v="2434.2600000000002"/>
    <n v="0"/>
    <n v="0"/>
    <n v="0"/>
    <x v="613"/>
  </r>
  <r>
    <x v="4"/>
    <x v="175"/>
    <x v="620"/>
    <x v="2"/>
    <x v="1"/>
    <x v="1"/>
    <x v="5"/>
    <x v="0"/>
    <n v="1636"/>
    <x v="0"/>
    <n v="1636"/>
    <n v="15"/>
    <x v="24"/>
    <x v="0"/>
    <x v="0"/>
    <n v="687.12"/>
    <n v="948.88"/>
    <n v="0"/>
    <n v="0"/>
    <n v="0"/>
    <x v="614"/>
  </r>
  <r>
    <x v="5"/>
    <x v="175"/>
    <x v="621"/>
    <x v="0"/>
    <x v="2"/>
    <x v="0"/>
    <x v="2"/>
    <x v="10"/>
    <n v="296"/>
    <x v="0"/>
    <n v="296"/>
    <n v="42"/>
    <x v="7"/>
    <x v="0"/>
    <x v="0"/>
    <n v="124.32"/>
    <n v="171.68"/>
    <n v="0"/>
    <n v="0"/>
    <n v="0"/>
    <x v="615"/>
  </r>
  <r>
    <x v="13"/>
    <x v="175"/>
    <x v="622"/>
    <x v="3"/>
    <x v="2"/>
    <x v="3"/>
    <x v="2"/>
    <x v="11"/>
    <n v="347"/>
    <x v="0"/>
    <n v="347"/>
    <n v="8"/>
    <x v="24"/>
    <x v="1"/>
    <x v="4"/>
    <n v="145.73999999999998"/>
    <n v="201.26000000000002"/>
    <n v="150"/>
    <n v="34.700000000000003"/>
    <n v="347"/>
    <x v="616"/>
  </r>
  <r>
    <x v="27"/>
    <x v="176"/>
    <x v="623"/>
    <x v="7"/>
    <x v="2"/>
    <x v="2"/>
    <x v="2"/>
    <x v="6"/>
    <n v="248"/>
    <x v="0"/>
    <n v="248"/>
    <n v="17"/>
    <x v="31"/>
    <x v="0"/>
    <x v="0"/>
    <n v="104.16"/>
    <n v="143.84"/>
    <n v="0"/>
    <n v="0"/>
    <n v="0"/>
    <x v="617"/>
  </r>
  <r>
    <x v="30"/>
    <x v="176"/>
    <x v="624"/>
    <x v="7"/>
    <x v="4"/>
    <x v="3"/>
    <x v="3"/>
    <x v="2"/>
    <n v="2235"/>
    <x v="0"/>
    <n v="2235"/>
    <n v="6"/>
    <x v="26"/>
    <x v="1"/>
    <x v="3"/>
    <n v="938.69999999999993"/>
    <n v="1296.3000000000002"/>
    <n v="150"/>
    <n v="223.5"/>
    <n v="2235"/>
    <x v="618"/>
  </r>
  <r>
    <x v="18"/>
    <x v="176"/>
    <x v="625"/>
    <x v="3"/>
    <x v="4"/>
    <x v="2"/>
    <x v="6"/>
    <x v="8"/>
    <n v="2163"/>
    <x v="0"/>
    <n v="2163"/>
    <n v="34"/>
    <x v="30"/>
    <x v="0"/>
    <x v="0"/>
    <n v="908.45999999999992"/>
    <n v="1254.54"/>
    <n v="0"/>
    <n v="0"/>
    <n v="0"/>
    <x v="619"/>
  </r>
  <r>
    <x v="25"/>
    <x v="176"/>
    <x v="626"/>
    <x v="6"/>
    <x v="1"/>
    <x v="1"/>
    <x v="3"/>
    <x v="11"/>
    <n v="1146"/>
    <x v="0"/>
    <n v="1146"/>
    <n v="19"/>
    <x v="5"/>
    <x v="1"/>
    <x v="4"/>
    <n v="481.32"/>
    <n v="664.68000000000006"/>
    <n v="150"/>
    <n v="114.60000000000001"/>
    <n v="1146"/>
    <x v="620"/>
  </r>
  <r>
    <x v="0"/>
    <x v="176"/>
    <x v="627"/>
    <x v="0"/>
    <x v="0"/>
    <x v="2"/>
    <x v="6"/>
    <x v="3"/>
    <n v="4151"/>
    <x v="194"/>
    <n v="3636.2759999999998"/>
    <n v="3"/>
    <x v="3"/>
    <x v="0"/>
    <x v="0"/>
    <n v="1527.2359199999999"/>
    <n v="2109.0400799999998"/>
    <n v="0"/>
    <n v="0"/>
    <n v="0"/>
    <x v="621"/>
  </r>
  <r>
    <x v="21"/>
    <x v="177"/>
    <x v="628"/>
    <x v="1"/>
    <x v="4"/>
    <x v="0"/>
    <x v="0"/>
    <x v="4"/>
    <n v="2190"/>
    <x v="0"/>
    <n v="2190"/>
    <n v="17"/>
    <x v="31"/>
    <x v="1"/>
    <x v="5"/>
    <n v="919.8"/>
    <n v="1270.2"/>
    <n v="150"/>
    <n v="219"/>
    <n v="2190"/>
    <x v="622"/>
  </r>
  <r>
    <x v="11"/>
    <x v="177"/>
    <x v="629"/>
    <x v="5"/>
    <x v="4"/>
    <x v="2"/>
    <x v="2"/>
    <x v="2"/>
    <n v="2555"/>
    <x v="0"/>
    <n v="2555"/>
    <n v="14"/>
    <x v="29"/>
    <x v="0"/>
    <x v="0"/>
    <n v="1073.0999999999999"/>
    <n v="1481.9"/>
    <n v="0"/>
    <n v="0"/>
    <n v="0"/>
    <x v="623"/>
  </r>
  <r>
    <x v="4"/>
    <x v="177"/>
    <x v="630"/>
    <x v="2"/>
    <x v="1"/>
    <x v="1"/>
    <x v="3"/>
    <x v="0"/>
    <n v="1645"/>
    <x v="0"/>
    <n v="1645"/>
    <n v="7"/>
    <x v="1"/>
    <x v="0"/>
    <x v="0"/>
    <n v="690.9"/>
    <n v="954.1"/>
    <n v="0"/>
    <n v="0"/>
    <n v="0"/>
    <x v="624"/>
  </r>
  <r>
    <x v="35"/>
    <x v="178"/>
    <x v="631"/>
    <x v="4"/>
    <x v="1"/>
    <x v="1"/>
    <x v="5"/>
    <x v="11"/>
    <n v="1050"/>
    <x v="23"/>
    <n v="1022.6999999999999"/>
    <n v="2"/>
    <x v="3"/>
    <x v="1"/>
    <x v="6"/>
    <n v="429.53399999999993"/>
    <n v="593.16599999999994"/>
    <n v="150"/>
    <n v="102.27"/>
    <n v="1022.6999999999999"/>
    <x v="625"/>
  </r>
  <r>
    <x v="6"/>
    <x v="178"/>
    <x v="632"/>
    <x v="0"/>
    <x v="4"/>
    <x v="1"/>
    <x v="3"/>
    <x v="11"/>
    <n v="2064"/>
    <x v="40"/>
    <n v="1931.904"/>
    <n v="42"/>
    <x v="2"/>
    <x v="0"/>
    <x v="0"/>
    <n v="811.39967999999999"/>
    <n v="1120.50432"/>
    <n v="0"/>
    <n v="0"/>
    <n v="0"/>
    <x v="626"/>
  </r>
  <r>
    <x v="41"/>
    <x v="178"/>
    <x v="633"/>
    <x v="6"/>
    <x v="2"/>
    <x v="3"/>
    <x v="2"/>
    <x v="1"/>
    <n v="268"/>
    <x v="195"/>
    <n v="218.95599999999999"/>
    <n v="37"/>
    <x v="3"/>
    <x v="0"/>
    <x v="0"/>
    <n v="91.961519999999993"/>
    <n v="126.99448"/>
    <n v="0"/>
    <n v="0"/>
    <n v="0"/>
    <x v="627"/>
  </r>
  <r>
    <x v="24"/>
    <x v="178"/>
    <x v="634"/>
    <x v="5"/>
    <x v="5"/>
    <x v="2"/>
    <x v="2"/>
    <x v="0"/>
    <n v="2649"/>
    <x v="0"/>
    <n v="2649"/>
    <n v="10"/>
    <x v="1"/>
    <x v="0"/>
    <x v="0"/>
    <n v="1112.58"/>
    <n v="1536.42"/>
    <n v="0"/>
    <n v="0"/>
    <n v="0"/>
    <x v="106"/>
  </r>
  <r>
    <x v="40"/>
    <x v="179"/>
    <x v="635"/>
    <x v="5"/>
    <x v="0"/>
    <x v="0"/>
    <x v="5"/>
    <x v="7"/>
    <n v="3034"/>
    <x v="0"/>
    <n v="3034"/>
    <n v="38"/>
    <x v="34"/>
    <x v="0"/>
    <x v="0"/>
    <n v="1274.28"/>
    <n v="1759.72"/>
    <n v="0"/>
    <n v="0"/>
    <n v="0"/>
    <x v="628"/>
  </r>
  <r>
    <x v="1"/>
    <x v="179"/>
    <x v="636"/>
    <x v="1"/>
    <x v="1"/>
    <x v="1"/>
    <x v="0"/>
    <x v="7"/>
    <n v="1421"/>
    <x v="196"/>
    <n v="1260.4269999999999"/>
    <n v="27"/>
    <x v="33"/>
    <x v="1"/>
    <x v="2"/>
    <n v="529.37933999999996"/>
    <n v="731.04765999999995"/>
    <n v="150"/>
    <n v="126.0427"/>
    <n v="1260.4269999999999"/>
    <x v="629"/>
  </r>
  <r>
    <x v="26"/>
    <x v="179"/>
    <x v="637"/>
    <x v="0"/>
    <x v="3"/>
    <x v="3"/>
    <x v="1"/>
    <x v="4"/>
    <n v="3051"/>
    <x v="0"/>
    <n v="3051"/>
    <n v="32"/>
    <x v="30"/>
    <x v="1"/>
    <x v="3"/>
    <n v="1281.4199999999998"/>
    <n v="1769.5800000000002"/>
    <n v="150"/>
    <n v="305.10000000000002"/>
    <n v="3051"/>
    <x v="630"/>
  </r>
  <r>
    <x v="6"/>
    <x v="179"/>
    <x v="638"/>
    <x v="0"/>
    <x v="4"/>
    <x v="2"/>
    <x v="1"/>
    <x v="4"/>
    <n v="2253"/>
    <x v="197"/>
    <n v="2014.182"/>
    <n v="50"/>
    <x v="40"/>
    <x v="1"/>
    <x v="3"/>
    <n v="845.95643999999993"/>
    <n v="1168.2255600000001"/>
    <n v="150"/>
    <n v="201.41820000000001"/>
    <n v="2014.182"/>
    <x v="631"/>
  </r>
  <r>
    <x v="22"/>
    <x v="180"/>
    <x v="639"/>
    <x v="2"/>
    <x v="4"/>
    <x v="1"/>
    <x v="5"/>
    <x v="1"/>
    <n v="2833"/>
    <x v="26"/>
    <n v="2323.0600000000004"/>
    <n v="21"/>
    <x v="4"/>
    <x v="1"/>
    <x v="3"/>
    <n v="975.68520000000012"/>
    <n v="1347.3748000000003"/>
    <n v="150"/>
    <n v="232.30600000000004"/>
    <n v="2323.0600000000004"/>
    <x v="632"/>
  </r>
  <r>
    <x v="7"/>
    <x v="180"/>
    <x v="640"/>
    <x v="3"/>
    <x v="5"/>
    <x v="2"/>
    <x v="1"/>
    <x v="9"/>
    <n v="1907"/>
    <x v="0"/>
    <n v="1907"/>
    <n v="14"/>
    <x v="26"/>
    <x v="0"/>
    <x v="0"/>
    <n v="800.93999999999994"/>
    <n v="1106.06"/>
    <n v="0"/>
    <n v="0"/>
    <n v="0"/>
    <x v="633"/>
  </r>
  <r>
    <x v="22"/>
    <x v="180"/>
    <x v="641"/>
    <x v="2"/>
    <x v="4"/>
    <x v="3"/>
    <x v="5"/>
    <x v="8"/>
    <n v="2114"/>
    <x v="198"/>
    <n v="1137.3320000000001"/>
    <n v="14"/>
    <x v="3"/>
    <x v="0"/>
    <x v="0"/>
    <n v="477.67944"/>
    <n v="659.65256000000011"/>
    <n v="0"/>
    <n v="0"/>
    <n v="0"/>
    <x v="634"/>
  </r>
  <r>
    <x v="7"/>
    <x v="181"/>
    <x v="642"/>
    <x v="3"/>
    <x v="5"/>
    <x v="1"/>
    <x v="3"/>
    <x v="5"/>
    <n v="2492"/>
    <x v="0"/>
    <n v="2492"/>
    <n v="41"/>
    <x v="14"/>
    <x v="0"/>
    <x v="0"/>
    <n v="1046.6399999999999"/>
    <n v="1445.3600000000001"/>
    <n v="0"/>
    <n v="0"/>
    <n v="0"/>
    <x v="635"/>
  </r>
  <r>
    <x v="16"/>
    <x v="181"/>
    <x v="643"/>
    <x v="3"/>
    <x v="0"/>
    <x v="0"/>
    <x v="3"/>
    <x v="10"/>
    <n v="3269"/>
    <x v="0"/>
    <n v="3269"/>
    <n v="43"/>
    <x v="36"/>
    <x v="0"/>
    <x v="0"/>
    <n v="1372.98"/>
    <n v="1896.02"/>
    <n v="0"/>
    <n v="0"/>
    <n v="0"/>
    <x v="636"/>
  </r>
  <r>
    <x v="34"/>
    <x v="181"/>
    <x v="644"/>
    <x v="6"/>
    <x v="0"/>
    <x v="1"/>
    <x v="0"/>
    <x v="8"/>
    <n v="4212"/>
    <x v="199"/>
    <n v="2510.3520000000003"/>
    <n v="21"/>
    <x v="4"/>
    <x v="0"/>
    <x v="0"/>
    <n v="1054.3478400000001"/>
    <n v="1456.0041600000002"/>
    <n v="0"/>
    <n v="0"/>
    <n v="0"/>
    <x v="637"/>
  </r>
  <r>
    <x v="43"/>
    <x v="181"/>
    <x v="645"/>
    <x v="4"/>
    <x v="5"/>
    <x v="1"/>
    <x v="6"/>
    <x v="2"/>
    <n v="2158"/>
    <x v="0"/>
    <n v="2158"/>
    <n v="45"/>
    <x v="23"/>
    <x v="1"/>
    <x v="3"/>
    <n v="906.36"/>
    <n v="1251.6399999999999"/>
    <n v="150"/>
    <n v="215.8"/>
    <n v="2158"/>
    <x v="638"/>
  </r>
  <r>
    <x v="43"/>
    <x v="181"/>
    <x v="646"/>
    <x v="4"/>
    <x v="5"/>
    <x v="3"/>
    <x v="1"/>
    <x v="7"/>
    <n v="2691"/>
    <x v="166"/>
    <n v="1264.77"/>
    <n v="38"/>
    <x v="1"/>
    <x v="1"/>
    <x v="1"/>
    <n v="531.20339999999999"/>
    <n v="733.56659999999999"/>
    <n v="150"/>
    <n v="126.477"/>
    <n v="1264.77"/>
    <x v="639"/>
  </r>
  <r>
    <x v="40"/>
    <x v="182"/>
    <x v="647"/>
    <x v="5"/>
    <x v="0"/>
    <x v="0"/>
    <x v="3"/>
    <x v="10"/>
    <n v="4146"/>
    <x v="0"/>
    <n v="4146"/>
    <n v="22"/>
    <x v="17"/>
    <x v="1"/>
    <x v="3"/>
    <n v="1741.32"/>
    <n v="2404.6800000000003"/>
    <n v="150"/>
    <n v="414.6"/>
    <n v="4146"/>
    <x v="238"/>
  </r>
  <r>
    <x v="22"/>
    <x v="182"/>
    <x v="648"/>
    <x v="2"/>
    <x v="4"/>
    <x v="3"/>
    <x v="5"/>
    <x v="7"/>
    <n v="2222"/>
    <x v="0"/>
    <n v="2222"/>
    <n v="19"/>
    <x v="3"/>
    <x v="0"/>
    <x v="0"/>
    <n v="933.24"/>
    <n v="1288.76"/>
    <n v="0"/>
    <n v="0"/>
    <n v="0"/>
    <x v="640"/>
  </r>
  <r>
    <x v="38"/>
    <x v="182"/>
    <x v="649"/>
    <x v="0"/>
    <x v="1"/>
    <x v="0"/>
    <x v="3"/>
    <x v="10"/>
    <n v="1458"/>
    <x v="0"/>
    <n v="1458"/>
    <n v="29"/>
    <x v="11"/>
    <x v="0"/>
    <x v="0"/>
    <n v="612.36"/>
    <n v="845.64"/>
    <n v="0"/>
    <n v="0"/>
    <n v="0"/>
    <x v="641"/>
  </r>
  <r>
    <x v="16"/>
    <x v="183"/>
    <x v="650"/>
    <x v="3"/>
    <x v="0"/>
    <x v="2"/>
    <x v="3"/>
    <x v="6"/>
    <n v="4440"/>
    <x v="0"/>
    <n v="4440"/>
    <n v="45"/>
    <x v="25"/>
    <x v="1"/>
    <x v="5"/>
    <n v="1864.8"/>
    <n v="2575.1999999999998"/>
    <n v="150"/>
    <n v="444"/>
    <n v="4440"/>
    <x v="642"/>
  </r>
  <r>
    <x v="36"/>
    <x v="183"/>
    <x v="651"/>
    <x v="5"/>
    <x v="3"/>
    <x v="1"/>
    <x v="6"/>
    <x v="2"/>
    <n v="3980"/>
    <x v="0"/>
    <n v="3980"/>
    <n v="43"/>
    <x v="20"/>
    <x v="0"/>
    <x v="0"/>
    <n v="1671.6"/>
    <n v="2308.4"/>
    <n v="0"/>
    <n v="0"/>
    <n v="0"/>
    <x v="643"/>
  </r>
  <r>
    <x v="41"/>
    <x v="183"/>
    <x v="652"/>
    <x v="6"/>
    <x v="2"/>
    <x v="2"/>
    <x v="2"/>
    <x v="0"/>
    <n v="230"/>
    <x v="85"/>
    <n v="187.68"/>
    <n v="50"/>
    <x v="31"/>
    <x v="0"/>
    <x v="0"/>
    <n v="78.825599999999994"/>
    <n v="108.85440000000001"/>
    <n v="0"/>
    <n v="0"/>
    <n v="0"/>
    <x v="644"/>
  </r>
  <r>
    <x v="26"/>
    <x v="183"/>
    <x v="653"/>
    <x v="0"/>
    <x v="3"/>
    <x v="3"/>
    <x v="5"/>
    <x v="0"/>
    <n v="3788"/>
    <x v="0"/>
    <n v="3788"/>
    <n v="14"/>
    <x v="8"/>
    <x v="1"/>
    <x v="3"/>
    <n v="1590.96"/>
    <n v="2197.04"/>
    <n v="150"/>
    <n v="378.8"/>
    <n v="3788"/>
    <x v="645"/>
  </r>
  <r>
    <x v="18"/>
    <x v="184"/>
    <x v="654"/>
    <x v="3"/>
    <x v="4"/>
    <x v="3"/>
    <x v="4"/>
    <x v="11"/>
    <n v="2693"/>
    <x v="0"/>
    <n v="2693"/>
    <n v="9"/>
    <x v="37"/>
    <x v="1"/>
    <x v="4"/>
    <n v="1131.06"/>
    <n v="1561.94"/>
    <n v="150"/>
    <n v="269.3"/>
    <n v="2693"/>
    <x v="646"/>
  </r>
  <r>
    <x v="29"/>
    <x v="184"/>
    <x v="655"/>
    <x v="5"/>
    <x v="2"/>
    <x v="0"/>
    <x v="2"/>
    <x v="2"/>
    <n v="400"/>
    <x v="0"/>
    <n v="400"/>
    <n v="49"/>
    <x v="22"/>
    <x v="0"/>
    <x v="0"/>
    <n v="168"/>
    <n v="232"/>
    <n v="0"/>
    <n v="0"/>
    <n v="0"/>
    <x v="647"/>
  </r>
  <r>
    <x v="7"/>
    <x v="184"/>
    <x v="656"/>
    <x v="3"/>
    <x v="5"/>
    <x v="3"/>
    <x v="1"/>
    <x v="2"/>
    <n v="2779"/>
    <x v="200"/>
    <n v="1522.8920000000001"/>
    <n v="14"/>
    <x v="2"/>
    <x v="0"/>
    <x v="0"/>
    <n v="639.61464000000001"/>
    <n v="883.27736000000004"/>
    <n v="0"/>
    <n v="0"/>
    <n v="0"/>
    <x v="648"/>
  </r>
  <r>
    <x v="21"/>
    <x v="185"/>
    <x v="657"/>
    <x v="1"/>
    <x v="4"/>
    <x v="3"/>
    <x v="3"/>
    <x v="0"/>
    <n v="2376"/>
    <x v="0"/>
    <n v="2376"/>
    <n v="26"/>
    <x v="3"/>
    <x v="0"/>
    <x v="0"/>
    <n v="997.92"/>
    <n v="1378.08"/>
    <n v="0"/>
    <n v="0"/>
    <n v="0"/>
    <x v="649"/>
  </r>
  <r>
    <x v="31"/>
    <x v="185"/>
    <x v="658"/>
    <x v="2"/>
    <x v="2"/>
    <x v="0"/>
    <x v="2"/>
    <x v="3"/>
    <n v="189"/>
    <x v="0"/>
    <n v="189"/>
    <n v="12"/>
    <x v="36"/>
    <x v="0"/>
    <x v="0"/>
    <n v="79.38"/>
    <n v="109.62"/>
    <n v="0"/>
    <n v="0"/>
    <n v="0"/>
    <x v="650"/>
  </r>
  <r>
    <x v="14"/>
    <x v="185"/>
    <x v="659"/>
    <x v="6"/>
    <x v="3"/>
    <x v="3"/>
    <x v="6"/>
    <x v="9"/>
    <n v="4492"/>
    <x v="0"/>
    <n v="4492"/>
    <n v="16"/>
    <x v="3"/>
    <x v="0"/>
    <x v="0"/>
    <n v="1886.6399999999999"/>
    <n v="2605.36"/>
    <n v="0"/>
    <n v="0"/>
    <n v="0"/>
    <x v="651"/>
  </r>
  <r>
    <x v="29"/>
    <x v="185"/>
    <x v="660"/>
    <x v="5"/>
    <x v="2"/>
    <x v="1"/>
    <x v="2"/>
    <x v="9"/>
    <n v="157"/>
    <x v="201"/>
    <n v="86.664000000000001"/>
    <n v="21"/>
    <x v="8"/>
    <x v="0"/>
    <x v="0"/>
    <n v="36.398879999999998"/>
    <n v="50.265120000000003"/>
    <n v="0"/>
    <n v="0"/>
    <n v="0"/>
    <x v="652"/>
  </r>
  <r>
    <x v="15"/>
    <x v="186"/>
    <x v="661"/>
    <x v="5"/>
    <x v="1"/>
    <x v="0"/>
    <x v="5"/>
    <x v="8"/>
    <n v="1109"/>
    <x v="202"/>
    <n v="1085.711"/>
    <n v="24"/>
    <x v="28"/>
    <x v="0"/>
    <x v="0"/>
    <n v="455.99862000000002"/>
    <n v="629.71237999999994"/>
    <n v="0"/>
    <n v="0"/>
    <n v="0"/>
    <x v="653"/>
  </r>
  <r>
    <x v="27"/>
    <x v="186"/>
    <x v="662"/>
    <x v="7"/>
    <x v="2"/>
    <x v="2"/>
    <x v="2"/>
    <x v="6"/>
    <n v="442"/>
    <x v="0"/>
    <n v="442"/>
    <n v="46"/>
    <x v="8"/>
    <x v="0"/>
    <x v="0"/>
    <n v="185.64"/>
    <n v="256.36"/>
    <n v="0"/>
    <n v="0"/>
    <n v="0"/>
    <x v="654"/>
  </r>
  <r>
    <x v="32"/>
    <x v="186"/>
    <x v="663"/>
    <x v="4"/>
    <x v="4"/>
    <x v="3"/>
    <x v="4"/>
    <x v="0"/>
    <n v="2353"/>
    <x v="203"/>
    <n v="1494.155"/>
    <n v="41"/>
    <x v="11"/>
    <x v="1"/>
    <x v="7"/>
    <n v="627.54509999999993"/>
    <n v="866.60990000000004"/>
    <n v="150"/>
    <n v="149.41550000000001"/>
    <n v="1494.155"/>
    <x v="655"/>
  </r>
  <r>
    <x v="30"/>
    <x v="186"/>
    <x v="664"/>
    <x v="7"/>
    <x v="4"/>
    <x v="3"/>
    <x v="5"/>
    <x v="4"/>
    <n v="2642"/>
    <x v="204"/>
    <n v="2351.38"/>
    <n v="18"/>
    <x v="5"/>
    <x v="0"/>
    <x v="0"/>
    <n v="987.57960000000003"/>
    <n v="1363.8004000000001"/>
    <n v="0"/>
    <n v="0"/>
    <n v="0"/>
    <x v="656"/>
  </r>
  <r>
    <x v="27"/>
    <x v="187"/>
    <x v="665"/>
    <x v="7"/>
    <x v="2"/>
    <x v="1"/>
    <x v="2"/>
    <x v="9"/>
    <n v="416"/>
    <x v="0"/>
    <n v="416"/>
    <n v="30"/>
    <x v="3"/>
    <x v="0"/>
    <x v="0"/>
    <n v="174.72"/>
    <n v="241.28"/>
    <n v="0"/>
    <n v="0"/>
    <n v="0"/>
    <x v="657"/>
  </r>
  <r>
    <x v="35"/>
    <x v="187"/>
    <x v="666"/>
    <x v="4"/>
    <x v="1"/>
    <x v="3"/>
    <x v="1"/>
    <x v="2"/>
    <n v="948"/>
    <x v="0"/>
    <n v="948"/>
    <n v="27"/>
    <x v="35"/>
    <x v="0"/>
    <x v="0"/>
    <n v="398.15999999999997"/>
    <n v="549.84"/>
    <n v="0"/>
    <n v="0"/>
    <n v="0"/>
    <x v="658"/>
  </r>
  <r>
    <x v="11"/>
    <x v="187"/>
    <x v="667"/>
    <x v="5"/>
    <x v="4"/>
    <x v="3"/>
    <x v="0"/>
    <x v="8"/>
    <n v="2921"/>
    <x v="109"/>
    <n v="1688.338"/>
    <n v="35"/>
    <x v="37"/>
    <x v="0"/>
    <x v="0"/>
    <n v="709.10195999999996"/>
    <n v="979.23604"/>
    <n v="0"/>
    <n v="0"/>
    <n v="0"/>
    <x v="659"/>
  </r>
  <r>
    <x v="19"/>
    <x v="188"/>
    <x v="668"/>
    <x v="2"/>
    <x v="5"/>
    <x v="3"/>
    <x v="0"/>
    <x v="5"/>
    <n v="2112"/>
    <x v="205"/>
    <n v="1015.872"/>
    <n v="35"/>
    <x v="1"/>
    <x v="0"/>
    <x v="0"/>
    <n v="426.66623999999996"/>
    <n v="589.20576000000005"/>
    <n v="0"/>
    <n v="0"/>
    <n v="0"/>
    <x v="660"/>
  </r>
  <r>
    <x v="9"/>
    <x v="188"/>
    <x v="669"/>
    <x v="4"/>
    <x v="0"/>
    <x v="0"/>
    <x v="5"/>
    <x v="2"/>
    <n v="4139"/>
    <x v="0"/>
    <n v="4139"/>
    <n v="30"/>
    <x v="9"/>
    <x v="0"/>
    <x v="0"/>
    <n v="1738.3799999999999"/>
    <n v="2400.62"/>
    <n v="0"/>
    <n v="0"/>
    <n v="0"/>
    <x v="661"/>
  </r>
  <r>
    <x v="28"/>
    <x v="188"/>
    <x v="670"/>
    <x v="3"/>
    <x v="3"/>
    <x v="0"/>
    <x v="6"/>
    <x v="11"/>
    <n v="3373"/>
    <x v="206"/>
    <n v="1396.422"/>
    <n v="16"/>
    <x v="28"/>
    <x v="0"/>
    <x v="0"/>
    <n v="586.49724000000003"/>
    <n v="809.92475999999999"/>
    <n v="0"/>
    <n v="0"/>
    <n v="0"/>
    <x v="662"/>
  </r>
  <r>
    <x v="32"/>
    <x v="188"/>
    <x v="671"/>
    <x v="4"/>
    <x v="4"/>
    <x v="0"/>
    <x v="5"/>
    <x v="10"/>
    <n v="2579"/>
    <x v="207"/>
    <n v="2220.5189999999998"/>
    <n v="16"/>
    <x v="33"/>
    <x v="1"/>
    <x v="3"/>
    <n v="932.61797999999987"/>
    <n v="1287.9010199999998"/>
    <n v="150"/>
    <n v="222.05189999999999"/>
    <n v="2220.5189999999998"/>
    <x v="663"/>
  </r>
  <r>
    <x v="22"/>
    <x v="188"/>
    <x v="672"/>
    <x v="2"/>
    <x v="4"/>
    <x v="3"/>
    <x v="1"/>
    <x v="9"/>
    <n v="2261"/>
    <x v="208"/>
    <n v="1664.096"/>
    <n v="24"/>
    <x v="16"/>
    <x v="1"/>
    <x v="4"/>
    <n v="698.92031999999995"/>
    <n v="965.17568000000006"/>
    <n v="150"/>
    <n v="166.40960000000001"/>
    <n v="1664.096"/>
    <x v="664"/>
  </r>
  <r>
    <x v="7"/>
    <x v="189"/>
    <x v="673"/>
    <x v="3"/>
    <x v="5"/>
    <x v="0"/>
    <x v="5"/>
    <x v="1"/>
    <n v="2436"/>
    <x v="0"/>
    <n v="2436"/>
    <n v="11"/>
    <x v="41"/>
    <x v="0"/>
    <x v="0"/>
    <n v="1023.12"/>
    <n v="1412.88"/>
    <n v="0"/>
    <n v="0"/>
    <n v="0"/>
    <x v="665"/>
  </r>
  <r>
    <x v="41"/>
    <x v="189"/>
    <x v="674"/>
    <x v="6"/>
    <x v="2"/>
    <x v="1"/>
    <x v="2"/>
    <x v="4"/>
    <n v="219"/>
    <x v="0"/>
    <n v="219"/>
    <n v="35"/>
    <x v="11"/>
    <x v="0"/>
    <x v="0"/>
    <n v="91.97999999999999"/>
    <n v="127.02000000000001"/>
    <n v="0"/>
    <n v="0"/>
    <n v="0"/>
    <x v="666"/>
  </r>
  <r>
    <x v="10"/>
    <x v="189"/>
    <x v="675"/>
    <x v="3"/>
    <x v="1"/>
    <x v="1"/>
    <x v="5"/>
    <x v="5"/>
    <n v="1438"/>
    <x v="0"/>
    <n v="1438"/>
    <n v="5"/>
    <x v="22"/>
    <x v="0"/>
    <x v="0"/>
    <n v="603.95999999999992"/>
    <n v="834.04000000000008"/>
    <n v="0"/>
    <n v="0"/>
    <n v="0"/>
    <x v="667"/>
  </r>
  <r>
    <x v="17"/>
    <x v="190"/>
    <x v="676"/>
    <x v="2"/>
    <x v="0"/>
    <x v="2"/>
    <x v="4"/>
    <x v="11"/>
    <n v="4348"/>
    <x v="0"/>
    <n v="4348"/>
    <n v="47"/>
    <x v="18"/>
    <x v="0"/>
    <x v="0"/>
    <n v="1826.1599999999999"/>
    <n v="2521.84"/>
    <n v="0"/>
    <n v="0"/>
    <n v="0"/>
    <x v="668"/>
  </r>
  <r>
    <x v="31"/>
    <x v="190"/>
    <x v="677"/>
    <x v="2"/>
    <x v="2"/>
    <x v="2"/>
    <x v="2"/>
    <x v="11"/>
    <n v="468"/>
    <x v="209"/>
    <n v="195.15600000000001"/>
    <n v="4"/>
    <x v="5"/>
    <x v="0"/>
    <x v="0"/>
    <n v="81.965519999999998"/>
    <n v="113.19048000000001"/>
    <n v="0"/>
    <n v="0"/>
    <n v="0"/>
    <x v="669"/>
  </r>
  <r>
    <x v="41"/>
    <x v="190"/>
    <x v="678"/>
    <x v="6"/>
    <x v="2"/>
    <x v="1"/>
    <x v="2"/>
    <x v="10"/>
    <n v="214"/>
    <x v="72"/>
    <n v="198.80600000000001"/>
    <n v="11"/>
    <x v="13"/>
    <x v="0"/>
    <x v="0"/>
    <n v="83.498519999999999"/>
    <n v="115.30748000000001"/>
    <n v="0"/>
    <n v="0"/>
    <n v="0"/>
    <x v="670"/>
  </r>
  <r>
    <x v="5"/>
    <x v="190"/>
    <x v="679"/>
    <x v="0"/>
    <x v="2"/>
    <x v="0"/>
    <x v="2"/>
    <x v="0"/>
    <n v="171"/>
    <x v="0"/>
    <n v="171"/>
    <n v="29"/>
    <x v="20"/>
    <x v="1"/>
    <x v="4"/>
    <n v="71.819999999999993"/>
    <n v="99.18"/>
    <n v="150"/>
    <n v="17.100000000000001"/>
    <n v="171"/>
    <x v="448"/>
  </r>
  <r>
    <x v="27"/>
    <x v="191"/>
    <x v="680"/>
    <x v="7"/>
    <x v="2"/>
    <x v="1"/>
    <x v="2"/>
    <x v="6"/>
    <n v="401"/>
    <x v="0"/>
    <n v="401"/>
    <n v="38"/>
    <x v="37"/>
    <x v="0"/>
    <x v="0"/>
    <n v="168.42"/>
    <n v="232.58"/>
    <n v="0"/>
    <n v="0"/>
    <n v="0"/>
    <x v="671"/>
  </r>
  <r>
    <x v="28"/>
    <x v="191"/>
    <x v="681"/>
    <x v="3"/>
    <x v="3"/>
    <x v="3"/>
    <x v="5"/>
    <x v="6"/>
    <n v="3557"/>
    <x v="0"/>
    <n v="3557"/>
    <n v="8"/>
    <x v="18"/>
    <x v="0"/>
    <x v="0"/>
    <n v="1493.94"/>
    <n v="2063.06"/>
    <n v="0"/>
    <n v="0"/>
    <n v="0"/>
    <x v="672"/>
  </r>
  <r>
    <x v="11"/>
    <x v="191"/>
    <x v="682"/>
    <x v="5"/>
    <x v="4"/>
    <x v="3"/>
    <x v="5"/>
    <x v="4"/>
    <n v="2998"/>
    <x v="0"/>
    <n v="2998"/>
    <n v="18"/>
    <x v="31"/>
    <x v="1"/>
    <x v="4"/>
    <n v="1259.1599999999999"/>
    <n v="1738.8400000000001"/>
    <n v="150"/>
    <n v="299.8"/>
    <n v="2998"/>
    <x v="673"/>
  </r>
  <r>
    <x v="0"/>
    <x v="191"/>
    <x v="683"/>
    <x v="0"/>
    <x v="0"/>
    <x v="0"/>
    <x v="6"/>
    <x v="6"/>
    <n v="3136"/>
    <x v="0"/>
    <n v="3136"/>
    <n v="27"/>
    <x v="2"/>
    <x v="1"/>
    <x v="6"/>
    <n v="1317.12"/>
    <n v="1818.88"/>
    <n v="150"/>
    <n v="313.60000000000002"/>
    <n v="3136"/>
    <x v="674"/>
  </r>
  <r>
    <x v="22"/>
    <x v="192"/>
    <x v="684"/>
    <x v="2"/>
    <x v="4"/>
    <x v="1"/>
    <x v="5"/>
    <x v="0"/>
    <n v="2987"/>
    <x v="0"/>
    <n v="2987"/>
    <n v="13"/>
    <x v="37"/>
    <x v="0"/>
    <x v="0"/>
    <n v="1254.54"/>
    <n v="1732.46"/>
    <n v="0"/>
    <n v="0"/>
    <n v="0"/>
    <x v="675"/>
  </r>
  <r>
    <x v="24"/>
    <x v="192"/>
    <x v="685"/>
    <x v="5"/>
    <x v="5"/>
    <x v="1"/>
    <x v="1"/>
    <x v="1"/>
    <n v="2419"/>
    <x v="0"/>
    <n v="2419"/>
    <n v="17"/>
    <x v="3"/>
    <x v="0"/>
    <x v="0"/>
    <n v="1015.98"/>
    <n v="1403.02"/>
    <n v="0"/>
    <n v="0"/>
    <n v="0"/>
    <x v="676"/>
  </r>
  <r>
    <x v="8"/>
    <x v="192"/>
    <x v="686"/>
    <x v="1"/>
    <x v="0"/>
    <x v="2"/>
    <x v="6"/>
    <x v="10"/>
    <n v="3061"/>
    <x v="210"/>
    <n v="3045.6950000000002"/>
    <n v="28"/>
    <x v="40"/>
    <x v="0"/>
    <x v="0"/>
    <n v="1279.1919"/>
    <n v="1766.5031000000001"/>
    <n v="0"/>
    <n v="0"/>
    <n v="0"/>
    <x v="677"/>
  </r>
  <r>
    <x v="3"/>
    <x v="192"/>
    <x v="687"/>
    <x v="1"/>
    <x v="3"/>
    <x v="3"/>
    <x v="5"/>
    <x v="1"/>
    <n v="4350"/>
    <x v="211"/>
    <n v="3801.9"/>
    <n v="6"/>
    <x v="7"/>
    <x v="1"/>
    <x v="5"/>
    <n v="1596.798"/>
    <n v="2205.1019999999999"/>
    <n v="150"/>
    <n v="380.19000000000005"/>
    <n v="3801.9"/>
    <x v="678"/>
  </r>
  <r>
    <x v="18"/>
    <x v="193"/>
    <x v="688"/>
    <x v="3"/>
    <x v="4"/>
    <x v="3"/>
    <x v="5"/>
    <x v="5"/>
    <n v="2560"/>
    <x v="158"/>
    <n v="2257.92"/>
    <n v="8"/>
    <x v="3"/>
    <x v="0"/>
    <x v="0"/>
    <n v="948.32640000000004"/>
    <n v="1309.5936000000002"/>
    <n v="0"/>
    <n v="0"/>
    <n v="0"/>
    <x v="679"/>
  </r>
  <r>
    <x v="11"/>
    <x v="193"/>
    <x v="689"/>
    <x v="5"/>
    <x v="4"/>
    <x v="0"/>
    <x v="0"/>
    <x v="8"/>
    <n v="2957"/>
    <x v="212"/>
    <n v="1419.36"/>
    <n v="20"/>
    <x v="13"/>
    <x v="0"/>
    <x v="0"/>
    <n v="596.13119999999992"/>
    <n v="823.22879999999998"/>
    <n v="0"/>
    <n v="0"/>
    <n v="0"/>
    <x v="680"/>
  </r>
  <r>
    <x v="35"/>
    <x v="193"/>
    <x v="690"/>
    <x v="4"/>
    <x v="1"/>
    <x v="0"/>
    <x v="0"/>
    <x v="2"/>
    <n v="1078"/>
    <x v="213"/>
    <n v="577.80799999999999"/>
    <n v="50"/>
    <x v="40"/>
    <x v="0"/>
    <x v="0"/>
    <n v="242.67935999999997"/>
    <n v="335.12864000000002"/>
    <n v="0"/>
    <n v="0"/>
    <n v="0"/>
    <x v="681"/>
  </r>
  <r>
    <x v="32"/>
    <x v="194"/>
    <x v="691"/>
    <x v="4"/>
    <x v="4"/>
    <x v="2"/>
    <x v="5"/>
    <x v="3"/>
    <n v="2484"/>
    <x v="0"/>
    <n v="2484"/>
    <n v="16"/>
    <x v="3"/>
    <x v="0"/>
    <x v="0"/>
    <n v="1043.28"/>
    <n v="1440.72"/>
    <n v="0"/>
    <n v="0"/>
    <n v="0"/>
    <x v="682"/>
  </r>
  <r>
    <x v="15"/>
    <x v="194"/>
    <x v="692"/>
    <x v="5"/>
    <x v="1"/>
    <x v="2"/>
    <x v="4"/>
    <x v="10"/>
    <n v="982"/>
    <x v="214"/>
    <n v="536.17200000000003"/>
    <n v="46"/>
    <x v="1"/>
    <x v="0"/>
    <x v="0"/>
    <n v="225.19224"/>
    <n v="310.97976000000006"/>
    <n v="0"/>
    <n v="0"/>
    <n v="0"/>
    <x v="683"/>
  </r>
  <r>
    <x v="6"/>
    <x v="194"/>
    <x v="693"/>
    <x v="0"/>
    <x v="4"/>
    <x v="2"/>
    <x v="3"/>
    <x v="6"/>
    <n v="2654"/>
    <x v="0"/>
    <n v="2654"/>
    <n v="43"/>
    <x v="1"/>
    <x v="0"/>
    <x v="0"/>
    <n v="1114.68"/>
    <n v="1539.32"/>
    <n v="0"/>
    <n v="0"/>
    <n v="0"/>
    <x v="684"/>
  </r>
  <r>
    <x v="35"/>
    <x v="194"/>
    <x v="694"/>
    <x v="4"/>
    <x v="1"/>
    <x v="3"/>
    <x v="2"/>
    <x v="8"/>
    <n v="1175"/>
    <x v="0"/>
    <n v="1175"/>
    <n v="27"/>
    <x v="22"/>
    <x v="0"/>
    <x v="0"/>
    <n v="493.5"/>
    <n v="681.5"/>
    <n v="0"/>
    <n v="0"/>
    <n v="0"/>
    <x v="685"/>
  </r>
  <r>
    <x v="3"/>
    <x v="195"/>
    <x v="695"/>
    <x v="1"/>
    <x v="3"/>
    <x v="0"/>
    <x v="6"/>
    <x v="10"/>
    <n v="3295"/>
    <x v="0"/>
    <n v="3295"/>
    <n v="12"/>
    <x v="13"/>
    <x v="0"/>
    <x v="0"/>
    <n v="1383.8999999999999"/>
    <n v="1911.1000000000001"/>
    <n v="0"/>
    <n v="0"/>
    <n v="0"/>
    <x v="686"/>
  </r>
  <r>
    <x v="28"/>
    <x v="195"/>
    <x v="696"/>
    <x v="3"/>
    <x v="3"/>
    <x v="1"/>
    <x v="3"/>
    <x v="2"/>
    <n v="3648"/>
    <x v="34"/>
    <n v="2827.2000000000003"/>
    <n v="42"/>
    <x v="24"/>
    <x v="0"/>
    <x v="0"/>
    <n v="1187.424"/>
    <n v="1639.7760000000003"/>
    <n v="0"/>
    <n v="0"/>
    <n v="0"/>
    <x v="687"/>
  </r>
  <r>
    <x v="10"/>
    <x v="195"/>
    <x v="697"/>
    <x v="3"/>
    <x v="1"/>
    <x v="1"/>
    <x v="3"/>
    <x v="1"/>
    <n v="1073"/>
    <x v="0"/>
    <n v="1073"/>
    <n v="18"/>
    <x v="31"/>
    <x v="0"/>
    <x v="0"/>
    <n v="450.65999999999997"/>
    <n v="622.34"/>
    <n v="0"/>
    <n v="0"/>
    <n v="0"/>
    <x v="688"/>
  </r>
  <r>
    <x v="2"/>
    <x v="195"/>
    <x v="698"/>
    <x v="1"/>
    <x v="2"/>
    <x v="2"/>
    <x v="2"/>
    <x v="0"/>
    <n v="460"/>
    <x v="0"/>
    <n v="460"/>
    <n v="39"/>
    <x v="3"/>
    <x v="0"/>
    <x v="0"/>
    <n v="193.2"/>
    <n v="266.8"/>
    <n v="0"/>
    <n v="0"/>
    <n v="0"/>
    <x v="689"/>
  </r>
  <r>
    <x v="35"/>
    <x v="196"/>
    <x v="699"/>
    <x v="4"/>
    <x v="1"/>
    <x v="1"/>
    <x v="1"/>
    <x v="8"/>
    <n v="1756"/>
    <x v="0"/>
    <n v="1756"/>
    <n v="31"/>
    <x v="16"/>
    <x v="1"/>
    <x v="2"/>
    <n v="737.52"/>
    <n v="1018.48"/>
    <n v="150"/>
    <n v="175.60000000000002"/>
    <n v="1756"/>
    <x v="690"/>
  </r>
  <r>
    <x v="32"/>
    <x v="196"/>
    <x v="700"/>
    <x v="4"/>
    <x v="4"/>
    <x v="0"/>
    <x v="5"/>
    <x v="11"/>
    <n v="2889"/>
    <x v="0"/>
    <n v="2889"/>
    <n v="5"/>
    <x v="10"/>
    <x v="1"/>
    <x v="3"/>
    <n v="1213.3799999999999"/>
    <n v="1675.6200000000001"/>
    <n v="150"/>
    <n v="288.90000000000003"/>
    <n v="2889"/>
    <x v="691"/>
  </r>
  <r>
    <x v="47"/>
    <x v="196"/>
    <x v="701"/>
    <x v="4"/>
    <x v="2"/>
    <x v="3"/>
    <x v="2"/>
    <x v="4"/>
    <n v="296"/>
    <x v="0"/>
    <n v="296"/>
    <n v="1"/>
    <x v="25"/>
    <x v="1"/>
    <x v="3"/>
    <n v="124.32"/>
    <n v="171.68"/>
    <n v="150"/>
    <n v="29.6"/>
    <n v="296"/>
    <x v="692"/>
  </r>
  <r>
    <x v="13"/>
    <x v="196"/>
    <x v="702"/>
    <x v="3"/>
    <x v="2"/>
    <x v="0"/>
    <x v="2"/>
    <x v="2"/>
    <n v="442"/>
    <x v="215"/>
    <n v="287.74200000000002"/>
    <n v="11"/>
    <x v="3"/>
    <x v="1"/>
    <x v="4"/>
    <n v="120.85164"/>
    <n v="166.89036000000002"/>
    <n v="150"/>
    <n v="28.774200000000004"/>
    <n v="287.74200000000002"/>
    <x v="693"/>
  </r>
  <r>
    <x v="20"/>
    <x v="197"/>
    <x v="703"/>
    <x v="7"/>
    <x v="1"/>
    <x v="3"/>
    <x v="2"/>
    <x v="0"/>
    <n v="1743"/>
    <x v="0"/>
    <n v="1743"/>
    <n v="20"/>
    <x v="0"/>
    <x v="1"/>
    <x v="3"/>
    <n v="732.06"/>
    <n v="1010.94"/>
    <n v="150"/>
    <n v="174.3"/>
    <n v="1743"/>
    <x v="694"/>
  </r>
  <r>
    <x v="11"/>
    <x v="197"/>
    <x v="704"/>
    <x v="5"/>
    <x v="4"/>
    <x v="0"/>
    <x v="2"/>
    <x v="9"/>
    <n v="2656"/>
    <x v="0"/>
    <n v="2656"/>
    <n v="35"/>
    <x v="22"/>
    <x v="1"/>
    <x v="3"/>
    <n v="1115.52"/>
    <n v="1540.48"/>
    <n v="150"/>
    <n v="265.60000000000002"/>
    <n v="2656"/>
    <x v="695"/>
  </r>
  <r>
    <x v="18"/>
    <x v="197"/>
    <x v="705"/>
    <x v="3"/>
    <x v="4"/>
    <x v="3"/>
    <x v="4"/>
    <x v="11"/>
    <n v="2205"/>
    <x v="0"/>
    <n v="2205"/>
    <n v="28"/>
    <x v="17"/>
    <x v="0"/>
    <x v="0"/>
    <n v="926.09999999999991"/>
    <n v="1278.9000000000001"/>
    <n v="0"/>
    <n v="0"/>
    <n v="0"/>
    <x v="696"/>
  </r>
  <r>
    <x v="2"/>
    <x v="197"/>
    <x v="706"/>
    <x v="1"/>
    <x v="2"/>
    <x v="1"/>
    <x v="2"/>
    <x v="5"/>
    <n v="476"/>
    <x v="216"/>
    <n v="438.39600000000002"/>
    <n v="43"/>
    <x v="36"/>
    <x v="1"/>
    <x v="3"/>
    <n v="184.12631999999999"/>
    <n v="254.26968000000002"/>
    <n v="150"/>
    <n v="43.839600000000004"/>
    <n v="438.39600000000002"/>
    <x v="697"/>
  </r>
  <r>
    <x v="7"/>
    <x v="198"/>
    <x v="707"/>
    <x v="3"/>
    <x v="5"/>
    <x v="3"/>
    <x v="5"/>
    <x v="9"/>
    <n v="2696"/>
    <x v="0"/>
    <n v="2696"/>
    <n v="24"/>
    <x v="28"/>
    <x v="0"/>
    <x v="0"/>
    <n v="1132.32"/>
    <n v="1563.68"/>
    <n v="0"/>
    <n v="0"/>
    <n v="0"/>
    <x v="541"/>
  </r>
  <r>
    <x v="30"/>
    <x v="198"/>
    <x v="708"/>
    <x v="7"/>
    <x v="4"/>
    <x v="3"/>
    <x v="6"/>
    <x v="10"/>
    <n v="2462"/>
    <x v="1"/>
    <n v="1590.452"/>
    <n v="17"/>
    <x v="3"/>
    <x v="0"/>
    <x v="0"/>
    <n v="667.98983999999996"/>
    <n v="922.46216000000004"/>
    <n v="0"/>
    <n v="0"/>
    <n v="0"/>
    <x v="698"/>
  </r>
  <r>
    <x v="38"/>
    <x v="198"/>
    <x v="709"/>
    <x v="0"/>
    <x v="1"/>
    <x v="2"/>
    <x v="6"/>
    <x v="7"/>
    <n v="1611"/>
    <x v="217"/>
    <n v="1293.633"/>
    <n v="39"/>
    <x v="33"/>
    <x v="0"/>
    <x v="0"/>
    <n v="543.32586000000003"/>
    <n v="750.30714"/>
    <n v="0"/>
    <n v="0"/>
    <n v="0"/>
    <x v="699"/>
  </r>
  <r>
    <x v="29"/>
    <x v="199"/>
    <x v="710"/>
    <x v="5"/>
    <x v="2"/>
    <x v="0"/>
    <x v="2"/>
    <x v="2"/>
    <n v="351"/>
    <x v="214"/>
    <n v="191.64600000000002"/>
    <n v="46"/>
    <x v="3"/>
    <x v="0"/>
    <x v="0"/>
    <n v="80.491320000000002"/>
    <n v="111.15468000000001"/>
    <n v="0"/>
    <n v="0"/>
    <n v="0"/>
    <x v="700"/>
  </r>
  <r>
    <x v="17"/>
    <x v="199"/>
    <x v="711"/>
    <x v="2"/>
    <x v="0"/>
    <x v="3"/>
    <x v="1"/>
    <x v="10"/>
    <n v="3652"/>
    <x v="0"/>
    <n v="3652"/>
    <n v="41"/>
    <x v="40"/>
    <x v="1"/>
    <x v="3"/>
    <n v="1533.84"/>
    <n v="2118.16"/>
    <n v="150"/>
    <n v="365.20000000000005"/>
    <n v="3652"/>
    <x v="701"/>
  </r>
  <r>
    <x v="4"/>
    <x v="199"/>
    <x v="712"/>
    <x v="2"/>
    <x v="1"/>
    <x v="3"/>
    <x v="4"/>
    <x v="10"/>
    <n v="1769"/>
    <x v="218"/>
    <n v="1135.6980000000001"/>
    <n v="2"/>
    <x v="18"/>
    <x v="0"/>
    <x v="0"/>
    <n v="476.99316000000005"/>
    <n v="658.7048400000001"/>
    <n v="0"/>
    <n v="0"/>
    <n v="0"/>
    <x v="702"/>
  </r>
  <r>
    <x v="11"/>
    <x v="199"/>
    <x v="713"/>
    <x v="5"/>
    <x v="4"/>
    <x v="0"/>
    <x v="3"/>
    <x v="9"/>
    <n v="2027"/>
    <x v="0"/>
    <n v="2027"/>
    <n v="27"/>
    <x v="25"/>
    <x v="0"/>
    <x v="0"/>
    <n v="851.33999999999992"/>
    <n v="1175.6600000000001"/>
    <n v="0"/>
    <n v="0"/>
    <n v="0"/>
    <x v="703"/>
  </r>
  <r>
    <x v="0"/>
    <x v="200"/>
    <x v="714"/>
    <x v="0"/>
    <x v="0"/>
    <x v="2"/>
    <x v="4"/>
    <x v="6"/>
    <n v="3768"/>
    <x v="0"/>
    <n v="3768"/>
    <n v="27"/>
    <x v="32"/>
    <x v="1"/>
    <x v="3"/>
    <n v="1582.56"/>
    <n v="2185.44"/>
    <n v="150"/>
    <n v="376.8"/>
    <n v="3768"/>
    <x v="704"/>
  </r>
  <r>
    <x v="12"/>
    <x v="200"/>
    <x v="715"/>
    <x v="1"/>
    <x v="5"/>
    <x v="1"/>
    <x v="0"/>
    <x v="4"/>
    <n v="1930"/>
    <x v="136"/>
    <n v="1393.46"/>
    <n v="0"/>
    <x v="11"/>
    <x v="0"/>
    <x v="0"/>
    <n v="585.25319999999999"/>
    <n v="808.20680000000004"/>
    <n v="0"/>
    <n v="0"/>
    <n v="0"/>
    <x v="705"/>
  </r>
  <r>
    <x v="33"/>
    <x v="200"/>
    <x v="716"/>
    <x v="7"/>
    <x v="0"/>
    <x v="2"/>
    <x v="1"/>
    <x v="1"/>
    <n v="3516"/>
    <x v="0"/>
    <n v="3516"/>
    <n v="19"/>
    <x v="17"/>
    <x v="1"/>
    <x v="5"/>
    <n v="1476.72"/>
    <n v="2039.28"/>
    <n v="150"/>
    <n v="351.6"/>
    <n v="3516"/>
    <x v="706"/>
  </r>
  <r>
    <x v="17"/>
    <x v="200"/>
    <x v="717"/>
    <x v="2"/>
    <x v="0"/>
    <x v="1"/>
    <x v="2"/>
    <x v="6"/>
    <n v="4495"/>
    <x v="219"/>
    <n v="2530.6849999999999"/>
    <n v="30"/>
    <x v="37"/>
    <x v="0"/>
    <x v="0"/>
    <n v="1062.8877"/>
    <n v="1467.7973"/>
    <n v="0"/>
    <n v="0"/>
    <n v="0"/>
    <x v="707"/>
  </r>
  <r>
    <x v="8"/>
    <x v="200"/>
    <x v="718"/>
    <x v="1"/>
    <x v="0"/>
    <x v="3"/>
    <x v="0"/>
    <x v="6"/>
    <n v="4204"/>
    <x v="220"/>
    <n v="2535.0119999999997"/>
    <n v="20"/>
    <x v="11"/>
    <x v="0"/>
    <x v="0"/>
    <n v="1064.7050399999998"/>
    <n v="1470.3069599999999"/>
    <n v="0"/>
    <n v="0"/>
    <n v="0"/>
    <x v="708"/>
  </r>
  <r>
    <x v="1"/>
    <x v="201"/>
    <x v="719"/>
    <x v="1"/>
    <x v="1"/>
    <x v="2"/>
    <x v="0"/>
    <x v="5"/>
    <n v="1319"/>
    <x v="0"/>
    <n v="1319"/>
    <n v="28"/>
    <x v="3"/>
    <x v="1"/>
    <x v="3"/>
    <n v="553.98"/>
    <n v="765.02"/>
    <n v="150"/>
    <n v="131.9"/>
    <n v="1319"/>
    <x v="709"/>
  </r>
  <r>
    <x v="1"/>
    <x v="201"/>
    <x v="720"/>
    <x v="1"/>
    <x v="1"/>
    <x v="3"/>
    <x v="1"/>
    <x v="4"/>
    <n v="1131"/>
    <x v="0"/>
    <n v="1131"/>
    <n v="21"/>
    <x v="3"/>
    <x v="0"/>
    <x v="0"/>
    <n v="475.02"/>
    <n v="655.98"/>
    <n v="0"/>
    <n v="0"/>
    <n v="0"/>
    <x v="710"/>
  </r>
  <r>
    <x v="14"/>
    <x v="201"/>
    <x v="721"/>
    <x v="6"/>
    <x v="3"/>
    <x v="0"/>
    <x v="3"/>
    <x v="1"/>
    <n v="3903"/>
    <x v="221"/>
    <n v="1760.2530000000002"/>
    <n v="44"/>
    <x v="41"/>
    <x v="0"/>
    <x v="0"/>
    <n v="739.30626000000007"/>
    <n v="1020.9467400000001"/>
    <n v="0"/>
    <n v="0"/>
    <n v="0"/>
    <x v="711"/>
  </r>
  <r>
    <x v="5"/>
    <x v="202"/>
    <x v="722"/>
    <x v="0"/>
    <x v="2"/>
    <x v="2"/>
    <x v="2"/>
    <x v="5"/>
    <n v="216"/>
    <x v="0"/>
    <n v="216"/>
    <n v="49"/>
    <x v="27"/>
    <x v="1"/>
    <x v="5"/>
    <n v="90.72"/>
    <n v="125.28"/>
    <n v="150"/>
    <n v="21.6"/>
    <n v="216"/>
    <x v="264"/>
  </r>
  <r>
    <x v="10"/>
    <x v="202"/>
    <x v="723"/>
    <x v="3"/>
    <x v="1"/>
    <x v="2"/>
    <x v="1"/>
    <x v="1"/>
    <n v="1429"/>
    <x v="0"/>
    <n v="1429"/>
    <n v="38"/>
    <x v="16"/>
    <x v="1"/>
    <x v="3"/>
    <n v="600.17999999999995"/>
    <n v="828.82"/>
    <n v="150"/>
    <n v="142.9"/>
    <n v="1429"/>
    <x v="712"/>
  </r>
  <r>
    <x v="12"/>
    <x v="202"/>
    <x v="724"/>
    <x v="1"/>
    <x v="5"/>
    <x v="0"/>
    <x v="3"/>
    <x v="0"/>
    <n v="2435"/>
    <x v="0"/>
    <n v="2435"/>
    <n v="48"/>
    <x v="19"/>
    <x v="0"/>
    <x v="0"/>
    <n v="1022.6999999999999"/>
    <n v="1412.3000000000002"/>
    <n v="0"/>
    <n v="0"/>
    <n v="0"/>
    <x v="713"/>
  </r>
  <r>
    <x v="8"/>
    <x v="203"/>
    <x v="725"/>
    <x v="1"/>
    <x v="0"/>
    <x v="0"/>
    <x v="5"/>
    <x v="11"/>
    <n v="3093"/>
    <x v="0"/>
    <n v="3093"/>
    <n v="42"/>
    <x v="1"/>
    <x v="0"/>
    <x v="0"/>
    <n v="1299.06"/>
    <n v="1793.94"/>
    <n v="0"/>
    <n v="0"/>
    <n v="0"/>
    <x v="714"/>
  </r>
  <r>
    <x v="45"/>
    <x v="203"/>
    <x v="726"/>
    <x v="7"/>
    <x v="3"/>
    <x v="3"/>
    <x v="3"/>
    <x v="6"/>
    <n v="4233"/>
    <x v="222"/>
    <n v="1820.1900000000003"/>
    <n v="46"/>
    <x v="3"/>
    <x v="1"/>
    <x v="3"/>
    <n v="764.47980000000007"/>
    <n v="1055.7102000000002"/>
    <n v="150"/>
    <n v="182.01900000000003"/>
    <n v="1820.1900000000003"/>
    <x v="715"/>
  </r>
  <r>
    <x v="23"/>
    <x v="203"/>
    <x v="727"/>
    <x v="6"/>
    <x v="4"/>
    <x v="1"/>
    <x v="3"/>
    <x v="7"/>
    <n v="2476"/>
    <x v="0"/>
    <n v="2476"/>
    <n v="32"/>
    <x v="3"/>
    <x v="1"/>
    <x v="7"/>
    <n v="1039.92"/>
    <n v="1436.08"/>
    <n v="150"/>
    <n v="247.60000000000002"/>
    <n v="2476"/>
    <x v="716"/>
  </r>
  <r>
    <x v="5"/>
    <x v="203"/>
    <x v="728"/>
    <x v="0"/>
    <x v="2"/>
    <x v="2"/>
    <x v="2"/>
    <x v="9"/>
    <n v="374"/>
    <x v="0"/>
    <n v="374"/>
    <n v="36"/>
    <x v="14"/>
    <x v="1"/>
    <x v="4"/>
    <n v="157.07999999999998"/>
    <n v="216.92000000000002"/>
    <n v="150"/>
    <n v="37.4"/>
    <n v="374"/>
    <x v="717"/>
  </r>
  <r>
    <x v="18"/>
    <x v="204"/>
    <x v="729"/>
    <x v="3"/>
    <x v="4"/>
    <x v="2"/>
    <x v="3"/>
    <x v="0"/>
    <n v="2619"/>
    <x v="0"/>
    <n v="2619"/>
    <n v="38"/>
    <x v="40"/>
    <x v="0"/>
    <x v="0"/>
    <n v="1099.98"/>
    <n v="1519.02"/>
    <n v="0"/>
    <n v="0"/>
    <n v="0"/>
    <x v="718"/>
  </r>
  <r>
    <x v="19"/>
    <x v="204"/>
    <x v="730"/>
    <x v="2"/>
    <x v="5"/>
    <x v="1"/>
    <x v="2"/>
    <x v="3"/>
    <n v="2096"/>
    <x v="0"/>
    <n v="2096"/>
    <n v="42"/>
    <x v="7"/>
    <x v="0"/>
    <x v="0"/>
    <n v="880.31999999999994"/>
    <n v="1215.68"/>
    <n v="0"/>
    <n v="0"/>
    <n v="0"/>
    <x v="719"/>
  </r>
  <r>
    <x v="7"/>
    <x v="204"/>
    <x v="731"/>
    <x v="3"/>
    <x v="5"/>
    <x v="3"/>
    <x v="0"/>
    <x v="7"/>
    <n v="2302"/>
    <x v="0"/>
    <n v="2302"/>
    <n v="37"/>
    <x v="8"/>
    <x v="0"/>
    <x v="0"/>
    <n v="966.83999999999992"/>
    <n v="1335.16"/>
    <n v="0"/>
    <n v="0"/>
    <n v="0"/>
    <x v="720"/>
  </r>
  <r>
    <x v="32"/>
    <x v="204"/>
    <x v="732"/>
    <x v="4"/>
    <x v="4"/>
    <x v="3"/>
    <x v="6"/>
    <x v="1"/>
    <n v="2358"/>
    <x v="0"/>
    <n v="2358"/>
    <n v="13"/>
    <x v="6"/>
    <x v="0"/>
    <x v="0"/>
    <n v="990.36"/>
    <n v="1367.6399999999999"/>
    <n v="0"/>
    <n v="0"/>
    <n v="0"/>
    <x v="721"/>
  </r>
  <r>
    <x v="3"/>
    <x v="205"/>
    <x v="733"/>
    <x v="1"/>
    <x v="3"/>
    <x v="3"/>
    <x v="5"/>
    <x v="2"/>
    <n v="4198"/>
    <x v="223"/>
    <n v="3538.9139999999998"/>
    <n v="43"/>
    <x v="3"/>
    <x v="0"/>
    <x v="0"/>
    <n v="1486.3438799999999"/>
    <n v="2052.5701199999999"/>
    <n v="0"/>
    <n v="0"/>
    <n v="0"/>
    <x v="722"/>
  </r>
  <r>
    <x v="27"/>
    <x v="205"/>
    <x v="734"/>
    <x v="7"/>
    <x v="2"/>
    <x v="2"/>
    <x v="2"/>
    <x v="9"/>
    <n v="222"/>
    <x v="0"/>
    <n v="222"/>
    <n v="42"/>
    <x v="36"/>
    <x v="0"/>
    <x v="0"/>
    <n v="93.24"/>
    <n v="128.76"/>
    <n v="0"/>
    <n v="0"/>
    <n v="0"/>
    <x v="723"/>
  </r>
  <r>
    <x v="41"/>
    <x v="205"/>
    <x v="735"/>
    <x v="6"/>
    <x v="2"/>
    <x v="0"/>
    <x v="2"/>
    <x v="0"/>
    <n v="437"/>
    <x v="0"/>
    <n v="437"/>
    <n v="26"/>
    <x v="16"/>
    <x v="0"/>
    <x v="0"/>
    <n v="183.54"/>
    <n v="253.46"/>
    <n v="0"/>
    <n v="0"/>
    <n v="0"/>
    <x v="724"/>
  </r>
  <r>
    <x v="22"/>
    <x v="205"/>
    <x v="736"/>
    <x v="2"/>
    <x v="4"/>
    <x v="2"/>
    <x v="4"/>
    <x v="9"/>
    <n v="2515"/>
    <x v="0"/>
    <n v="2515"/>
    <n v="15"/>
    <x v="9"/>
    <x v="1"/>
    <x v="3"/>
    <n v="1056.3"/>
    <n v="1458.7"/>
    <n v="150"/>
    <n v="251.5"/>
    <n v="2515"/>
    <x v="725"/>
  </r>
  <r>
    <x v="39"/>
    <x v="205"/>
    <x v="737"/>
    <x v="7"/>
    <x v="5"/>
    <x v="2"/>
    <x v="4"/>
    <x v="11"/>
    <n v="2870"/>
    <x v="224"/>
    <n v="1851.15"/>
    <n v="15"/>
    <x v="32"/>
    <x v="0"/>
    <x v="0"/>
    <n v="777.48300000000006"/>
    <n v="1073.6669999999999"/>
    <n v="0"/>
    <n v="0"/>
    <n v="0"/>
    <x v="726"/>
  </r>
  <r>
    <x v="11"/>
    <x v="206"/>
    <x v="738"/>
    <x v="5"/>
    <x v="4"/>
    <x v="2"/>
    <x v="4"/>
    <x v="11"/>
    <n v="2428"/>
    <x v="0"/>
    <n v="2428"/>
    <n v="32"/>
    <x v="36"/>
    <x v="0"/>
    <x v="0"/>
    <n v="1019.76"/>
    <n v="1408.24"/>
    <n v="0"/>
    <n v="0"/>
    <n v="0"/>
    <x v="727"/>
  </r>
  <r>
    <x v="38"/>
    <x v="206"/>
    <x v="739"/>
    <x v="0"/>
    <x v="1"/>
    <x v="0"/>
    <x v="0"/>
    <x v="0"/>
    <n v="1769"/>
    <x v="0"/>
    <n v="1769"/>
    <n v="33"/>
    <x v="28"/>
    <x v="0"/>
    <x v="0"/>
    <n v="742.98"/>
    <n v="1026.02"/>
    <n v="0"/>
    <n v="0"/>
    <n v="0"/>
    <x v="728"/>
  </r>
  <r>
    <x v="12"/>
    <x v="206"/>
    <x v="740"/>
    <x v="1"/>
    <x v="5"/>
    <x v="3"/>
    <x v="0"/>
    <x v="1"/>
    <n v="2366"/>
    <x v="0"/>
    <n v="2366"/>
    <n v="34"/>
    <x v="0"/>
    <x v="0"/>
    <x v="0"/>
    <n v="993.71999999999991"/>
    <n v="1372.2800000000002"/>
    <n v="0"/>
    <n v="0"/>
    <n v="0"/>
    <x v="729"/>
  </r>
  <r>
    <x v="7"/>
    <x v="207"/>
    <x v="741"/>
    <x v="3"/>
    <x v="5"/>
    <x v="1"/>
    <x v="3"/>
    <x v="10"/>
    <n v="2258"/>
    <x v="7"/>
    <n v="1765.7560000000001"/>
    <n v="41"/>
    <x v="38"/>
    <x v="0"/>
    <x v="0"/>
    <n v="741.61752000000001"/>
    <n v="1024.1384800000001"/>
    <n v="0"/>
    <n v="0"/>
    <n v="0"/>
    <x v="730"/>
  </r>
  <r>
    <x v="20"/>
    <x v="207"/>
    <x v="742"/>
    <x v="7"/>
    <x v="1"/>
    <x v="3"/>
    <x v="3"/>
    <x v="1"/>
    <n v="1162"/>
    <x v="9"/>
    <n v="766.92"/>
    <n v="10"/>
    <x v="3"/>
    <x v="1"/>
    <x v="3"/>
    <n v="322.10639999999995"/>
    <n v="444.81360000000001"/>
    <n v="150"/>
    <n v="76.691999999999993"/>
    <n v="766.92"/>
    <x v="731"/>
  </r>
  <r>
    <x v="35"/>
    <x v="207"/>
    <x v="743"/>
    <x v="4"/>
    <x v="1"/>
    <x v="1"/>
    <x v="1"/>
    <x v="7"/>
    <n v="1227"/>
    <x v="225"/>
    <n v="1153.3799999999999"/>
    <n v="15"/>
    <x v="3"/>
    <x v="0"/>
    <x v="0"/>
    <n v="484.41959999999995"/>
    <n v="668.96039999999994"/>
    <n v="0"/>
    <n v="0"/>
    <n v="0"/>
    <x v="732"/>
  </r>
  <r>
    <x v="15"/>
    <x v="207"/>
    <x v="744"/>
    <x v="5"/>
    <x v="1"/>
    <x v="2"/>
    <x v="2"/>
    <x v="9"/>
    <n v="1110"/>
    <x v="0"/>
    <n v="1110"/>
    <n v="16"/>
    <x v="3"/>
    <x v="1"/>
    <x v="7"/>
    <n v="466.2"/>
    <n v="643.79999999999995"/>
    <n v="150"/>
    <n v="111"/>
    <n v="1110"/>
    <x v="733"/>
  </r>
  <r>
    <x v="27"/>
    <x v="207"/>
    <x v="745"/>
    <x v="7"/>
    <x v="2"/>
    <x v="0"/>
    <x v="2"/>
    <x v="0"/>
    <n v="340"/>
    <x v="0"/>
    <n v="340"/>
    <n v="9"/>
    <x v="9"/>
    <x v="0"/>
    <x v="0"/>
    <n v="142.79999999999998"/>
    <n v="197.20000000000002"/>
    <n v="0"/>
    <n v="0"/>
    <n v="0"/>
    <x v="734"/>
  </r>
  <r>
    <x v="40"/>
    <x v="208"/>
    <x v="746"/>
    <x v="5"/>
    <x v="0"/>
    <x v="1"/>
    <x v="4"/>
    <x v="4"/>
    <n v="3684"/>
    <x v="103"/>
    <n v="2836.6800000000003"/>
    <n v="38"/>
    <x v="3"/>
    <x v="0"/>
    <x v="0"/>
    <n v="1191.4056"/>
    <n v="1645.2744000000002"/>
    <n v="0"/>
    <n v="0"/>
    <n v="0"/>
    <x v="735"/>
  </r>
  <r>
    <x v="27"/>
    <x v="208"/>
    <x v="747"/>
    <x v="7"/>
    <x v="2"/>
    <x v="1"/>
    <x v="2"/>
    <x v="10"/>
    <n v="255"/>
    <x v="0"/>
    <n v="255"/>
    <n v="50"/>
    <x v="21"/>
    <x v="0"/>
    <x v="0"/>
    <n v="107.1"/>
    <n v="147.9"/>
    <n v="0"/>
    <n v="0"/>
    <n v="0"/>
    <x v="736"/>
  </r>
  <r>
    <x v="30"/>
    <x v="208"/>
    <x v="748"/>
    <x v="7"/>
    <x v="4"/>
    <x v="3"/>
    <x v="1"/>
    <x v="0"/>
    <n v="2619"/>
    <x v="226"/>
    <n v="2367.576"/>
    <n v="20"/>
    <x v="8"/>
    <x v="1"/>
    <x v="3"/>
    <n v="994.38191999999992"/>
    <n v="1373.1940800000002"/>
    <n v="150"/>
    <n v="236.75760000000002"/>
    <n v="2367.576"/>
    <x v="737"/>
  </r>
  <r>
    <x v="27"/>
    <x v="208"/>
    <x v="749"/>
    <x v="7"/>
    <x v="2"/>
    <x v="2"/>
    <x v="2"/>
    <x v="7"/>
    <n v="383"/>
    <x v="0"/>
    <n v="383"/>
    <n v="33"/>
    <x v="11"/>
    <x v="0"/>
    <x v="0"/>
    <n v="160.85999999999999"/>
    <n v="222.14000000000001"/>
    <n v="0"/>
    <n v="0"/>
    <n v="0"/>
    <x v="738"/>
  </r>
  <r>
    <x v="19"/>
    <x v="209"/>
    <x v="750"/>
    <x v="2"/>
    <x v="5"/>
    <x v="1"/>
    <x v="0"/>
    <x v="6"/>
    <n v="2844"/>
    <x v="0"/>
    <n v="2844"/>
    <n v="18"/>
    <x v="3"/>
    <x v="0"/>
    <x v="0"/>
    <n v="1194.48"/>
    <n v="1649.52"/>
    <n v="0"/>
    <n v="0"/>
    <n v="0"/>
    <x v="739"/>
  </r>
  <r>
    <x v="9"/>
    <x v="209"/>
    <x v="751"/>
    <x v="4"/>
    <x v="0"/>
    <x v="0"/>
    <x v="4"/>
    <x v="7"/>
    <n v="3752"/>
    <x v="0"/>
    <n v="3752"/>
    <n v="25"/>
    <x v="3"/>
    <x v="0"/>
    <x v="0"/>
    <n v="1575.84"/>
    <n v="2176.16"/>
    <n v="0"/>
    <n v="0"/>
    <n v="0"/>
    <x v="740"/>
  </r>
  <r>
    <x v="2"/>
    <x v="209"/>
    <x v="752"/>
    <x v="1"/>
    <x v="2"/>
    <x v="3"/>
    <x v="2"/>
    <x v="8"/>
    <n v="443"/>
    <x v="0"/>
    <n v="443"/>
    <n v="34"/>
    <x v="2"/>
    <x v="0"/>
    <x v="0"/>
    <n v="186.06"/>
    <n v="256.94"/>
    <n v="0"/>
    <n v="0"/>
    <n v="0"/>
    <x v="741"/>
  </r>
  <r>
    <x v="8"/>
    <x v="210"/>
    <x v="753"/>
    <x v="1"/>
    <x v="0"/>
    <x v="0"/>
    <x v="5"/>
    <x v="11"/>
    <n v="3232"/>
    <x v="0"/>
    <n v="3232"/>
    <n v="1"/>
    <x v="18"/>
    <x v="0"/>
    <x v="0"/>
    <n v="1357.44"/>
    <n v="1874.56"/>
    <n v="0"/>
    <n v="0"/>
    <n v="0"/>
    <x v="742"/>
  </r>
  <r>
    <x v="29"/>
    <x v="210"/>
    <x v="754"/>
    <x v="5"/>
    <x v="2"/>
    <x v="3"/>
    <x v="2"/>
    <x v="9"/>
    <n v="485"/>
    <x v="0"/>
    <n v="485"/>
    <n v="44"/>
    <x v="27"/>
    <x v="1"/>
    <x v="7"/>
    <n v="203.7"/>
    <n v="281.3"/>
    <n v="150"/>
    <n v="48.5"/>
    <n v="485"/>
    <x v="743"/>
  </r>
  <r>
    <x v="8"/>
    <x v="210"/>
    <x v="755"/>
    <x v="1"/>
    <x v="0"/>
    <x v="1"/>
    <x v="0"/>
    <x v="8"/>
    <n v="3651"/>
    <x v="0"/>
    <n v="3651"/>
    <n v="32"/>
    <x v="21"/>
    <x v="0"/>
    <x v="0"/>
    <n v="1533.4199999999998"/>
    <n v="2117.58"/>
    <n v="0"/>
    <n v="0"/>
    <n v="0"/>
    <x v="744"/>
  </r>
  <r>
    <x v="31"/>
    <x v="210"/>
    <x v="756"/>
    <x v="2"/>
    <x v="2"/>
    <x v="1"/>
    <x v="2"/>
    <x v="7"/>
    <n v="229"/>
    <x v="0"/>
    <n v="229"/>
    <n v="33"/>
    <x v="3"/>
    <x v="0"/>
    <x v="0"/>
    <n v="96.179999999999993"/>
    <n v="132.82"/>
    <n v="0"/>
    <n v="0"/>
    <n v="0"/>
    <x v="745"/>
  </r>
  <r>
    <x v="43"/>
    <x v="211"/>
    <x v="757"/>
    <x v="4"/>
    <x v="5"/>
    <x v="0"/>
    <x v="1"/>
    <x v="4"/>
    <n v="2152"/>
    <x v="0"/>
    <n v="2152"/>
    <n v="13"/>
    <x v="28"/>
    <x v="1"/>
    <x v="3"/>
    <n v="903.83999999999992"/>
    <n v="1248.1600000000001"/>
    <n v="150"/>
    <n v="215.20000000000002"/>
    <n v="2152"/>
    <x v="746"/>
  </r>
  <r>
    <x v="2"/>
    <x v="211"/>
    <x v="758"/>
    <x v="1"/>
    <x v="2"/>
    <x v="3"/>
    <x v="2"/>
    <x v="3"/>
    <n v="276"/>
    <x v="0"/>
    <n v="276"/>
    <n v="18"/>
    <x v="24"/>
    <x v="0"/>
    <x v="0"/>
    <n v="115.92"/>
    <n v="160.07999999999998"/>
    <n v="0"/>
    <n v="0"/>
    <n v="0"/>
    <x v="747"/>
  </r>
  <r>
    <x v="39"/>
    <x v="211"/>
    <x v="759"/>
    <x v="7"/>
    <x v="5"/>
    <x v="3"/>
    <x v="3"/>
    <x v="2"/>
    <n v="2403"/>
    <x v="0"/>
    <n v="2403"/>
    <n v="42"/>
    <x v="8"/>
    <x v="0"/>
    <x v="0"/>
    <n v="1009.26"/>
    <n v="1393.74"/>
    <n v="0"/>
    <n v="0"/>
    <n v="0"/>
    <x v="748"/>
  </r>
  <r>
    <x v="6"/>
    <x v="211"/>
    <x v="760"/>
    <x v="0"/>
    <x v="4"/>
    <x v="1"/>
    <x v="4"/>
    <x v="5"/>
    <n v="2005"/>
    <x v="226"/>
    <n v="1812.52"/>
    <n v="45"/>
    <x v="38"/>
    <x v="0"/>
    <x v="0"/>
    <n v="761.25839999999994"/>
    <n v="1051.2616"/>
    <n v="0"/>
    <n v="0"/>
    <n v="0"/>
    <x v="749"/>
  </r>
  <r>
    <x v="27"/>
    <x v="212"/>
    <x v="761"/>
    <x v="7"/>
    <x v="2"/>
    <x v="3"/>
    <x v="2"/>
    <x v="3"/>
    <n v="370"/>
    <x v="146"/>
    <n v="204.98000000000002"/>
    <n v="41"/>
    <x v="29"/>
    <x v="0"/>
    <x v="0"/>
    <n v="86.0916"/>
    <n v="118.88840000000002"/>
    <n v="0"/>
    <n v="0"/>
    <n v="0"/>
    <x v="750"/>
  </r>
  <r>
    <x v="16"/>
    <x v="212"/>
    <x v="762"/>
    <x v="3"/>
    <x v="0"/>
    <x v="2"/>
    <x v="6"/>
    <x v="6"/>
    <n v="3358"/>
    <x v="157"/>
    <n v="3347.9259999999999"/>
    <n v="30"/>
    <x v="4"/>
    <x v="1"/>
    <x v="4"/>
    <n v="1406.1289199999999"/>
    <n v="1941.7970800000001"/>
    <n v="150"/>
    <n v="334.79259999999999"/>
    <n v="3347.9259999999999"/>
    <x v="751"/>
  </r>
  <r>
    <x v="44"/>
    <x v="212"/>
    <x v="763"/>
    <x v="6"/>
    <x v="5"/>
    <x v="0"/>
    <x v="3"/>
    <x v="7"/>
    <n v="1956"/>
    <x v="113"/>
    <n v="1809.3000000000002"/>
    <n v="21"/>
    <x v="9"/>
    <x v="0"/>
    <x v="0"/>
    <n v="759.90600000000006"/>
    <n v="1049.3940000000002"/>
    <n v="0"/>
    <n v="0"/>
    <n v="0"/>
    <x v="752"/>
  </r>
  <r>
    <x v="37"/>
    <x v="213"/>
    <x v="764"/>
    <x v="4"/>
    <x v="3"/>
    <x v="0"/>
    <x v="1"/>
    <x v="5"/>
    <n v="3900"/>
    <x v="0"/>
    <n v="3900"/>
    <n v="35"/>
    <x v="4"/>
    <x v="0"/>
    <x v="0"/>
    <n v="1638"/>
    <n v="2262"/>
    <n v="0"/>
    <n v="0"/>
    <n v="0"/>
    <x v="753"/>
  </r>
  <r>
    <x v="23"/>
    <x v="213"/>
    <x v="765"/>
    <x v="6"/>
    <x v="4"/>
    <x v="2"/>
    <x v="1"/>
    <x v="5"/>
    <n v="2543"/>
    <x v="0"/>
    <n v="2543"/>
    <n v="17"/>
    <x v="8"/>
    <x v="0"/>
    <x v="0"/>
    <n v="1068.06"/>
    <n v="1474.94"/>
    <n v="0"/>
    <n v="0"/>
    <n v="0"/>
    <x v="754"/>
  </r>
  <r>
    <x v="32"/>
    <x v="213"/>
    <x v="766"/>
    <x v="4"/>
    <x v="4"/>
    <x v="3"/>
    <x v="1"/>
    <x v="6"/>
    <n v="2815"/>
    <x v="0"/>
    <n v="2815"/>
    <n v="18"/>
    <x v="12"/>
    <x v="0"/>
    <x v="0"/>
    <n v="1182.3"/>
    <n v="1632.7"/>
    <n v="0"/>
    <n v="0"/>
    <n v="0"/>
    <x v="755"/>
  </r>
  <r>
    <x v="39"/>
    <x v="213"/>
    <x v="767"/>
    <x v="7"/>
    <x v="5"/>
    <x v="0"/>
    <x v="0"/>
    <x v="6"/>
    <n v="2454"/>
    <x v="117"/>
    <n v="1550.9280000000001"/>
    <n v="37"/>
    <x v="22"/>
    <x v="0"/>
    <x v="0"/>
    <n v="651.38976000000002"/>
    <n v="899.53824000000009"/>
    <n v="0"/>
    <n v="0"/>
    <n v="0"/>
    <x v="756"/>
  </r>
  <r>
    <x v="1"/>
    <x v="214"/>
    <x v="768"/>
    <x v="1"/>
    <x v="1"/>
    <x v="2"/>
    <x v="1"/>
    <x v="4"/>
    <n v="1414"/>
    <x v="0"/>
    <n v="1414"/>
    <n v="25"/>
    <x v="1"/>
    <x v="0"/>
    <x v="0"/>
    <n v="593.88"/>
    <n v="820.12"/>
    <n v="0"/>
    <n v="0"/>
    <n v="0"/>
    <x v="757"/>
  </r>
  <r>
    <x v="38"/>
    <x v="214"/>
    <x v="769"/>
    <x v="0"/>
    <x v="1"/>
    <x v="2"/>
    <x v="2"/>
    <x v="7"/>
    <n v="1096"/>
    <x v="227"/>
    <n v="1078.4639999999999"/>
    <n v="33"/>
    <x v="8"/>
    <x v="0"/>
    <x v="0"/>
    <n v="452.95487999999995"/>
    <n v="625.50911999999994"/>
    <n v="0"/>
    <n v="0"/>
    <n v="0"/>
    <x v="758"/>
  </r>
  <r>
    <x v="43"/>
    <x v="214"/>
    <x v="770"/>
    <x v="4"/>
    <x v="5"/>
    <x v="1"/>
    <x v="5"/>
    <x v="5"/>
    <n v="2564"/>
    <x v="0"/>
    <n v="2564"/>
    <n v="2"/>
    <x v="24"/>
    <x v="0"/>
    <x v="0"/>
    <n v="1076.8799999999999"/>
    <n v="1487.1200000000001"/>
    <n v="0"/>
    <n v="0"/>
    <n v="0"/>
    <x v="759"/>
  </r>
  <r>
    <x v="23"/>
    <x v="214"/>
    <x v="771"/>
    <x v="6"/>
    <x v="4"/>
    <x v="1"/>
    <x v="6"/>
    <x v="0"/>
    <n v="2225"/>
    <x v="0"/>
    <n v="2225"/>
    <n v="18"/>
    <x v="27"/>
    <x v="0"/>
    <x v="0"/>
    <n v="934.5"/>
    <n v="1290.5"/>
    <n v="0"/>
    <n v="0"/>
    <n v="0"/>
    <x v="760"/>
  </r>
  <r>
    <x v="36"/>
    <x v="215"/>
    <x v="772"/>
    <x v="5"/>
    <x v="3"/>
    <x v="3"/>
    <x v="5"/>
    <x v="2"/>
    <n v="3328"/>
    <x v="228"/>
    <n v="2466.0479999999998"/>
    <n v="40"/>
    <x v="17"/>
    <x v="1"/>
    <x v="4"/>
    <n v="1035.7401599999998"/>
    <n v="1430.3078399999999"/>
    <n v="150"/>
    <n v="246.60479999999998"/>
    <n v="2466.0479999999998"/>
    <x v="761"/>
  </r>
  <r>
    <x v="46"/>
    <x v="215"/>
    <x v="773"/>
    <x v="2"/>
    <x v="3"/>
    <x v="3"/>
    <x v="5"/>
    <x v="5"/>
    <n v="3305"/>
    <x v="229"/>
    <n v="1559.9599999999998"/>
    <n v="23"/>
    <x v="3"/>
    <x v="0"/>
    <x v="0"/>
    <n v="655.18319999999994"/>
    <n v="904.77679999999987"/>
    <n v="0"/>
    <n v="0"/>
    <n v="0"/>
    <x v="762"/>
  </r>
  <r>
    <x v="2"/>
    <x v="215"/>
    <x v="774"/>
    <x v="1"/>
    <x v="2"/>
    <x v="1"/>
    <x v="2"/>
    <x v="0"/>
    <n v="417"/>
    <x v="0"/>
    <n v="417"/>
    <n v="32"/>
    <x v="32"/>
    <x v="0"/>
    <x v="0"/>
    <n v="175.14"/>
    <n v="241.86"/>
    <n v="0"/>
    <n v="0"/>
    <n v="0"/>
    <x v="763"/>
  </r>
  <r>
    <x v="38"/>
    <x v="216"/>
    <x v="775"/>
    <x v="0"/>
    <x v="1"/>
    <x v="2"/>
    <x v="6"/>
    <x v="11"/>
    <n v="922"/>
    <x v="230"/>
    <n v="670.29399999999998"/>
    <n v="9"/>
    <x v="16"/>
    <x v="0"/>
    <x v="0"/>
    <n v="281.52348000000001"/>
    <n v="388.77051999999998"/>
    <n v="0"/>
    <n v="0"/>
    <n v="0"/>
    <x v="764"/>
  </r>
  <r>
    <x v="22"/>
    <x v="216"/>
    <x v="776"/>
    <x v="2"/>
    <x v="4"/>
    <x v="2"/>
    <x v="4"/>
    <x v="6"/>
    <n v="2962"/>
    <x v="0"/>
    <n v="2962"/>
    <n v="21"/>
    <x v="15"/>
    <x v="0"/>
    <x v="0"/>
    <n v="1244.04"/>
    <n v="1717.96"/>
    <n v="0"/>
    <n v="0"/>
    <n v="0"/>
    <x v="765"/>
  </r>
  <r>
    <x v="7"/>
    <x v="216"/>
    <x v="777"/>
    <x v="3"/>
    <x v="5"/>
    <x v="1"/>
    <x v="4"/>
    <x v="11"/>
    <n v="2782"/>
    <x v="231"/>
    <n v="1516.1899999999998"/>
    <n v="27"/>
    <x v="5"/>
    <x v="1"/>
    <x v="4"/>
    <n v="636.79979999999989"/>
    <n v="879.39019999999994"/>
    <n v="150"/>
    <n v="151.619"/>
    <n v="1516.1899999999998"/>
    <x v="766"/>
  </r>
  <r>
    <x v="28"/>
    <x v="216"/>
    <x v="778"/>
    <x v="3"/>
    <x v="3"/>
    <x v="1"/>
    <x v="3"/>
    <x v="0"/>
    <n v="3305"/>
    <x v="232"/>
    <n v="1629.365"/>
    <n v="23"/>
    <x v="15"/>
    <x v="0"/>
    <x v="0"/>
    <n v="684.33330000000001"/>
    <n v="945.0317"/>
    <n v="0"/>
    <n v="0"/>
    <n v="0"/>
    <x v="767"/>
  </r>
  <r>
    <x v="19"/>
    <x v="217"/>
    <x v="779"/>
    <x v="2"/>
    <x v="5"/>
    <x v="3"/>
    <x v="5"/>
    <x v="8"/>
    <n v="2626"/>
    <x v="0"/>
    <n v="2626"/>
    <n v="31"/>
    <x v="30"/>
    <x v="1"/>
    <x v="4"/>
    <n v="1102.92"/>
    <n v="1523.08"/>
    <n v="150"/>
    <n v="262.60000000000002"/>
    <n v="2626"/>
    <x v="768"/>
  </r>
  <r>
    <x v="9"/>
    <x v="217"/>
    <x v="780"/>
    <x v="4"/>
    <x v="0"/>
    <x v="3"/>
    <x v="5"/>
    <x v="1"/>
    <n v="4203"/>
    <x v="0"/>
    <n v="4203"/>
    <n v="0"/>
    <x v="3"/>
    <x v="0"/>
    <x v="0"/>
    <n v="1765.26"/>
    <n v="2437.7399999999998"/>
    <n v="0"/>
    <n v="0"/>
    <n v="0"/>
    <x v="769"/>
  </r>
  <r>
    <x v="16"/>
    <x v="217"/>
    <x v="781"/>
    <x v="3"/>
    <x v="0"/>
    <x v="1"/>
    <x v="6"/>
    <x v="4"/>
    <n v="3132"/>
    <x v="233"/>
    <n v="2026.404"/>
    <n v="36"/>
    <x v="3"/>
    <x v="1"/>
    <x v="6"/>
    <n v="851.08967999999993"/>
    <n v="1175.31432"/>
    <n v="150"/>
    <n v="202.6404"/>
    <n v="2026.404"/>
    <x v="770"/>
  </r>
  <r>
    <x v="18"/>
    <x v="217"/>
    <x v="782"/>
    <x v="3"/>
    <x v="4"/>
    <x v="0"/>
    <x v="2"/>
    <x v="4"/>
    <n v="2426"/>
    <x v="168"/>
    <n v="1484.7120000000002"/>
    <n v="23"/>
    <x v="20"/>
    <x v="1"/>
    <x v="4"/>
    <n v="623.57904000000008"/>
    <n v="861.13296000000014"/>
    <n v="150"/>
    <n v="148.47120000000004"/>
    <n v="1484.7120000000002"/>
    <x v="771"/>
  </r>
  <r>
    <x v="41"/>
    <x v="218"/>
    <x v="783"/>
    <x v="6"/>
    <x v="2"/>
    <x v="3"/>
    <x v="2"/>
    <x v="11"/>
    <n v="212"/>
    <x v="234"/>
    <n v="85.012"/>
    <n v="47"/>
    <x v="3"/>
    <x v="0"/>
    <x v="0"/>
    <n v="35.705039999999997"/>
    <n v="49.306960000000004"/>
    <n v="0"/>
    <n v="0"/>
    <n v="0"/>
    <x v="772"/>
  </r>
  <r>
    <x v="33"/>
    <x v="218"/>
    <x v="784"/>
    <x v="7"/>
    <x v="0"/>
    <x v="3"/>
    <x v="3"/>
    <x v="4"/>
    <n v="4190"/>
    <x v="235"/>
    <n v="3465.1299999999997"/>
    <n v="49"/>
    <x v="38"/>
    <x v="0"/>
    <x v="0"/>
    <n v="1455.3545999999999"/>
    <n v="2009.7753999999998"/>
    <n v="0"/>
    <n v="0"/>
    <n v="0"/>
    <x v="773"/>
  </r>
  <r>
    <x v="34"/>
    <x v="218"/>
    <x v="785"/>
    <x v="6"/>
    <x v="0"/>
    <x v="1"/>
    <x v="0"/>
    <x v="7"/>
    <n v="4023"/>
    <x v="0"/>
    <n v="4023"/>
    <n v="14"/>
    <x v="28"/>
    <x v="0"/>
    <x v="0"/>
    <n v="1689.6599999999999"/>
    <n v="2333.34"/>
    <n v="0"/>
    <n v="0"/>
    <n v="0"/>
    <x v="774"/>
  </r>
  <r>
    <x v="24"/>
    <x v="219"/>
    <x v="786"/>
    <x v="5"/>
    <x v="5"/>
    <x v="3"/>
    <x v="3"/>
    <x v="1"/>
    <n v="2268"/>
    <x v="136"/>
    <n v="1637.4959999999999"/>
    <n v="34"/>
    <x v="24"/>
    <x v="0"/>
    <x v="0"/>
    <n v="687.74831999999992"/>
    <n v="949.74767999999995"/>
    <n v="0"/>
    <n v="0"/>
    <n v="0"/>
    <x v="775"/>
  </r>
  <r>
    <x v="15"/>
    <x v="219"/>
    <x v="787"/>
    <x v="5"/>
    <x v="1"/>
    <x v="0"/>
    <x v="3"/>
    <x v="10"/>
    <n v="1446"/>
    <x v="0"/>
    <n v="1446"/>
    <n v="23"/>
    <x v="31"/>
    <x v="0"/>
    <x v="0"/>
    <n v="607.31999999999994"/>
    <n v="838.68000000000006"/>
    <n v="0"/>
    <n v="0"/>
    <n v="0"/>
    <x v="776"/>
  </r>
  <r>
    <x v="43"/>
    <x v="219"/>
    <x v="788"/>
    <x v="4"/>
    <x v="5"/>
    <x v="0"/>
    <x v="0"/>
    <x v="9"/>
    <n v="2852"/>
    <x v="236"/>
    <n v="1326.1799999999998"/>
    <n v="19"/>
    <x v="3"/>
    <x v="1"/>
    <x v="3"/>
    <n v="556.99559999999985"/>
    <n v="769.18439999999998"/>
    <n v="150"/>
    <n v="132.61799999999999"/>
    <n v="1326.1799999999998"/>
    <x v="777"/>
  </r>
  <r>
    <x v="32"/>
    <x v="219"/>
    <x v="789"/>
    <x v="4"/>
    <x v="4"/>
    <x v="3"/>
    <x v="3"/>
    <x v="7"/>
    <n v="2586"/>
    <x v="0"/>
    <n v="2586"/>
    <n v="37"/>
    <x v="24"/>
    <x v="1"/>
    <x v="3"/>
    <n v="1086.1199999999999"/>
    <n v="1499.88"/>
    <n v="150"/>
    <n v="258.60000000000002"/>
    <n v="2586"/>
    <x v="778"/>
  </r>
  <r>
    <x v="17"/>
    <x v="220"/>
    <x v="790"/>
    <x v="2"/>
    <x v="0"/>
    <x v="2"/>
    <x v="0"/>
    <x v="5"/>
    <n v="4042"/>
    <x v="103"/>
    <n v="3112.34"/>
    <n v="1"/>
    <x v="12"/>
    <x v="0"/>
    <x v="0"/>
    <n v="1307.1828"/>
    <n v="1805.1572000000001"/>
    <n v="0"/>
    <n v="0"/>
    <n v="0"/>
    <x v="779"/>
  </r>
  <r>
    <x v="10"/>
    <x v="220"/>
    <x v="791"/>
    <x v="3"/>
    <x v="1"/>
    <x v="3"/>
    <x v="5"/>
    <x v="6"/>
    <n v="1765"/>
    <x v="237"/>
    <n v="1103.125"/>
    <n v="33"/>
    <x v="20"/>
    <x v="0"/>
    <x v="0"/>
    <n v="463.3125"/>
    <n v="639.8125"/>
    <n v="0"/>
    <n v="0"/>
    <n v="0"/>
    <x v="780"/>
  </r>
  <r>
    <x v="17"/>
    <x v="220"/>
    <x v="792"/>
    <x v="2"/>
    <x v="0"/>
    <x v="2"/>
    <x v="6"/>
    <x v="10"/>
    <n v="4077"/>
    <x v="238"/>
    <n v="2323.8900000000003"/>
    <n v="48"/>
    <x v="1"/>
    <x v="0"/>
    <x v="0"/>
    <n v="976.03380000000016"/>
    <n v="1347.8562000000002"/>
    <n v="0"/>
    <n v="0"/>
    <n v="0"/>
    <x v="781"/>
  </r>
  <r>
    <x v="6"/>
    <x v="220"/>
    <x v="793"/>
    <x v="0"/>
    <x v="4"/>
    <x v="3"/>
    <x v="3"/>
    <x v="1"/>
    <n v="2193"/>
    <x v="239"/>
    <n v="1739.049"/>
    <n v="9"/>
    <x v="6"/>
    <x v="0"/>
    <x v="0"/>
    <n v="730.40057999999999"/>
    <n v="1008.64842"/>
    <n v="0"/>
    <n v="0"/>
    <n v="0"/>
    <x v="782"/>
  </r>
  <r>
    <x v="26"/>
    <x v="221"/>
    <x v="794"/>
    <x v="0"/>
    <x v="3"/>
    <x v="3"/>
    <x v="4"/>
    <x v="1"/>
    <n v="4142"/>
    <x v="0"/>
    <n v="4142"/>
    <n v="45"/>
    <x v="41"/>
    <x v="0"/>
    <x v="0"/>
    <n v="1739.6399999999999"/>
    <n v="2402.36"/>
    <n v="0"/>
    <n v="0"/>
    <n v="0"/>
    <x v="783"/>
  </r>
  <r>
    <x v="5"/>
    <x v="221"/>
    <x v="795"/>
    <x v="0"/>
    <x v="2"/>
    <x v="2"/>
    <x v="2"/>
    <x v="3"/>
    <n v="225"/>
    <x v="240"/>
    <n v="142.65"/>
    <n v="34"/>
    <x v="7"/>
    <x v="0"/>
    <x v="0"/>
    <n v="59.912999999999997"/>
    <n v="82.737000000000009"/>
    <n v="0"/>
    <n v="0"/>
    <n v="0"/>
    <x v="784"/>
  </r>
  <r>
    <x v="33"/>
    <x v="221"/>
    <x v="796"/>
    <x v="7"/>
    <x v="0"/>
    <x v="3"/>
    <x v="3"/>
    <x v="10"/>
    <n v="3789"/>
    <x v="0"/>
    <n v="3789"/>
    <n v="11"/>
    <x v="29"/>
    <x v="0"/>
    <x v="0"/>
    <n v="1591.3799999999999"/>
    <n v="2197.62"/>
    <n v="0"/>
    <n v="0"/>
    <n v="0"/>
    <x v="785"/>
  </r>
  <r>
    <x v="40"/>
    <x v="221"/>
    <x v="797"/>
    <x v="5"/>
    <x v="0"/>
    <x v="0"/>
    <x v="4"/>
    <x v="6"/>
    <n v="3063"/>
    <x v="0"/>
    <n v="3063"/>
    <n v="46"/>
    <x v="9"/>
    <x v="0"/>
    <x v="0"/>
    <n v="1286.46"/>
    <n v="1776.54"/>
    <n v="0"/>
    <n v="0"/>
    <n v="0"/>
    <x v="786"/>
  </r>
  <r>
    <x v="30"/>
    <x v="222"/>
    <x v="798"/>
    <x v="7"/>
    <x v="4"/>
    <x v="3"/>
    <x v="4"/>
    <x v="7"/>
    <n v="2838"/>
    <x v="241"/>
    <n v="2477.5740000000001"/>
    <n v="13"/>
    <x v="28"/>
    <x v="0"/>
    <x v="0"/>
    <n v="1040.5810799999999"/>
    <n v="1436.9929200000001"/>
    <n v="0"/>
    <n v="0"/>
    <n v="0"/>
    <x v="787"/>
  </r>
  <r>
    <x v="33"/>
    <x v="222"/>
    <x v="799"/>
    <x v="7"/>
    <x v="0"/>
    <x v="1"/>
    <x v="0"/>
    <x v="0"/>
    <n v="3175"/>
    <x v="242"/>
    <n v="1320.8000000000002"/>
    <n v="29"/>
    <x v="13"/>
    <x v="1"/>
    <x v="4"/>
    <n v="554.7360000000001"/>
    <n v="766.06400000000008"/>
    <n v="150"/>
    <n v="132.08000000000001"/>
    <n v="1320.8000000000002"/>
    <x v="788"/>
  </r>
  <r>
    <x v="10"/>
    <x v="222"/>
    <x v="800"/>
    <x v="3"/>
    <x v="1"/>
    <x v="0"/>
    <x v="0"/>
    <x v="4"/>
    <n v="1432"/>
    <x v="243"/>
    <n v="1420.5440000000001"/>
    <n v="22"/>
    <x v="29"/>
    <x v="0"/>
    <x v="0"/>
    <n v="596.62847999999997"/>
    <n v="823.91552000000013"/>
    <n v="0"/>
    <n v="0"/>
    <n v="0"/>
    <x v="789"/>
  </r>
  <r>
    <x v="4"/>
    <x v="222"/>
    <x v="801"/>
    <x v="2"/>
    <x v="1"/>
    <x v="2"/>
    <x v="0"/>
    <x v="2"/>
    <n v="1528"/>
    <x v="183"/>
    <n v="1239.2080000000001"/>
    <n v="37"/>
    <x v="11"/>
    <x v="0"/>
    <x v="0"/>
    <n v="520.46735999999999"/>
    <n v="718.7406400000001"/>
    <n v="0"/>
    <n v="0"/>
    <n v="0"/>
    <x v="790"/>
  </r>
  <r>
    <x v="28"/>
    <x v="223"/>
    <x v="802"/>
    <x v="3"/>
    <x v="3"/>
    <x v="2"/>
    <x v="3"/>
    <x v="6"/>
    <n v="3019"/>
    <x v="244"/>
    <n v="2089.1479999999997"/>
    <n v="31"/>
    <x v="30"/>
    <x v="0"/>
    <x v="0"/>
    <n v="877.44215999999983"/>
    <n v="1211.7058399999999"/>
    <n v="0"/>
    <n v="0"/>
    <n v="0"/>
    <x v="791"/>
  </r>
  <r>
    <x v="27"/>
    <x v="223"/>
    <x v="803"/>
    <x v="7"/>
    <x v="2"/>
    <x v="1"/>
    <x v="2"/>
    <x v="4"/>
    <n v="242"/>
    <x v="0"/>
    <n v="242"/>
    <n v="14"/>
    <x v="28"/>
    <x v="1"/>
    <x v="3"/>
    <n v="101.64"/>
    <n v="140.36000000000001"/>
    <n v="150"/>
    <n v="24.200000000000003"/>
    <n v="242"/>
    <x v="792"/>
  </r>
  <r>
    <x v="6"/>
    <x v="223"/>
    <x v="804"/>
    <x v="0"/>
    <x v="4"/>
    <x v="2"/>
    <x v="3"/>
    <x v="8"/>
    <n v="2767"/>
    <x v="0"/>
    <n v="2767"/>
    <n v="0"/>
    <x v="15"/>
    <x v="1"/>
    <x v="0"/>
    <n v="1162.1399999999999"/>
    <n v="1604.8600000000001"/>
    <n v="150"/>
    <n v="276.7"/>
    <n v="2767"/>
    <x v="793"/>
  </r>
  <r>
    <x v="47"/>
    <x v="224"/>
    <x v="805"/>
    <x v="4"/>
    <x v="2"/>
    <x v="2"/>
    <x v="2"/>
    <x v="5"/>
    <n v="342"/>
    <x v="0"/>
    <n v="342"/>
    <n v="7"/>
    <x v="15"/>
    <x v="1"/>
    <x v="3"/>
    <n v="143.63999999999999"/>
    <n v="198.36"/>
    <n v="150"/>
    <n v="34.200000000000003"/>
    <n v="342"/>
    <x v="794"/>
  </r>
  <r>
    <x v="37"/>
    <x v="224"/>
    <x v="806"/>
    <x v="4"/>
    <x v="3"/>
    <x v="3"/>
    <x v="5"/>
    <x v="6"/>
    <n v="3548"/>
    <x v="59"/>
    <n v="1514.9960000000001"/>
    <n v="37"/>
    <x v="19"/>
    <x v="0"/>
    <x v="0"/>
    <n v="636.29831999999999"/>
    <n v="878.6976800000001"/>
    <n v="0"/>
    <n v="0"/>
    <n v="0"/>
    <x v="795"/>
  </r>
  <r>
    <x v="23"/>
    <x v="224"/>
    <x v="807"/>
    <x v="6"/>
    <x v="4"/>
    <x v="0"/>
    <x v="6"/>
    <x v="7"/>
    <n v="2741"/>
    <x v="142"/>
    <n v="1186.8529999999998"/>
    <n v="41"/>
    <x v="3"/>
    <x v="0"/>
    <x v="0"/>
    <n v="498.47825999999992"/>
    <n v="688.37473999999997"/>
    <n v="0"/>
    <n v="0"/>
    <n v="0"/>
    <x v="796"/>
  </r>
  <r>
    <x v="21"/>
    <x v="224"/>
    <x v="808"/>
    <x v="1"/>
    <x v="4"/>
    <x v="0"/>
    <x v="6"/>
    <x v="9"/>
    <n v="2019"/>
    <x v="160"/>
    <n v="1819.1190000000001"/>
    <n v="42"/>
    <x v="10"/>
    <x v="0"/>
    <x v="0"/>
    <n v="764.02998000000002"/>
    <n v="1055.0890200000001"/>
    <n v="0"/>
    <n v="0"/>
    <n v="0"/>
    <x v="797"/>
  </r>
  <r>
    <x v="40"/>
    <x v="225"/>
    <x v="809"/>
    <x v="5"/>
    <x v="0"/>
    <x v="2"/>
    <x v="3"/>
    <x v="7"/>
    <n v="4441"/>
    <x v="0"/>
    <n v="4441"/>
    <n v="18"/>
    <x v="1"/>
    <x v="0"/>
    <x v="0"/>
    <n v="1865.22"/>
    <n v="2575.7799999999997"/>
    <n v="0"/>
    <n v="0"/>
    <n v="0"/>
    <x v="798"/>
  </r>
  <r>
    <x v="24"/>
    <x v="225"/>
    <x v="810"/>
    <x v="5"/>
    <x v="5"/>
    <x v="2"/>
    <x v="0"/>
    <x v="7"/>
    <n v="2992"/>
    <x v="0"/>
    <n v="2992"/>
    <n v="37"/>
    <x v="1"/>
    <x v="1"/>
    <x v="4"/>
    <n v="1256.6399999999999"/>
    <n v="1735.3600000000001"/>
    <n v="150"/>
    <n v="299.2"/>
    <n v="2992"/>
    <x v="799"/>
  </r>
  <r>
    <x v="10"/>
    <x v="225"/>
    <x v="811"/>
    <x v="3"/>
    <x v="1"/>
    <x v="0"/>
    <x v="0"/>
    <x v="0"/>
    <n v="1063"/>
    <x v="0"/>
    <n v="1063"/>
    <n v="9"/>
    <x v="3"/>
    <x v="0"/>
    <x v="0"/>
    <n v="446.46"/>
    <n v="616.54"/>
    <n v="0"/>
    <n v="0"/>
    <n v="0"/>
    <x v="800"/>
  </r>
  <r>
    <x v="6"/>
    <x v="225"/>
    <x v="812"/>
    <x v="0"/>
    <x v="4"/>
    <x v="1"/>
    <x v="4"/>
    <x v="1"/>
    <n v="2366"/>
    <x v="0"/>
    <n v="2366"/>
    <n v="37"/>
    <x v="11"/>
    <x v="1"/>
    <x v="3"/>
    <n v="993.71999999999991"/>
    <n v="1372.2800000000002"/>
    <n v="150"/>
    <n v="236.60000000000002"/>
    <n v="2366"/>
    <x v="801"/>
  </r>
  <r>
    <x v="42"/>
    <x v="226"/>
    <x v="813"/>
    <x v="0"/>
    <x v="5"/>
    <x v="1"/>
    <x v="6"/>
    <x v="0"/>
    <n v="2063"/>
    <x v="0"/>
    <n v="2063"/>
    <n v="0"/>
    <x v="3"/>
    <x v="0"/>
    <x v="0"/>
    <n v="866.45999999999992"/>
    <n v="1196.54"/>
    <n v="0"/>
    <n v="0"/>
    <n v="0"/>
    <x v="802"/>
  </r>
  <r>
    <x v="11"/>
    <x v="226"/>
    <x v="814"/>
    <x v="5"/>
    <x v="4"/>
    <x v="0"/>
    <x v="1"/>
    <x v="10"/>
    <n v="2913"/>
    <x v="245"/>
    <n v="2513.9189999999999"/>
    <n v="5"/>
    <x v="35"/>
    <x v="0"/>
    <x v="0"/>
    <n v="1055.8459799999998"/>
    <n v="1458.07302"/>
    <n v="0"/>
    <n v="0"/>
    <n v="0"/>
    <x v="803"/>
  </r>
  <r>
    <x v="40"/>
    <x v="226"/>
    <x v="815"/>
    <x v="5"/>
    <x v="0"/>
    <x v="0"/>
    <x v="5"/>
    <x v="11"/>
    <n v="4164"/>
    <x v="0"/>
    <n v="4164"/>
    <n v="9"/>
    <x v="3"/>
    <x v="1"/>
    <x v="6"/>
    <n v="1748.8799999999999"/>
    <n v="2415.12"/>
    <n v="150"/>
    <n v="416.40000000000003"/>
    <n v="4164"/>
    <x v="804"/>
  </r>
  <r>
    <x v="30"/>
    <x v="227"/>
    <x v="816"/>
    <x v="7"/>
    <x v="4"/>
    <x v="0"/>
    <x v="5"/>
    <x v="11"/>
    <n v="2268"/>
    <x v="0"/>
    <n v="2268"/>
    <n v="22"/>
    <x v="29"/>
    <x v="0"/>
    <x v="0"/>
    <n v="952.56"/>
    <n v="1315.44"/>
    <n v="0"/>
    <n v="0"/>
    <n v="0"/>
    <x v="350"/>
  </r>
  <r>
    <x v="32"/>
    <x v="227"/>
    <x v="817"/>
    <x v="4"/>
    <x v="4"/>
    <x v="3"/>
    <x v="6"/>
    <x v="7"/>
    <n v="2484"/>
    <x v="77"/>
    <n v="1055.7"/>
    <n v="3"/>
    <x v="35"/>
    <x v="0"/>
    <x v="0"/>
    <n v="443.39400000000001"/>
    <n v="612.30600000000004"/>
    <n v="0"/>
    <n v="0"/>
    <n v="0"/>
    <x v="805"/>
  </r>
  <r>
    <x v="5"/>
    <x v="227"/>
    <x v="818"/>
    <x v="0"/>
    <x v="2"/>
    <x v="1"/>
    <x v="2"/>
    <x v="1"/>
    <n v="256"/>
    <x v="0"/>
    <n v="256"/>
    <n v="20"/>
    <x v="11"/>
    <x v="0"/>
    <x v="0"/>
    <n v="107.52"/>
    <n v="148.48000000000002"/>
    <n v="0"/>
    <n v="0"/>
    <n v="0"/>
    <x v="385"/>
  </r>
  <r>
    <x v="6"/>
    <x v="227"/>
    <x v="819"/>
    <x v="0"/>
    <x v="4"/>
    <x v="2"/>
    <x v="1"/>
    <x v="0"/>
    <n v="2193"/>
    <x v="0"/>
    <n v="2193"/>
    <n v="50"/>
    <x v="3"/>
    <x v="1"/>
    <x v="3"/>
    <n v="921.06"/>
    <n v="1271.94"/>
    <n v="150"/>
    <n v="219.3"/>
    <n v="2193"/>
    <x v="806"/>
  </r>
  <r>
    <x v="11"/>
    <x v="227"/>
    <x v="820"/>
    <x v="5"/>
    <x v="4"/>
    <x v="1"/>
    <x v="4"/>
    <x v="10"/>
    <n v="2978"/>
    <x v="0"/>
    <n v="2978"/>
    <n v="23"/>
    <x v="25"/>
    <x v="0"/>
    <x v="0"/>
    <n v="1250.76"/>
    <n v="1727.24"/>
    <n v="0"/>
    <n v="0"/>
    <n v="0"/>
    <x v="807"/>
  </r>
  <r>
    <x v="29"/>
    <x v="228"/>
    <x v="821"/>
    <x v="5"/>
    <x v="2"/>
    <x v="2"/>
    <x v="2"/>
    <x v="7"/>
    <n v="385"/>
    <x v="0"/>
    <n v="385"/>
    <n v="42"/>
    <x v="25"/>
    <x v="0"/>
    <x v="0"/>
    <n v="161.69999999999999"/>
    <n v="223.3"/>
    <n v="0"/>
    <n v="0"/>
    <n v="0"/>
    <x v="500"/>
  </r>
  <r>
    <x v="39"/>
    <x v="228"/>
    <x v="822"/>
    <x v="7"/>
    <x v="5"/>
    <x v="1"/>
    <x v="3"/>
    <x v="2"/>
    <n v="2817"/>
    <x v="104"/>
    <n v="1707.1020000000003"/>
    <n v="14"/>
    <x v="16"/>
    <x v="1"/>
    <x v="4"/>
    <n v="716.98284000000012"/>
    <n v="990.11916000000019"/>
    <n v="150"/>
    <n v="170.71020000000004"/>
    <n v="1707.1020000000003"/>
    <x v="808"/>
  </r>
  <r>
    <x v="30"/>
    <x v="228"/>
    <x v="823"/>
    <x v="7"/>
    <x v="4"/>
    <x v="3"/>
    <x v="0"/>
    <x v="5"/>
    <n v="2583"/>
    <x v="246"/>
    <n v="2167.1369999999997"/>
    <n v="6"/>
    <x v="18"/>
    <x v="1"/>
    <x v="3"/>
    <n v="910.19753999999989"/>
    <n v="1256.9394599999998"/>
    <n v="150"/>
    <n v="216.71369999999999"/>
    <n v="2167.1369999999997"/>
    <x v="809"/>
  </r>
  <r>
    <x v="14"/>
    <x v="228"/>
    <x v="824"/>
    <x v="6"/>
    <x v="3"/>
    <x v="1"/>
    <x v="1"/>
    <x v="0"/>
    <n v="4478"/>
    <x v="247"/>
    <n v="3560.01"/>
    <n v="24"/>
    <x v="14"/>
    <x v="0"/>
    <x v="0"/>
    <n v="1495.2042000000001"/>
    <n v="2064.8058000000001"/>
    <n v="0"/>
    <n v="0"/>
    <n v="0"/>
    <x v="810"/>
  </r>
  <r>
    <x v="29"/>
    <x v="229"/>
    <x v="825"/>
    <x v="5"/>
    <x v="2"/>
    <x v="2"/>
    <x v="2"/>
    <x v="3"/>
    <n v="423"/>
    <x v="0"/>
    <n v="423"/>
    <n v="44"/>
    <x v="32"/>
    <x v="0"/>
    <x v="0"/>
    <n v="177.66"/>
    <n v="245.34"/>
    <n v="0"/>
    <n v="0"/>
    <n v="0"/>
    <x v="811"/>
  </r>
  <r>
    <x v="25"/>
    <x v="229"/>
    <x v="826"/>
    <x v="6"/>
    <x v="1"/>
    <x v="3"/>
    <x v="3"/>
    <x v="1"/>
    <n v="1420"/>
    <x v="0"/>
    <n v="1420"/>
    <n v="14"/>
    <x v="15"/>
    <x v="1"/>
    <x v="4"/>
    <n v="596.4"/>
    <n v="823.6"/>
    <n v="150"/>
    <n v="142"/>
    <n v="1420"/>
    <x v="812"/>
  </r>
  <r>
    <x v="32"/>
    <x v="229"/>
    <x v="827"/>
    <x v="4"/>
    <x v="4"/>
    <x v="2"/>
    <x v="4"/>
    <x v="6"/>
    <n v="2691"/>
    <x v="0"/>
    <n v="2691"/>
    <n v="33"/>
    <x v="15"/>
    <x v="0"/>
    <x v="0"/>
    <n v="1130.22"/>
    <n v="1560.78"/>
    <n v="0"/>
    <n v="0"/>
    <n v="0"/>
    <x v="813"/>
  </r>
  <r>
    <x v="36"/>
    <x v="230"/>
    <x v="828"/>
    <x v="5"/>
    <x v="3"/>
    <x v="0"/>
    <x v="0"/>
    <x v="4"/>
    <n v="3431"/>
    <x v="0"/>
    <n v="3431"/>
    <n v="47"/>
    <x v="41"/>
    <x v="1"/>
    <x v="6"/>
    <n v="1441.02"/>
    <n v="1989.98"/>
    <n v="150"/>
    <n v="343.1"/>
    <n v="3431"/>
    <x v="814"/>
  </r>
  <r>
    <x v="47"/>
    <x v="230"/>
    <x v="829"/>
    <x v="4"/>
    <x v="2"/>
    <x v="1"/>
    <x v="2"/>
    <x v="2"/>
    <n v="177"/>
    <x v="248"/>
    <n v="161.601"/>
    <n v="14"/>
    <x v="33"/>
    <x v="0"/>
    <x v="0"/>
    <n v="67.872419999999991"/>
    <n v="93.728580000000008"/>
    <n v="0"/>
    <n v="0"/>
    <n v="0"/>
    <x v="815"/>
  </r>
  <r>
    <x v="3"/>
    <x v="230"/>
    <x v="830"/>
    <x v="1"/>
    <x v="3"/>
    <x v="0"/>
    <x v="2"/>
    <x v="1"/>
    <n v="3263"/>
    <x v="0"/>
    <n v="3263"/>
    <n v="0"/>
    <x v="3"/>
    <x v="1"/>
    <x v="4"/>
    <n v="1370.46"/>
    <n v="1892.54"/>
    <n v="150"/>
    <n v="326.3"/>
    <n v="3263"/>
    <x v="816"/>
  </r>
  <r>
    <x v="1"/>
    <x v="230"/>
    <x v="831"/>
    <x v="1"/>
    <x v="1"/>
    <x v="3"/>
    <x v="2"/>
    <x v="2"/>
    <n v="1408"/>
    <x v="0"/>
    <n v="1408"/>
    <n v="29"/>
    <x v="12"/>
    <x v="0"/>
    <x v="0"/>
    <n v="591.36"/>
    <n v="816.64"/>
    <n v="0"/>
    <n v="0"/>
    <n v="0"/>
    <x v="817"/>
  </r>
  <r>
    <x v="23"/>
    <x v="230"/>
    <x v="832"/>
    <x v="6"/>
    <x v="4"/>
    <x v="0"/>
    <x v="1"/>
    <x v="8"/>
    <n v="2896"/>
    <x v="0"/>
    <n v="2896"/>
    <n v="41"/>
    <x v="3"/>
    <x v="0"/>
    <x v="0"/>
    <n v="1216.32"/>
    <n v="1679.68"/>
    <n v="0"/>
    <n v="0"/>
    <n v="0"/>
    <x v="818"/>
  </r>
  <r>
    <x v="37"/>
    <x v="231"/>
    <x v="833"/>
    <x v="4"/>
    <x v="3"/>
    <x v="1"/>
    <x v="3"/>
    <x v="1"/>
    <n v="3732"/>
    <x v="0"/>
    <n v="3732"/>
    <n v="2"/>
    <x v="31"/>
    <x v="0"/>
    <x v="0"/>
    <n v="1567.44"/>
    <n v="2164.56"/>
    <n v="0"/>
    <n v="0"/>
    <n v="0"/>
    <x v="819"/>
  </r>
  <r>
    <x v="24"/>
    <x v="231"/>
    <x v="834"/>
    <x v="5"/>
    <x v="5"/>
    <x v="1"/>
    <x v="5"/>
    <x v="0"/>
    <n v="2701"/>
    <x v="0"/>
    <n v="2701"/>
    <n v="21"/>
    <x v="3"/>
    <x v="0"/>
    <x v="0"/>
    <n v="1134.4199999999998"/>
    <n v="1566.5800000000002"/>
    <n v="0"/>
    <n v="0"/>
    <n v="0"/>
    <x v="820"/>
  </r>
  <r>
    <x v="16"/>
    <x v="231"/>
    <x v="835"/>
    <x v="3"/>
    <x v="0"/>
    <x v="1"/>
    <x v="5"/>
    <x v="1"/>
    <n v="3637"/>
    <x v="0"/>
    <n v="3637"/>
    <n v="48"/>
    <x v="2"/>
    <x v="0"/>
    <x v="0"/>
    <n v="1527.54"/>
    <n v="2109.46"/>
    <n v="0"/>
    <n v="0"/>
    <n v="0"/>
    <x v="821"/>
  </r>
  <r>
    <x v="37"/>
    <x v="232"/>
    <x v="836"/>
    <x v="4"/>
    <x v="3"/>
    <x v="2"/>
    <x v="4"/>
    <x v="8"/>
    <n v="3355"/>
    <x v="0"/>
    <n v="3355"/>
    <n v="35"/>
    <x v="8"/>
    <x v="0"/>
    <x v="0"/>
    <n v="1409.1"/>
    <n v="1945.9"/>
    <n v="0"/>
    <n v="0"/>
    <n v="0"/>
    <x v="822"/>
  </r>
  <r>
    <x v="12"/>
    <x v="232"/>
    <x v="837"/>
    <x v="1"/>
    <x v="5"/>
    <x v="1"/>
    <x v="5"/>
    <x v="7"/>
    <n v="2475"/>
    <x v="0"/>
    <n v="2475"/>
    <n v="38"/>
    <x v="26"/>
    <x v="0"/>
    <x v="0"/>
    <n v="1039.5"/>
    <n v="1435.5"/>
    <n v="0"/>
    <n v="0"/>
    <n v="0"/>
    <x v="823"/>
  </r>
  <r>
    <x v="6"/>
    <x v="232"/>
    <x v="838"/>
    <x v="0"/>
    <x v="4"/>
    <x v="3"/>
    <x v="0"/>
    <x v="7"/>
    <n v="2426"/>
    <x v="249"/>
    <n v="1504.12"/>
    <n v="31"/>
    <x v="13"/>
    <x v="0"/>
    <x v="0"/>
    <n v="631.73039999999992"/>
    <n v="872.38959999999997"/>
    <n v="0"/>
    <n v="0"/>
    <n v="0"/>
    <x v="824"/>
  </r>
  <r>
    <x v="13"/>
    <x v="232"/>
    <x v="839"/>
    <x v="3"/>
    <x v="2"/>
    <x v="1"/>
    <x v="2"/>
    <x v="3"/>
    <n v="226"/>
    <x v="0"/>
    <n v="226"/>
    <n v="46"/>
    <x v="35"/>
    <x v="1"/>
    <x v="3"/>
    <n v="94.92"/>
    <n v="131.07999999999998"/>
    <n v="150"/>
    <n v="22.6"/>
    <n v="226"/>
    <x v="439"/>
  </r>
  <r>
    <x v="4"/>
    <x v="233"/>
    <x v="840"/>
    <x v="2"/>
    <x v="1"/>
    <x v="2"/>
    <x v="3"/>
    <x v="6"/>
    <n v="1670"/>
    <x v="0"/>
    <n v="1670"/>
    <n v="5"/>
    <x v="12"/>
    <x v="0"/>
    <x v="0"/>
    <n v="701.4"/>
    <n v="968.6"/>
    <n v="0"/>
    <n v="0"/>
    <n v="0"/>
    <x v="825"/>
  </r>
  <r>
    <x v="33"/>
    <x v="233"/>
    <x v="841"/>
    <x v="7"/>
    <x v="0"/>
    <x v="2"/>
    <x v="3"/>
    <x v="4"/>
    <n v="3694"/>
    <x v="0"/>
    <n v="3694"/>
    <n v="12"/>
    <x v="25"/>
    <x v="1"/>
    <x v="3"/>
    <n v="1551.48"/>
    <n v="2142.52"/>
    <n v="150"/>
    <n v="369.40000000000003"/>
    <n v="3694"/>
    <x v="247"/>
  </r>
  <r>
    <x v="8"/>
    <x v="233"/>
    <x v="842"/>
    <x v="1"/>
    <x v="0"/>
    <x v="0"/>
    <x v="1"/>
    <x v="10"/>
    <n v="3127"/>
    <x v="0"/>
    <n v="3127"/>
    <n v="10"/>
    <x v="3"/>
    <x v="0"/>
    <x v="0"/>
    <n v="1313.34"/>
    <n v="1813.66"/>
    <n v="0"/>
    <n v="0"/>
    <n v="0"/>
    <x v="826"/>
  </r>
  <r>
    <x v="47"/>
    <x v="233"/>
    <x v="843"/>
    <x v="4"/>
    <x v="2"/>
    <x v="1"/>
    <x v="2"/>
    <x v="6"/>
    <n v="222"/>
    <x v="250"/>
    <n v="150.51599999999999"/>
    <n v="17"/>
    <x v="3"/>
    <x v="0"/>
    <x v="0"/>
    <n v="63.216719999999995"/>
    <n v="87.299279999999996"/>
    <n v="0"/>
    <n v="0"/>
    <n v="0"/>
    <x v="827"/>
  </r>
  <r>
    <x v="6"/>
    <x v="234"/>
    <x v="844"/>
    <x v="0"/>
    <x v="4"/>
    <x v="0"/>
    <x v="6"/>
    <x v="10"/>
    <n v="2003"/>
    <x v="0"/>
    <n v="2003"/>
    <n v="49"/>
    <x v="22"/>
    <x v="1"/>
    <x v="4"/>
    <n v="841.26"/>
    <n v="1161.74"/>
    <n v="150"/>
    <n v="200.3"/>
    <n v="2003"/>
    <x v="828"/>
  </r>
  <r>
    <x v="24"/>
    <x v="234"/>
    <x v="845"/>
    <x v="5"/>
    <x v="5"/>
    <x v="3"/>
    <x v="5"/>
    <x v="9"/>
    <n v="2964"/>
    <x v="26"/>
    <n v="2430.48"/>
    <n v="28"/>
    <x v="36"/>
    <x v="1"/>
    <x v="4"/>
    <n v="1020.8016"/>
    <n v="1409.6784"/>
    <n v="150"/>
    <n v="243.048"/>
    <n v="2430.48"/>
    <x v="829"/>
  </r>
  <r>
    <x v="19"/>
    <x v="234"/>
    <x v="846"/>
    <x v="2"/>
    <x v="5"/>
    <x v="1"/>
    <x v="4"/>
    <x v="9"/>
    <n v="1987"/>
    <x v="197"/>
    <n v="1776.3779999999999"/>
    <n v="6"/>
    <x v="3"/>
    <x v="1"/>
    <x v="3"/>
    <n v="746.07875999999999"/>
    <n v="1030.2992399999998"/>
    <n v="150"/>
    <n v="177.6378"/>
    <n v="1776.3779999999999"/>
    <x v="830"/>
  </r>
  <r>
    <x v="32"/>
    <x v="235"/>
    <x v="847"/>
    <x v="4"/>
    <x v="4"/>
    <x v="3"/>
    <x v="0"/>
    <x v="1"/>
    <n v="2234"/>
    <x v="251"/>
    <n v="1816.242"/>
    <n v="6"/>
    <x v="21"/>
    <x v="1"/>
    <x v="4"/>
    <n v="762.82164"/>
    <n v="1053.4203600000001"/>
    <n v="150"/>
    <n v="181.6242"/>
    <n v="1816.242"/>
    <x v="831"/>
  </r>
  <r>
    <x v="25"/>
    <x v="235"/>
    <x v="848"/>
    <x v="6"/>
    <x v="1"/>
    <x v="2"/>
    <x v="1"/>
    <x v="5"/>
    <n v="957"/>
    <x v="252"/>
    <n v="788.56799999999998"/>
    <n v="19"/>
    <x v="3"/>
    <x v="0"/>
    <x v="0"/>
    <n v="331.19855999999999"/>
    <n v="457.36944"/>
    <n v="0"/>
    <n v="0"/>
    <n v="0"/>
    <x v="832"/>
  </r>
  <r>
    <x v="36"/>
    <x v="235"/>
    <x v="849"/>
    <x v="5"/>
    <x v="3"/>
    <x v="1"/>
    <x v="0"/>
    <x v="7"/>
    <n v="4222"/>
    <x v="253"/>
    <n v="1954.7859999999998"/>
    <n v="18"/>
    <x v="3"/>
    <x v="0"/>
    <x v="0"/>
    <n v="821.01011999999992"/>
    <n v="1133.7758799999999"/>
    <n v="0"/>
    <n v="0"/>
    <n v="0"/>
    <x v="833"/>
  </r>
  <r>
    <x v="13"/>
    <x v="235"/>
    <x v="850"/>
    <x v="3"/>
    <x v="2"/>
    <x v="2"/>
    <x v="2"/>
    <x v="7"/>
    <n v="469"/>
    <x v="0"/>
    <n v="469"/>
    <n v="7"/>
    <x v="27"/>
    <x v="0"/>
    <x v="0"/>
    <n v="196.98"/>
    <n v="272.02"/>
    <n v="0"/>
    <n v="0"/>
    <n v="0"/>
    <x v="436"/>
  </r>
  <r>
    <x v="0"/>
    <x v="236"/>
    <x v="851"/>
    <x v="0"/>
    <x v="0"/>
    <x v="0"/>
    <x v="3"/>
    <x v="8"/>
    <n v="3844"/>
    <x v="254"/>
    <n v="2956.0360000000001"/>
    <n v="3"/>
    <x v="8"/>
    <x v="1"/>
    <x v="3"/>
    <n v="1241.53512"/>
    <n v="1714.5008800000001"/>
    <n v="150"/>
    <n v="295.60360000000003"/>
    <n v="2956.0360000000001"/>
    <x v="834"/>
  </r>
  <r>
    <x v="46"/>
    <x v="236"/>
    <x v="852"/>
    <x v="2"/>
    <x v="3"/>
    <x v="1"/>
    <x v="3"/>
    <x v="9"/>
    <n v="3877"/>
    <x v="0"/>
    <n v="3877"/>
    <n v="20"/>
    <x v="1"/>
    <x v="0"/>
    <x v="0"/>
    <n v="1628.34"/>
    <n v="2248.66"/>
    <n v="0"/>
    <n v="0"/>
    <n v="0"/>
    <x v="835"/>
  </r>
  <r>
    <x v="12"/>
    <x v="236"/>
    <x v="853"/>
    <x v="1"/>
    <x v="5"/>
    <x v="0"/>
    <x v="0"/>
    <x v="4"/>
    <n v="2398"/>
    <x v="44"/>
    <n v="2326.06"/>
    <n v="34"/>
    <x v="11"/>
    <x v="0"/>
    <x v="0"/>
    <n v="976.94519999999989"/>
    <n v="1349.1148000000001"/>
    <n v="0"/>
    <n v="0"/>
    <n v="0"/>
    <x v="836"/>
  </r>
  <r>
    <x v="12"/>
    <x v="237"/>
    <x v="854"/>
    <x v="1"/>
    <x v="5"/>
    <x v="2"/>
    <x v="6"/>
    <x v="9"/>
    <n v="2564"/>
    <x v="0"/>
    <n v="2564"/>
    <n v="16"/>
    <x v="7"/>
    <x v="0"/>
    <x v="0"/>
    <n v="1076.8799999999999"/>
    <n v="1487.1200000000001"/>
    <n v="0"/>
    <n v="0"/>
    <n v="0"/>
    <x v="759"/>
  </r>
  <r>
    <x v="37"/>
    <x v="237"/>
    <x v="855"/>
    <x v="4"/>
    <x v="3"/>
    <x v="1"/>
    <x v="2"/>
    <x v="7"/>
    <n v="3880"/>
    <x v="0"/>
    <n v="3880"/>
    <n v="12"/>
    <x v="35"/>
    <x v="0"/>
    <x v="0"/>
    <n v="1629.6"/>
    <n v="2250.4"/>
    <n v="0"/>
    <n v="0"/>
    <n v="0"/>
    <x v="837"/>
  </r>
  <r>
    <x v="10"/>
    <x v="237"/>
    <x v="856"/>
    <x v="3"/>
    <x v="1"/>
    <x v="2"/>
    <x v="4"/>
    <x v="11"/>
    <n v="1782"/>
    <x v="255"/>
    <n v="1760.616"/>
    <n v="10"/>
    <x v="18"/>
    <x v="0"/>
    <x v="0"/>
    <n v="739.45871999999997"/>
    <n v="1021.15728"/>
    <n v="0"/>
    <n v="0"/>
    <n v="0"/>
    <x v="838"/>
  </r>
  <r>
    <x v="31"/>
    <x v="237"/>
    <x v="857"/>
    <x v="2"/>
    <x v="2"/>
    <x v="0"/>
    <x v="2"/>
    <x v="5"/>
    <n v="311"/>
    <x v="256"/>
    <n v="173.84899999999999"/>
    <n v="11"/>
    <x v="19"/>
    <x v="0"/>
    <x v="0"/>
    <n v="73.01657999999999"/>
    <n v="100.83242"/>
    <n v="0"/>
    <n v="0"/>
    <n v="0"/>
    <x v="839"/>
  </r>
  <r>
    <x v="23"/>
    <x v="238"/>
    <x v="858"/>
    <x v="6"/>
    <x v="4"/>
    <x v="0"/>
    <x v="3"/>
    <x v="0"/>
    <n v="2400"/>
    <x v="0"/>
    <n v="2400"/>
    <n v="3"/>
    <x v="25"/>
    <x v="1"/>
    <x v="3"/>
    <n v="1008"/>
    <n v="1392"/>
    <n v="150"/>
    <n v="240"/>
    <n v="2400"/>
    <x v="840"/>
  </r>
  <r>
    <x v="21"/>
    <x v="238"/>
    <x v="859"/>
    <x v="1"/>
    <x v="4"/>
    <x v="0"/>
    <x v="0"/>
    <x v="4"/>
    <n v="2548"/>
    <x v="0"/>
    <n v="2548"/>
    <n v="12"/>
    <x v="37"/>
    <x v="0"/>
    <x v="0"/>
    <n v="1070.1599999999999"/>
    <n v="1477.8400000000001"/>
    <n v="0"/>
    <n v="0"/>
    <n v="0"/>
    <x v="841"/>
  </r>
  <r>
    <x v="42"/>
    <x v="238"/>
    <x v="860"/>
    <x v="0"/>
    <x v="5"/>
    <x v="1"/>
    <x v="1"/>
    <x v="0"/>
    <n v="2762"/>
    <x v="0"/>
    <n v="2762"/>
    <n v="23"/>
    <x v="24"/>
    <x v="0"/>
    <x v="0"/>
    <n v="1160.04"/>
    <n v="1601.96"/>
    <n v="0"/>
    <n v="0"/>
    <n v="0"/>
    <x v="842"/>
  </r>
  <r>
    <x v="4"/>
    <x v="239"/>
    <x v="861"/>
    <x v="2"/>
    <x v="1"/>
    <x v="2"/>
    <x v="6"/>
    <x v="0"/>
    <n v="910"/>
    <x v="257"/>
    <n v="757.12"/>
    <n v="30"/>
    <x v="17"/>
    <x v="0"/>
    <x v="0"/>
    <n v="317.99039999999997"/>
    <n v="439.12960000000004"/>
    <n v="0"/>
    <n v="0"/>
    <n v="0"/>
    <x v="843"/>
  </r>
  <r>
    <x v="7"/>
    <x v="239"/>
    <x v="862"/>
    <x v="3"/>
    <x v="5"/>
    <x v="0"/>
    <x v="3"/>
    <x v="10"/>
    <n v="2175"/>
    <x v="258"/>
    <n v="1211.4750000000001"/>
    <n v="49"/>
    <x v="3"/>
    <x v="0"/>
    <x v="0"/>
    <n v="508.81950000000006"/>
    <n v="702.65550000000007"/>
    <n v="0"/>
    <n v="0"/>
    <n v="0"/>
    <x v="844"/>
  </r>
  <r>
    <x v="47"/>
    <x v="239"/>
    <x v="863"/>
    <x v="4"/>
    <x v="2"/>
    <x v="3"/>
    <x v="2"/>
    <x v="11"/>
    <n v="195"/>
    <x v="0"/>
    <n v="195"/>
    <n v="14"/>
    <x v="24"/>
    <x v="0"/>
    <x v="0"/>
    <n v="81.899999999999991"/>
    <n v="113.10000000000001"/>
    <n v="0"/>
    <n v="0"/>
    <n v="0"/>
    <x v="845"/>
  </r>
  <r>
    <x v="33"/>
    <x v="239"/>
    <x v="864"/>
    <x v="7"/>
    <x v="0"/>
    <x v="0"/>
    <x v="3"/>
    <x v="9"/>
    <n v="3597"/>
    <x v="259"/>
    <n v="1981.9469999999997"/>
    <n v="23"/>
    <x v="38"/>
    <x v="0"/>
    <x v="0"/>
    <n v="832.41773999999987"/>
    <n v="1149.5292599999998"/>
    <n v="0"/>
    <n v="0"/>
    <n v="0"/>
    <x v="846"/>
  </r>
  <r>
    <x v="34"/>
    <x v="240"/>
    <x v="865"/>
    <x v="6"/>
    <x v="0"/>
    <x v="2"/>
    <x v="4"/>
    <x v="5"/>
    <n v="3011"/>
    <x v="172"/>
    <n v="1466.357"/>
    <n v="38"/>
    <x v="3"/>
    <x v="1"/>
    <x v="4"/>
    <n v="615.86993999999993"/>
    <n v="850.48706000000004"/>
    <n v="150"/>
    <n v="146.63570000000001"/>
    <n v="1466.357"/>
    <x v="847"/>
  </r>
  <r>
    <x v="11"/>
    <x v="240"/>
    <x v="866"/>
    <x v="5"/>
    <x v="4"/>
    <x v="1"/>
    <x v="4"/>
    <x v="8"/>
    <n v="2106"/>
    <x v="0"/>
    <n v="2106"/>
    <n v="34"/>
    <x v="3"/>
    <x v="0"/>
    <x v="0"/>
    <n v="884.52"/>
    <n v="1221.48"/>
    <n v="0"/>
    <n v="0"/>
    <n v="0"/>
    <x v="530"/>
  </r>
  <r>
    <x v="6"/>
    <x v="240"/>
    <x v="867"/>
    <x v="0"/>
    <x v="4"/>
    <x v="2"/>
    <x v="0"/>
    <x v="4"/>
    <n v="2084"/>
    <x v="260"/>
    <n v="1867.2640000000001"/>
    <n v="36"/>
    <x v="5"/>
    <x v="0"/>
    <x v="0"/>
    <n v="784.25088000000005"/>
    <n v="1083.0131200000001"/>
    <n v="0"/>
    <n v="0"/>
    <n v="0"/>
    <x v="848"/>
  </r>
  <r>
    <x v="33"/>
    <x v="241"/>
    <x v="868"/>
    <x v="7"/>
    <x v="0"/>
    <x v="0"/>
    <x v="5"/>
    <x v="5"/>
    <n v="4164"/>
    <x v="0"/>
    <n v="4164"/>
    <n v="6"/>
    <x v="31"/>
    <x v="0"/>
    <x v="0"/>
    <n v="1748.8799999999999"/>
    <n v="2415.12"/>
    <n v="0"/>
    <n v="0"/>
    <n v="0"/>
    <x v="849"/>
  </r>
  <r>
    <x v="5"/>
    <x v="241"/>
    <x v="869"/>
    <x v="0"/>
    <x v="2"/>
    <x v="2"/>
    <x v="2"/>
    <x v="2"/>
    <n v="205"/>
    <x v="261"/>
    <n v="141.44999999999999"/>
    <n v="9"/>
    <x v="40"/>
    <x v="1"/>
    <x v="4"/>
    <n v="59.408999999999992"/>
    <n v="82.040999999999997"/>
    <n v="150"/>
    <n v="14.145"/>
    <n v="141.44999999999999"/>
    <x v="850"/>
  </r>
  <r>
    <x v="24"/>
    <x v="241"/>
    <x v="870"/>
    <x v="5"/>
    <x v="5"/>
    <x v="2"/>
    <x v="1"/>
    <x v="3"/>
    <n v="1962"/>
    <x v="0"/>
    <n v="1962"/>
    <n v="36"/>
    <x v="35"/>
    <x v="0"/>
    <x v="0"/>
    <n v="824.04"/>
    <n v="1137.96"/>
    <n v="0"/>
    <n v="0"/>
    <n v="0"/>
    <x v="851"/>
  </r>
  <r>
    <x v="1"/>
    <x v="241"/>
    <x v="871"/>
    <x v="1"/>
    <x v="1"/>
    <x v="0"/>
    <x v="3"/>
    <x v="2"/>
    <n v="1788"/>
    <x v="0"/>
    <n v="1788"/>
    <n v="13"/>
    <x v="3"/>
    <x v="0"/>
    <x v="0"/>
    <n v="750.95999999999992"/>
    <n v="1037.04"/>
    <n v="0"/>
    <n v="0"/>
    <n v="0"/>
    <x v="852"/>
  </r>
  <r>
    <x v="41"/>
    <x v="242"/>
    <x v="872"/>
    <x v="6"/>
    <x v="2"/>
    <x v="1"/>
    <x v="2"/>
    <x v="7"/>
    <n v="260"/>
    <x v="0"/>
    <n v="260"/>
    <n v="21"/>
    <x v="18"/>
    <x v="0"/>
    <x v="0"/>
    <n v="109.2"/>
    <n v="150.80000000000001"/>
    <n v="0"/>
    <n v="0"/>
    <n v="0"/>
    <x v="853"/>
  </r>
  <r>
    <x v="14"/>
    <x v="242"/>
    <x v="873"/>
    <x v="6"/>
    <x v="3"/>
    <x v="2"/>
    <x v="5"/>
    <x v="6"/>
    <n v="4183"/>
    <x v="262"/>
    <n v="2798.4270000000001"/>
    <n v="45"/>
    <x v="23"/>
    <x v="0"/>
    <x v="0"/>
    <n v="1175.33934"/>
    <n v="1623.0876600000001"/>
    <n v="0"/>
    <n v="0"/>
    <n v="0"/>
    <x v="854"/>
  </r>
  <r>
    <x v="42"/>
    <x v="242"/>
    <x v="874"/>
    <x v="0"/>
    <x v="5"/>
    <x v="0"/>
    <x v="6"/>
    <x v="7"/>
    <n v="1863"/>
    <x v="78"/>
    <n v="817.85699999999986"/>
    <n v="16"/>
    <x v="13"/>
    <x v="0"/>
    <x v="0"/>
    <n v="343.49993999999992"/>
    <n v="474.35705999999993"/>
    <n v="0"/>
    <n v="0"/>
    <n v="0"/>
    <x v="855"/>
  </r>
  <r>
    <x v="26"/>
    <x v="242"/>
    <x v="875"/>
    <x v="0"/>
    <x v="3"/>
    <x v="2"/>
    <x v="5"/>
    <x v="0"/>
    <n v="3894"/>
    <x v="263"/>
    <n v="3574.692"/>
    <n v="12"/>
    <x v="3"/>
    <x v="0"/>
    <x v="0"/>
    <n v="1501.3706399999999"/>
    <n v="2073.3213599999999"/>
    <n v="0"/>
    <n v="0"/>
    <n v="0"/>
    <x v="856"/>
  </r>
  <r>
    <x v="13"/>
    <x v="243"/>
    <x v="876"/>
    <x v="3"/>
    <x v="2"/>
    <x v="1"/>
    <x v="2"/>
    <x v="9"/>
    <n v="264"/>
    <x v="0"/>
    <n v="264"/>
    <n v="29"/>
    <x v="36"/>
    <x v="1"/>
    <x v="3"/>
    <n v="110.88"/>
    <n v="153.12"/>
    <n v="150"/>
    <n v="26.400000000000002"/>
    <n v="264"/>
    <x v="857"/>
  </r>
  <r>
    <x v="31"/>
    <x v="243"/>
    <x v="877"/>
    <x v="2"/>
    <x v="2"/>
    <x v="2"/>
    <x v="2"/>
    <x v="5"/>
    <n v="293"/>
    <x v="66"/>
    <n v="288.01900000000001"/>
    <n v="28"/>
    <x v="5"/>
    <x v="0"/>
    <x v="0"/>
    <n v="120.96798"/>
    <n v="167.05101999999999"/>
    <n v="0"/>
    <n v="0"/>
    <n v="0"/>
    <x v="858"/>
  </r>
  <r>
    <x v="32"/>
    <x v="243"/>
    <x v="878"/>
    <x v="4"/>
    <x v="4"/>
    <x v="1"/>
    <x v="6"/>
    <x v="0"/>
    <n v="2085"/>
    <x v="181"/>
    <n v="1492.86"/>
    <n v="32"/>
    <x v="8"/>
    <x v="0"/>
    <x v="0"/>
    <n v="627.00119999999993"/>
    <n v="865.85879999999997"/>
    <n v="0"/>
    <n v="0"/>
    <n v="0"/>
    <x v="859"/>
  </r>
  <r>
    <x v="18"/>
    <x v="243"/>
    <x v="879"/>
    <x v="3"/>
    <x v="4"/>
    <x v="0"/>
    <x v="1"/>
    <x v="6"/>
    <n v="2532"/>
    <x v="0"/>
    <n v="2532"/>
    <n v="18"/>
    <x v="13"/>
    <x v="0"/>
    <x v="0"/>
    <n v="1063.44"/>
    <n v="1468.56"/>
    <n v="0"/>
    <n v="0"/>
    <n v="0"/>
    <x v="860"/>
  </r>
  <r>
    <x v="46"/>
    <x v="244"/>
    <x v="880"/>
    <x v="2"/>
    <x v="3"/>
    <x v="1"/>
    <x v="6"/>
    <x v="10"/>
    <n v="3434"/>
    <x v="0"/>
    <n v="3434"/>
    <n v="45"/>
    <x v="3"/>
    <x v="0"/>
    <x v="0"/>
    <n v="1442.28"/>
    <n v="1991.72"/>
    <n v="0"/>
    <n v="0"/>
    <n v="0"/>
    <x v="861"/>
  </r>
  <r>
    <x v="42"/>
    <x v="244"/>
    <x v="881"/>
    <x v="0"/>
    <x v="5"/>
    <x v="1"/>
    <x v="3"/>
    <x v="6"/>
    <n v="2108"/>
    <x v="0"/>
    <n v="2108"/>
    <n v="27"/>
    <x v="12"/>
    <x v="0"/>
    <x v="0"/>
    <n v="885.36"/>
    <n v="1222.6399999999999"/>
    <n v="0"/>
    <n v="0"/>
    <n v="0"/>
    <x v="862"/>
  </r>
  <r>
    <x v="40"/>
    <x v="244"/>
    <x v="882"/>
    <x v="5"/>
    <x v="0"/>
    <x v="3"/>
    <x v="0"/>
    <x v="5"/>
    <n v="3438"/>
    <x v="0"/>
    <n v="3438"/>
    <n v="16"/>
    <x v="3"/>
    <x v="0"/>
    <x v="0"/>
    <n v="1443.96"/>
    <n v="1994.04"/>
    <n v="0"/>
    <n v="0"/>
    <n v="0"/>
    <x v="863"/>
  </r>
  <r>
    <x v="5"/>
    <x v="244"/>
    <x v="883"/>
    <x v="0"/>
    <x v="2"/>
    <x v="1"/>
    <x v="2"/>
    <x v="11"/>
    <n v="190"/>
    <x v="0"/>
    <n v="190"/>
    <n v="27"/>
    <x v="36"/>
    <x v="0"/>
    <x v="0"/>
    <n v="79.8"/>
    <n v="110.2"/>
    <n v="0"/>
    <n v="0"/>
    <n v="0"/>
    <x v="864"/>
  </r>
  <r>
    <x v="18"/>
    <x v="245"/>
    <x v="884"/>
    <x v="3"/>
    <x v="4"/>
    <x v="0"/>
    <x v="0"/>
    <x v="0"/>
    <n v="2655"/>
    <x v="264"/>
    <n v="2049.66"/>
    <n v="0"/>
    <x v="3"/>
    <x v="0"/>
    <x v="0"/>
    <n v="860.85719999999992"/>
    <n v="1188.8027999999999"/>
    <n v="0"/>
    <n v="0"/>
    <n v="0"/>
    <x v="865"/>
  </r>
  <r>
    <x v="27"/>
    <x v="245"/>
    <x v="885"/>
    <x v="7"/>
    <x v="2"/>
    <x v="1"/>
    <x v="2"/>
    <x v="0"/>
    <n v="390"/>
    <x v="0"/>
    <n v="390"/>
    <n v="29"/>
    <x v="3"/>
    <x v="0"/>
    <x v="0"/>
    <n v="163.79999999999998"/>
    <n v="226.20000000000002"/>
    <n v="0"/>
    <n v="0"/>
    <n v="0"/>
    <x v="515"/>
  </r>
  <r>
    <x v="27"/>
    <x v="245"/>
    <x v="886"/>
    <x v="7"/>
    <x v="2"/>
    <x v="3"/>
    <x v="2"/>
    <x v="8"/>
    <n v="376"/>
    <x v="229"/>
    <n v="177.47199999999998"/>
    <n v="11"/>
    <x v="3"/>
    <x v="0"/>
    <x v="0"/>
    <n v="74.538239999999988"/>
    <n v="102.93375999999999"/>
    <n v="0"/>
    <n v="0"/>
    <n v="0"/>
    <x v="866"/>
  </r>
  <r>
    <x v="47"/>
    <x v="245"/>
    <x v="887"/>
    <x v="4"/>
    <x v="2"/>
    <x v="0"/>
    <x v="2"/>
    <x v="6"/>
    <n v="342"/>
    <x v="0"/>
    <n v="342"/>
    <n v="33"/>
    <x v="2"/>
    <x v="0"/>
    <x v="0"/>
    <n v="143.63999999999999"/>
    <n v="198.36"/>
    <n v="0"/>
    <n v="0"/>
    <n v="0"/>
    <x v="867"/>
  </r>
  <r>
    <x v="26"/>
    <x v="246"/>
    <x v="888"/>
    <x v="0"/>
    <x v="3"/>
    <x v="2"/>
    <x v="2"/>
    <x v="11"/>
    <n v="4131"/>
    <x v="0"/>
    <n v="4131"/>
    <n v="30"/>
    <x v="31"/>
    <x v="1"/>
    <x v="5"/>
    <n v="1735.02"/>
    <n v="2395.98"/>
    <n v="150"/>
    <n v="413.1"/>
    <n v="4131"/>
    <x v="868"/>
  </r>
  <r>
    <x v="30"/>
    <x v="246"/>
    <x v="889"/>
    <x v="7"/>
    <x v="4"/>
    <x v="1"/>
    <x v="0"/>
    <x v="7"/>
    <n v="2698"/>
    <x v="0"/>
    <n v="2698"/>
    <n v="39"/>
    <x v="30"/>
    <x v="0"/>
    <x v="0"/>
    <n v="1133.1599999999999"/>
    <n v="1564.8400000000001"/>
    <n v="0"/>
    <n v="0"/>
    <n v="0"/>
    <x v="869"/>
  </r>
  <r>
    <x v="36"/>
    <x v="246"/>
    <x v="890"/>
    <x v="5"/>
    <x v="3"/>
    <x v="0"/>
    <x v="1"/>
    <x v="10"/>
    <n v="3721"/>
    <x v="0"/>
    <n v="3721"/>
    <n v="49"/>
    <x v="20"/>
    <x v="1"/>
    <x v="4"/>
    <n v="1562.82"/>
    <n v="2158.1800000000003"/>
    <n v="150"/>
    <n v="372.1"/>
    <n v="3721"/>
    <x v="870"/>
  </r>
  <r>
    <x v="27"/>
    <x v="246"/>
    <x v="891"/>
    <x v="7"/>
    <x v="2"/>
    <x v="0"/>
    <x v="2"/>
    <x v="11"/>
    <n v="196"/>
    <x v="238"/>
    <n v="111.72000000000001"/>
    <n v="36"/>
    <x v="28"/>
    <x v="0"/>
    <x v="0"/>
    <n v="46.922400000000003"/>
    <n v="64.797600000000017"/>
    <n v="0"/>
    <n v="0"/>
    <n v="0"/>
    <x v="871"/>
  </r>
  <r>
    <x v="40"/>
    <x v="247"/>
    <x v="892"/>
    <x v="5"/>
    <x v="0"/>
    <x v="1"/>
    <x v="3"/>
    <x v="9"/>
    <n v="3425"/>
    <x v="0"/>
    <n v="3425"/>
    <n v="43"/>
    <x v="3"/>
    <x v="1"/>
    <x v="4"/>
    <n v="1438.5"/>
    <n v="1986.5"/>
    <n v="150"/>
    <n v="342.5"/>
    <n v="3425"/>
    <x v="872"/>
  </r>
  <r>
    <x v="14"/>
    <x v="247"/>
    <x v="893"/>
    <x v="6"/>
    <x v="3"/>
    <x v="0"/>
    <x v="5"/>
    <x v="7"/>
    <n v="4017"/>
    <x v="265"/>
    <n v="1695.1740000000002"/>
    <n v="11"/>
    <x v="41"/>
    <x v="0"/>
    <x v="0"/>
    <n v="711.9730800000001"/>
    <n v="983.20092000000011"/>
    <n v="0"/>
    <n v="0"/>
    <n v="0"/>
    <x v="873"/>
  </r>
  <r>
    <x v="4"/>
    <x v="247"/>
    <x v="894"/>
    <x v="2"/>
    <x v="1"/>
    <x v="1"/>
    <x v="2"/>
    <x v="2"/>
    <n v="962"/>
    <x v="266"/>
    <n v="490.62"/>
    <n v="31"/>
    <x v="3"/>
    <x v="0"/>
    <x v="0"/>
    <n v="206.06039999999999"/>
    <n v="284.55960000000005"/>
    <n v="0"/>
    <n v="0"/>
    <n v="0"/>
    <x v="874"/>
  </r>
  <r>
    <x v="15"/>
    <x v="247"/>
    <x v="895"/>
    <x v="5"/>
    <x v="1"/>
    <x v="3"/>
    <x v="5"/>
    <x v="2"/>
    <n v="1742"/>
    <x v="0"/>
    <n v="1742"/>
    <n v="19"/>
    <x v="13"/>
    <x v="0"/>
    <x v="0"/>
    <n v="731.64"/>
    <n v="1010.36"/>
    <n v="0"/>
    <n v="0"/>
    <n v="0"/>
    <x v="875"/>
  </r>
  <r>
    <x v="27"/>
    <x v="248"/>
    <x v="896"/>
    <x v="7"/>
    <x v="2"/>
    <x v="1"/>
    <x v="2"/>
    <x v="5"/>
    <n v="480"/>
    <x v="0"/>
    <n v="480"/>
    <n v="28"/>
    <x v="40"/>
    <x v="0"/>
    <x v="0"/>
    <n v="201.6"/>
    <n v="278.39999999999998"/>
    <n v="0"/>
    <n v="0"/>
    <n v="0"/>
    <x v="876"/>
  </r>
  <r>
    <x v="21"/>
    <x v="248"/>
    <x v="897"/>
    <x v="1"/>
    <x v="4"/>
    <x v="0"/>
    <x v="6"/>
    <x v="1"/>
    <n v="2497"/>
    <x v="0"/>
    <n v="2497"/>
    <n v="24"/>
    <x v="10"/>
    <x v="0"/>
    <x v="0"/>
    <n v="1048.74"/>
    <n v="1448.26"/>
    <n v="0"/>
    <n v="0"/>
    <n v="0"/>
    <x v="877"/>
  </r>
  <r>
    <x v="0"/>
    <x v="248"/>
    <x v="898"/>
    <x v="0"/>
    <x v="0"/>
    <x v="3"/>
    <x v="6"/>
    <x v="6"/>
    <n v="3435"/>
    <x v="0"/>
    <n v="3435"/>
    <n v="1"/>
    <x v="36"/>
    <x v="0"/>
    <x v="0"/>
    <n v="1442.7"/>
    <n v="1992.3"/>
    <n v="0"/>
    <n v="0"/>
    <n v="0"/>
    <x v="878"/>
  </r>
  <r>
    <x v="8"/>
    <x v="248"/>
    <x v="899"/>
    <x v="1"/>
    <x v="0"/>
    <x v="1"/>
    <x v="1"/>
    <x v="7"/>
    <n v="4412"/>
    <x v="0"/>
    <n v="4412"/>
    <n v="33"/>
    <x v="36"/>
    <x v="0"/>
    <x v="0"/>
    <n v="1853.04"/>
    <n v="2558.96"/>
    <n v="0"/>
    <n v="0"/>
    <n v="0"/>
    <x v="879"/>
  </r>
  <r>
    <x v="31"/>
    <x v="249"/>
    <x v="900"/>
    <x v="2"/>
    <x v="2"/>
    <x v="3"/>
    <x v="2"/>
    <x v="0"/>
    <n v="438"/>
    <x v="267"/>
    <n v="384.56400000000002"/>
    <n v="14"/>
    <x v="35"/>
    <x v="0"/>
    <x v="0"/>
    <n v="161.51688000000001"/>
    <n v="223.04712000000001"/>
    <n v="0"/>
    <n v="0"/>
    <n v="0"/>
    <x v="880"/>
  </r>
  <r>
    <x v="37"/>
    <x v="249"/>
    <x v="901"/>
    <x v="4"/>
    <x v="3"/>
    <x v="2"/>
    <x v="6"/>
    <x v="1"/>
    <n v="3585"/>
    <x v="0"/>
    <n v="3585"/>
    <n v="33"/>
    <x v="29"/>
    <x v="0"/>
    <x v="0"/>
    <n v="1505.7"/>
    <n v="2079.3000000000002"/>
    <n v="0"/>
    <n v="0"/>
    <n v="0"/>
    <x v="881"/>
  </r>
  <r>
    <x v="47"/>
    <x v="249"/>
    <x v="902"/>
    <x v="4"/>
    <x v="2"/>
    <x v="0"/>
    <x v="2"/>
    <x v="1"/>
    <n v="461"/>
    <x v="268"/>
    <n v="387.24"/>
    <n v="32"/>
    <x v="3"/>
    <x v="0"/>
    <x v="0"/>
    <n v="162.64079999999998"/>
    <n v="224.59920000000002"/>
    <n v="0"/>
    <n v="0"/>
    <n v="0"/>
    <x v="882"/>
  </r>
  <r>
    <x v="28"/>
    <x v="250"/>
    <x v="903"/>
    <x v="3"/>
    <x v="3"/>
    <x v="3"/>
    <x v="5"/>
    <x v="8"/>
    <n v="4122"/>
    <x v="0"/>
    <n v="4122"/>
    <n v="7"/>
    <x v="31"/>
    <x v="1"/>
    <x v="3"/>
    <n v="1731.24"/>
    <n v="2390.7600000000002"/>
    <n v="150"/>
    <n v="412.20000000000005"/>
    <n v="4122"/>
    <x v="883"/>
  </r>
  <r>
    <x v="13"/>
    <x v="250"/>
    <x v="904"/>
    <x v="3"/>
    <x v="2"/>
    <x v="2"/>
    <x v="2"/>
    <x v="1"/>
    <n v="247"/>
    <x v="0"/>
    <n v="247"/>
    <n v="35"/>
    <x v="12"/>
    <x v="0"/>
    <x v="0"/>
    <n v="103.74"/>
    <n v="143.26"/>
    <n v="0"/>
    <n v="0"/>
    <n v="0"/>
    <x v="241"/>
  </r>
  <r>
    <x v="18"/>
    <x v="250"/>
    <x v="905"/>
    <x v="3"/>
    <x v="4"/>
    <x v="0"/>
    <x v="0"/>
    <x v="1"/>
    <n v="2123"/>
    <x v="269"/>
    <n v="1320.5060000000003"/>
    <n v="21"/>
    <x v="4"/>
    <x v="0"/>
    <x v="0"/>
    <n v="554.61252000000013"/>
    <n v="765.89348000000018"/>
    <n v="0"/>
    <n v="0"/>
    <n v="0"/>
    <x v="884"/>
  </r>
  <r>
    <x v="37"/>
    <x v="250"/>
    <x v="906"/>
    <x v="4"/>
    <x v="3"/>
    <x v="2"/>
    <x v="4"/>
    <x v="6"/>
    <n v="3981"/>
    <x v="270"/>
    <n v="1986.519"/>
    <n v="7"/>
    <x v="18"/>
    <x v="1"/>
    <x v="4"/>
    <n v="834.33798000000002"/>
    <n v="1152.18102"/>
    <n v="150"/>
    <n v="198.65190000000001"/>
    <n v="1986.519"/>
    <x v="885"/>
  </r>
  <r>
    <x v="39"/>
    <x v="251"/>
    <x v="907"/>
    <x v="7"/>
    <x v="5"/>
    <x v="0"/>
    <x v="3"/>
    <x v="5"/>
    <n v="2278"/>
    <x v="271"/>
    <n v="1066.104"/>
    <n v="37"/>
    <x v="41"/>
    <x v="1"/>
    <x v="2"/>
    <n v="447.76368000000002"/>
    <n v="618.34032000000002"/>
    <n v="150"/>
    <n v="106.61040000000001"/>
    <n v="1066.104"/>
    <x v="886"/>
  </r>
  <r>
    <x v="45"/>
    <x v="251"/>
    <x v="908"/>
    <x v="7"/>
    <x v="3"/>
    <x v="3"/>
    <x v="4"/>
    <x v="6"/>
    <n v="3735"/>
    <x v="189"/>
    <n v="3114.99"/>
    <n v="39"/>
    <x v="35"/>
    <x v="0"/>
    <x v="0"/>
    <n v="1308.2957999999999"/>
    <n v="1806.6941999999999"/>
    <n v="0"/>
    <n v="0"/>
    <n v="0"/>
    <x v="887"/>
  </r>
  <r>
    <x v="46"/>
    <x v="251"/>
    <x v="909"/>
    <x v="2"/>
    <x v="3"/>
    <x v="1"/>
    <x v="5"/>
    <x v="4"/>
    <n v="4025"/>
    <x v="0"/>
    <n v="4025"/>
    <n v="28"/>
    <x v="23"/>
    <x v="0"/>
    <x v="0"/>
    <n v="1690.5"/>
    <n v="2334.5"/>
    <n v="0"/>
    <n v="0"/>
    <n v="0"/>
    <x v="888"/>
  </r>
  <r>
    <x v="1"/>
    <x v="251"/>
    <x v="910"/>
    <x v="1"/>
    <x v="1"/>
    <x v="0"/>
    <x v="2"/>
    <x v="11"/>
    <n v="1124"/>
    <x v="272"/>
    <n v="857.61199999999997"/>
    <n v="29"/>
    <x v="14"/>
    <x v="0"/>
    <x v="0"/>
    <n v="360.19703999999996"/>
    <n v="497.41496000000001"/>
    <n v="0"/>
    <n v="0"/>
    <n v="0"/>
    <x v="889"/>
  </r>
  <r>
    <x v="22"/>
    <x v="251"/>
    <x v="911"/>
    <x v="2"/>
    <x v="4"/>
    <x v="0"/>
    <x v="3"/>
    <x v="6"/>
    <n v="2154"/>
    <x v="115"/>
    <n v="1805.0519999999999"/>
    <n v="10"/>
    <x v="23"/>
    <x v="0"/>
    <x v="0"/>
    <n v="758.12183999999991"/>
    <n v="1046.9301599999999"/>
    <n v="0"/>
    <n v="0"/>
    <n v="0"/>
    <x v="890"/>
  </r>
  <r>
    <x v="34"/>
    <x v="252"/>
    <x v="912"/>
    <x v="6"/>
    <x v="0"/>
    <x v="3"/>
    <x v="3"/>
    <x v="3"/>
    <n v="3378"/>
    <x v="0"/>
    <n v="3378"/>
    <n v="2"/>
    <x v="23"/>
    <x v="0"/>
    <x v="0"/>
    <n v="1418.76"/>
    <n v="1959.24"/>
    <n v="0"/>
    <n v="0"/>
    <n v="0"/>
    <x v="86"/>
  </r>
  <r>
    <x v="14"/>
    <x v="252"/>
    <x v="913"/>
    <x v="6"/>
    <x v="3"/>
    <x v="0"/>
    <x v="2"/>
    <x v="8"/>
    <n v="3812"/>
    <x v="273"/>
    <n v="2401.56"/>
    <n v="45"/>
    <x v="4"/>
    <x v="0"/>
    <x v="0"/>
    <n v="1008.6551999999999"/>
    <n v="1392.9048"/>
    <n v="0"/>
    <n v="0"/>
    <n v="0"/>
    <x v="891"/>
  </r>
  <r>
    <x v="20"/>
    <x v="252"/>
    <x v="914"/>
    <x v="7"/>
    <x v="1"/>
    <x v="3"/>
    <x v="5"/>
    <x v="11"/>
    <n v="1078"/>
    <x v="0"/>
    <n v="1078"/>
    <n v="41"/>
    <x v="23"/>
    <x v="1"/>
    <x v="4"/>
    <n v="452.76"/>
    <n v="625.24"/>
    <n v="150"/>
    <n v="107.80000000000001"/>
    <n v="1078"/>
    <x v="892"/>
  </r>
  <r>
    <x v="32"/>
    <x v="253"/>
    <x v="915"/>
    <x v="4"/>
    <x v="4"/>
    <x v="2"/>
    <x v="1"/>
    <x v="2"/>
    <n v="2569"/>
    <x v="274"/>
    <n v="2057.7690000000002"/>
    <n v="39"/>
    <x v="25"/>
    <x v="0"/>
    <x v="0"/>
    <n v="864.26298000000008"/>
    <n v="1193.5060200000003"/>
    <n v="0"/>
    <n v="0"/>
    <n v="0"/>
    <x v="893"/>
  </r>
  <r>
    <x v="40"/>
    <x v="253"/>
    <x v="916"/>
    <x v="5"/>
    <x v="0"/>
    <x v="2"/>
    <x v="3"/>
    <x v="1"/>
    <n v="3925"/>
    <x v="0"/>
    <n v="3925"/>
    <n v="9"/>
    <x v="0"/>
    <x v="0"/>
    <x v="0"/>
    <n v="1648.5"/>
    <n v="2276.5"/>
    <n v="0"/>
    <n v="0"/>
    <n v="0"/>
    <x v="894"/>
  </r>
  <r>
    <x v="21"/>
    <x v="253"/>
    <x v="917"/>
    <x v="1"/>
    <x v="4"/>
    <x v="2"/>
    <x v="2"/>
    <x v="0"/>
    <n v="2588"/>
    <x v="275"/>
    <n v="1850.4200000000003"/>
    <n v="3"/>
    <x v="34"/>
    <x v="0"/>
    <x v="0"/>
    <n v="777.17640000000006"/>
    <n v="1073.2436000000002"/>
    <n v="0"/>
    <n v="0"/>
    <n v="0"/>
    <x v="895"/>
  </r>
  <r>
    <x v="14"/>
    <x v="253"/>
    <x v="918"/>
    <x v="6"/>
    <x v="3"/>
    <x v="2"/>
    <x v="5"/>
    <x v="11"/>
    <n v="3930"/>
    <x v="43"/>
    <n v="1713.4800000000002"/>
    <n v="22"/>
    <x v="26"/>
    <x v="0"/>
    <x v="0"/>
    <n v="719.66160000000002"/>
    <n v="993.81840000000022"/>
    <n v="0"/>
    <n v="0"/>
    <n v="0"/>
    <x v="896"/>
  </r>
  <r>
    <x v="29"/>
    <x v="254"/>
    <x v="919"/>
    <x v="5"/>
    <x v="2"/>
    <x v="3"/>
    <x v="2"/>
    <x v="7"/>
    <n v="477"/>
    <x v="276"/>
    <n v="195.09300000000002"/>
    <n v="50"/>
    <x v="19"/>
    <x v="1"/>
    <x v="6"/>
    <n v="81.939059999999998"/>
    <n v="113.15394000000002"/>
    <n v="150"/>
    <n v="19.509300000000003"/>
    <n v="195.09300000000002"/>
    <x v="897"/>
  </r>
  <r>
    <x v="21"/>
    <x v="254"/>
    <x v="920"/>
    <x v="1"/>
    <x v="4"/>
    <x v="0"/>
    <x v="1"/>
    <x v="0"/>
    <n v="2581"/>
    <x v="0"/>
    <n v="2581"/>
    <n v="24"/>
    <x v="23"/>
    <x v="0"/>
    <x v="0"/>
    <n v="1084.02"/>
    <n v="1496.98"/>
    <n v="0"/>
    <n v="0"/>
    <n v="0"/>
    <x v="507"/>
  </r>
  <r>
    <x v="29"/>
    <x v="254"/>
    <x v="921"/>
    <x v="5"/>
    <x v="2"/>
    <x v="0"/>
    <x v="2"/>
    <x v="6"/>
    <n v="424"/>
    <x v="0"/>
    <n v="424"/>
    <n v="22"/>
    <x v="26"/>
    <x v="0"/>
    <x v="0"/>
    <n v="178.07999999999998"/>
    <n v="245.92000000000002"/>
    <n v="0"/>
    <n v="0"/>
    <n v="0"/>
    <x v="898"/>
  </r>
  <r>
    <x v="40"/>
    <x v="254"/>
    <x v="922"/>
    <x v="5"/>
    <x v="0"/>
    <x v="3"/>
    <x v="1"/>
    <x v="9"/>
    <n v="4156"/>
    <x v="0"/>
    <n v="4156"/>
    <n v="12"/>
    <x v="3"/>
    <x v="0"/>
    <x v="0"/>
    <n v="1745.52"/>
    <n v="2410.48"/>
    <n v="0"/>
    <n v="0"/>
    <n v="0"/>
    <x v="899"/>
  </r>
  <r>
    <x v="6"/>
    <x v="255"/>
    <x v="923"/>
    <x v="0"/>
    <x v="4"/>
    <x v="1"/>
    <x v="0"/>
    <x v="4"/>
    <n v="2124"/>
    <x v="0"/>
    <n v="2124"/>
    <n v="6"/>
    <x v="16"/>
    <x v="0"/>
    <x v="0"/>
    <n v="892.07999999999993"/>
    <n v="1231.92"/>
    <n v="0"/>
    <n v="0"/>
    <n v="0"/>
    <x v="900"/>
  </r>
  <r>
    <x v="15"/>
    <x v="255"/>
    <x v="924"/>
    <x v="5"/>
    <x v="1"/>
    <x v="3"/>
    <x v="6"/>
    <x v="4"/>
    <n v="951"/>
    <x v="0"/>
    <n v="951"/>
    <n v="15"/>
    <x v="8"/>
    <x v="0"/>
    <x v="0"/>
    <n v="399.41999999999996"/>
    <n v="551.58000000000004"/>
    <n v="0"/>
    <n v="0"/>
    <n v="0"/>
    <x v="901"/>
  </r>
  <r>
    <x v="5"/>
    <x v="255"/>
    <x v="925"/>
    <x v="0"/>
    <x v="2"/>
    <x v="0"/>
    <x v="2"/>
    <x v="4"/>
    <n v="467"/>
    <x v="277"/>
    <n v="284.87"/>
    <n v="37"/>
    <x v="1"/>
    <x v="1"/>
    <x v="1"/>
    <n v="119.6454"/>
    <n v="165.22460000000001"/>
    <n v="150"/>
    <n v="28.487000000000002"/>
    <n v="284.87"/>
    <x v="902"/>
  </r>
  <r>
    <x v="0"/>
    <x v="255"/>
    <x v="926"/>
    <x v="0"/>
    <x v="0"/>
    <x v="0"/>
    <x v="4"/>
    <x v="1"/>
    <n v="3417"/>
    <x v="278"/>
    <n v="2976.2069999999999"/>
    <n v="23"/>
    <x v="7"/>
    <x v="1"/>
    <x v="4"/>
    <n v="1250.00694"/>
    <n v="1726.2000599999999"/>
    <n v="150"/>
    <n v="297.6207"/>
    <n v="2976.2069999999999"/>
    <x v="903"/>
  </r>
  <r>
    <x v="2"/>
    <x v="256"/>
    <x v="927"/>
    <x v="1"/>
    <x v="2"/>
    <x v="0"/>
    <x v="2"/>
    <x v="2"/>
    <n v="358"/>
    <x v="0"/>
    <n v="358"/>
    <n v="20"/>
    <x v="7"/>
    <x v="1"/>
    <x v="2"/>
    <n v="150.35999999999999"/>
    <n v="207.64000000000001"/>
    <n v="150"/>
    <n v="35.800000000000004"/>
    <n v="358"/>
    <x v="904"/>
  </r>
  <r>
    <x v="4"/>
    <x v="256"/>
    <x v="928"/>
    <x v="2"/>
    <x v="1"/>
    <x v="3"/>
    <x v="6"/>
    <x v="9"/>
    <n v="1631"/>
    <x v="0"/>
    <n v="1631"/>
    <n v="38"/>
    <x v="41"/>
    <x v="0"/>
    <x v="0"/>
    <n v="685.02"/>
    <n v="945.98"/>
    <n v="0"/>
    <n v="0"/>
    <n v="0"/>
    <x v="905"/>
  </r>
  <r>
    <x v="47"/>
    <x v="256"/>
    <x v="929"/>
    <x v="4"/>
    <x v="2"/>
    <x v="0"/>
    <x v="2"/>
    <x v="1"/>
    <n v="199"/>
    <x v="279"/>
    <n v="117.012"/>
    <n v="4"/>
    <x v="12"/>
    <x v="1"/>
    <x v="3"/>
    <n v="49.145040000000002"/>
    <n v="67.866960000000006"/>
    <n v="150"/>
    <n v="11.7012"/>
    <n v="117.012"/>
    <x v="906"/>
  </r>
  <r>
    <x v="27"/>
    <x v="256"/>
    <x v="930"/>
    <x v="7"/>
    <x v="2"/>
    <x v="3"/>
    <x v="2"/>
    <x v="6"/>
    <n v="222"/>
    <x v="0"/>
    <n v="222"/>
    <n v="48"/>
    <x v="39"/>
    <x v="0"/>
    <x v="0"/>
    <n v="93.24"/>
    <n v="128.76"/>
    <n v="0"/>
    <n v="0"/>
    <n v="0"/>
    <x v="723"/>
  </r>
  <r>
    <x v="11"/>
    <x v="257"/>
    <x v="931"/>
    <x v="5"/>
    <x v="4"/>
    <x v="3"/>
    <x v="1"/>
    <x v="0"/>
    <n v="2351"/>
    <x v="0"/>
    <n v="2351"/>
    <n v="2"/>
    <x v="3"/>
    <x v="0"/>
    <x v="0"/>
    <n v="987.42"/>
    <n v="1363.58"/>
    <n v="0"/>
    <n v="0"/>
    <n v="0"/>
    <x v="907"/>
  </r>
  <r>
    <x v="47"/>
    <x v="257"/>
    <x v="932"/>
    <x v="4"/>
    <x v="2"/>
    <x v="2"/>
    <x v="2"/>
    <x v="1"/>
    <n v="334"/>
    <x v="0"/>
    <n v="334"/>
    <n v="9"/>
    <x v="13"/>
    <x v="0"/>
    <x v="0"/>
    <n v="140.28"/>
    <n v="193.72"/>
    <n v="0"/>
    <n v="0"/>
    <n v="0"/>
    <x v="908"/>
  </r>
  <r>
    <x v="8"/>
    <x v="257"/>
    <x v="933"/>
    <x v="1"/>
    <x v="0"/>
    <x v="2"/>
    <x v="4"/>
    <x v="1"/>
    <n v="3156"/>
    <x v="280"/>
    <n v="2736.252"/>
    <n v="4"/>
    <x v="26"/>
    <x v="1"/>
    <x v="3"/>
    <n v="1149.2258399999998"/>
    <n v="1587.0261600000001"/>
    <n v="150"/>
    <n v="273.62520000000001"/>
    <n v="2736.252"/>
    <x v="909"/>
  </r>
  <r>
    <x v="16"/>
    <x v="258"/>
    <x v="934"/>
    <x v="3"/>
    <x v="0"/>
    <x v="0"/>
    <x v="5"/>
    <x v="4"/>
    <n v="4328"/>
    <x v="0"/>
    <n v="4328"/>
    <n v="26"/>
    <x v="15"/>
    <x v="1"/>
    <x v="3"/>
    <n v="1817.76"/>
    <n v="2510.2399999999998"/>
    <n v="150"/>
    <n v="432.8"/>
    <n v="4328"/>
    <x v="910"/>
  </r>
  <r>
    <x v="16"/>
    <x v="258"/>
    <x v="935"/>
    <x v="3"/>
    <x v="0"/>
    <x v="3"/>
    <x v="3"/>
    <x v="2"/>
    <n v="4099"/>
    <x v="0"/>
    <n v="4099"/>
    <n v="49"/>
    <x v="3"/>
    <x v="0"/>
    <x v="0"/>
    <n v="1721.58"/>
    <n v="2377.42"/>
    <n v="0"/>
    <n v="0"/>
    <n v="0"/>
    <x v="911"/>
  </r>
  <r>
    <x v="3"/>
    <x v="258"/>
    <x v="936"/>
    <x v="1"/>
    <x v="3"/>
    <x v="1"/>
    <x v="4"/>
    <x v="1"/>
    <n v="3558"/>
    <x v="0"/>
    <n v="3558"/>
    <n v="11"/>
    <x v="11"/>
    <x v="0"/>
    <x v="0"/>
    <n v="1494.36"/>
    <n v="2063.6400000000003"/>
    <n v="0"/>
    <n v="0"/>
    <n v="0"/>
    <x v="912"/>
  </r>
  <r>
    <x v="41"/>
    <x v="258"/>
    <x v="937"/>
    <x v="6"/>
    <x v="2"/>
    <x v="1"/>
    <x v="2"/>
    <x v="9"/>
    <n v="447"/>
    <x v="201"/>
    <n v="246.74400000000003"/>
    <n v="29"/>
    <x v="19"/>
    <x v="0"/>
    <x v="0"/>
    <n v="103.63248"/>
    <n v="143.11152000000004"/>
    <n v="0"/>
    <n v="0"/>
    <n v="0"/>
    <x v="913"/>
  </r>
  <r>
    <x v="15"/>
    <x v="258"/>
    <x v="938"/>
    <x v="5"/>
    <x v="1"/>
    <x v="0"/>
    <x v="4"/>
    <x v="10"/>
    <n v="1050"/>
    <x v="0"/>
    <n v="1050"/>
    <n v="29"/>
    <x v="39"/>
    <x v="0"/>
    <x v="0"/>
    <n v="441"/>
    <n v="609"/>
    <n v="0"/>
    <n v="0"/>
    <n v="0"/>
    <x v="914"/>
  </r>
  <r>
    <x v="43"/>
    <x v="259"/>
    <x v="939"/>
    <x v="4"/>
    <x v="5"/>
    <x v="0"/>
    <x v="6"/>
    <x v="10"/>
    <n v="1923"/>
    <x v="281"/>
    <n v="992.26800000000003"/>
    <n v="22"/>
    <x v="37"/>
    <x v="0"/>
    <x v="0"/>
    <n v="416.75256000000002"/>
    <n v="575.51544000000001"/>
    <n v="0"/>
    <n v="0"/>
    <n v="0"/>
    <x v="915"/>
  </r>
  <r>
    <x v="19"/>
    <x v="259"/>
    <x v="940"/>
    <x v="2"/>
    <x v="5"/>
    <x v="3"/>
    <x v="2"/>
    <x v="10"/>
    <n v="1999"/>
    <x v="62"/>
    <n v="1411.2939999999999"/>
    <n v="20"/>
    <x v="38"/>
    <x v="0"/>
    <x v="0"/>
    <n v="592.74347999999998"/>
    <n v="818.55051999999989"/>
    <n v="0"/>
    <n v="0"/>
    <n v="0"/>
    <x v="916"/>
  </r>
  <r>
    <x v="33"/>
    <x v="259"/>
    <x v="941"/>
    <x v="7"/>
    <x v="0"/>
    <x v="2"/>
    <x v="5"/>
    <x v="8"/>
    <n v="3001"/>
    <x v="0"/>
    <n v="3001"/>
    <n v="10"/>
    <x v="16"/>
    <x v="0"/>
    <x v="0"/>
    <n v="1260.4199999999998"/>
    <n v="1740.5800000000002"/>
    <n v="0"/>
    <n v="0"/>
    <n v="0"/>
    <x v="917"/>
  </r>
  <r>
    <x v="45"/>
    <x v="260"/>
    <x v="942"/>
    <x v="7"/>
    <x v="3"/>
    <x v="0"/>
    <x v="4"/>
    <x v="11"/>
    <n v="3451"/>
    <x v="0"/>
    <n v="3451"/>
    <n v="27"/>
    <x v="11"/>
    <x v="0"/>
    <x v="0"/>
    <n v="1449.4199999999998"/>
    <n v="2001.5800000000002"/>
    <n v="0"/>
    <n v="0"/>
    <n v="0"/>
    <x v="918"/>
  </r>
  <r>
    <x v="33"/>
    <x v="260"/>
    <x v="943"/>
    <x v="7"/>
    <x v="0"/>
    <x v="3"/>
    <x v="0"/>
    <x v="0"/>
    <n v="3063"/>
    <x v="0"/>
    <n v="3063"/>
    <n v="50"/>
    <x v="31"/>
    <x v="0"/>
    <x v="0"/>
    <n v="1286.46"/>
    <n v="1776.54"/>
    <n v="0"/>
    <n v="0"/>
    <n v="0"/>
    <x v="786"/>
  </r>
  <r>
    <x v="7"/>
    <x v="260"/>
    <x v="944"/>
    <x v="3"/>
    <x v="5"/>
    <x v="3"/>
    <x v="1"/>
    <x v="6"/>
    <n v="2727"/>
    <x v="0"/>
    <n v="2727"/>
    <n v="32"/>
    <x v="0"/>
    <x v="0"/>
    <x v="0"/>
    <n v="1145.3399999999999"/>
    <n v="1581.66"/>
    <n v="0"/>
    <n v="0"/>
    <n v="0"/>
    <x v="919"/>
  </r>
  <r>
    <x v="41"/>
    <x v="260"/>
    <x v="945"/>
    <x v="6"/>
    <x v="2"/>
    <x v="2"/>
    <x v="2"/>
    <x v="5"/>
    <n v="447"/>
    <x v="282"/>
    <n v="362.07000000000005"/>
    <n v="22"/>
    <x v="33"/>
    <x v="0"/>
    <x v="0"/>
    <n v="152.0694"/>
    <n v="210.00060000000005"/>
    <n v="0"/>
    <n v="0"/>
    <n v="0"/>
    <x v="920"/>
  </r>
  <r>
    <x v="6"/>
    <x v="261"/>
    <x v="946"/>
    <x v="0"/>
    <x v="4"/>
    <x v="0"/>
    <x v="4"/>
    <x v="3"/>
    <n v="2654"/>
    <x v="0"/>
    <n v="2654"/>
    <n v="35"/>
    <x v="3"/>
    <x v="0"/>
    <x v="0"/>
    <n v="1114.68"/>
    <n v="1539.32"/>
    <n v="0"/>
    <n v="0"/>
    <n v="0"/>
    <x v="684"/>
  </r>
  <r>
    <x v="29"/>
    <x v="261"/>
    <x v="947"/>
    <x v="5"/>
    <x v="2"/>
    <x v="2"/>
    <x v="2"/>
    <x v="4"/>
    <n v="268"/>
    <x v="0"/>
    <n v="268"/>
    <n v="22"/>
    <x v="29"/>
    <x v="0"/>
    <x v="0"/>
    <n v="112.56"/>
    <n v="155.44"/>
    <n v="0"/>
    <n v="0"/>
    <n v="0"/>
    <x v="921"/>
  </r>
  <r>
    <x v="29"/>
    <x v="261"/>
    <x v="948"/>
    <x v="5"/>
    <x v="2"/>
    <x v="0"/>
    <x v="2"/>
    <x v="10"/>
    <n v="296"/>
    <x v="0"/>
    <n v="296"/>
    <n v="0"/>
    <x v="30"/>
    <x v="0"/>
    <x v="0"/>
    <n v="124.32"/>
    <n v="171.68"/>
    <n v="0"/>
    <n v="0"/>
    <n v="0"/>
    <x v="615"/>
  </r>
  <r>
    <x v="41"/>
    <x v="261"/>
    <x v="949"/>
    <x v="6"/>
    <x v="2"/>
    <x v="2"/>
    <x v="2"/>
    <x v="7"/>
    <n v="188"/>
    <x v="0"/>
    <n v="188"/>
    <n v="39"/>
    <x v="21"/>
    <x v="0"/>
    <x v="0"/>
    <n v="78.959999999999994"/>
    <n v="109.04"/>
    <n v="0"/>
    <n v="0"/>
    <n v="0"/>
    <x v="922"/>
  </r>
  <r>
    <x v="33"/>
    <x v="262"/>
    <x v="950"/>
    <x v="7"/>
    <x v="0"/>
    <x v="1"/>
    <x v="1"/>
    <x v="10"/>
    <n v="3915"/>
    <x v="283"/>
    <n v="3253.3649999999998"/>
    <n v="43"/>
    <x v="20"/>
    <x v="0"/>
    <x v="0"/>
    <n v="1366.4132999999999"/>
    <n v="1886.9516999999998"/>
    <n v="0"/>
    <n v="0"/>
    <n v="0"/>
    <x v="923"/>
  </r>
  <r>
    <x v="27"/>
    <x v="262"/>
    <x v="951"/>
    <x v="7"/>
    <x v="2"/>
    <x v="2"/>
    <x v="2"/>
    <x v="5"/>
    <n v="256"/>
    <x v="0"/>
    <n v="256"/>
    <n v="17"/>
    <x v="1"/>
    <x v="0"/>
    <x v="0"/>
    <n v="107.52"/>
    <n v="148.48000000000002"/>
    <n v="0"/>
    <n v="0"/>
    <n v="0"/>
    <x v="385"/>
  </r>
  <r>
    <x v="23"/>
    <x v="262"/>
    <x v="952"/>
    <x v="6"/>
    <x v="4"/>
    <x v="3"/>
    <x v="5"/>
    <x v="2"/>
    <n v="2989"/>
    <x v="9"/>
    <n v="1972.7399999999998"/>
    <n v="23"/>
    <x v="20"/>
    <x v="1"/>
    <x v="3"/>
    <n v="828.55079999999987"/>
    <n v="1144.1891999999998"/>
    <n v="150"/>
    <n v="197.274"/>
    <n v="1972.7399999999998"/>
    <x v="924"/>
  </r>
  <r>
    <x v="3"/>
    <x v="263"/>
    <x v="953"/>
    <x v="1"/>
    <x v="3"/>
    <x v="2"/>
    <x v="5"/>
    <x v="1"/>
    <n v="4217"/>
    <x v="0"/>
    <n v="4217"/>
    <n v="18"/>
    <x v="3"/>
    <x v="0"/>
    <x v="0"/>
    <n v="1771.1399999999999"/>
    <n v="2445.86"/>
    <n v="0"/>
    <n v="0"/>
    <n v="0"/>
    <x v="925"/>
  </r>
  <r>
    <x v="26"/>
    <x v="263"/>
    <x v="954"/>
    <x v="0"/>
    <x v="3"/>
    <x v="2"/>
    <x v="6"/>
    <x v="1"/>
    <n v="3166"/>
    <x v="0"/>
    <n v="3166"/>
    <n v="8"/>
    <x v="41"/>
    <x v="1"/>
    <x v="3"/>
    <n v="1329.72"/>
    <n v="1836.28"/>
    <n v="150"/>
    <n v="316.60000000000002"/>
    <n v="3166"/>
    <x v="926"/>
  </r>
  <r>
    <x v="8"/>
    <x v="263"/>
    <x v="955"/>
    <x v="1"/>
    <x v="0"/>
    <x v="2"/>
    <x v="0"/>
    <x v="8"/>
    <n v="4371"/>
    <x v="205"/>
    <n v="2102.451"/>
    <n v="15"/>
    <x v="39"/>
    <x v="0"/>
    <x v="0"/>
    <n v="883.02941999999996"/>
    <n v="1219.4215800000002"/>
    <n v="0"/>
    <n v="0"/>
    <n v="0"/>
    <x v="927"/>
  </r>
  <r>
    <x v="39"/>
    <x v="263"/>
    <x v="956"/>
    <x v="7"/>
    <x v="5"/>
    <x v="1"/>
    <x v="6"/>
    <x v="1"/>
    <n v="2295"/>
    <x v="0"/>
    <n v="2295"/>
    <n v="36"/>
    <x v="30"/>
    <x v="0"/>
    <x v="0"/>
    <n v="963.9"/>
    <n v="1331.1"/>
    <n v="0"/>
    <n v="0"/>
    <n v="0"/>
    <x v="928"/>
  </r>
  <r>
    <x v="18"/>
    <x v="264"/>
    <x v="957"/>
    <x v="3"/>
    <x v="4"/>
    <x v="3"/>
    <x v="4"/>
    <x v="7"/>
    <n v="2920"/>
    <x v="0"/>
    <n v="2920"/>
    <n v="5"/>
    <x v="9"/>
    <x v="0"/>
    <x v="0"/>
    <n v="1226.3999999999999"/>
    <n v="1693.6000000000001"/>
    <n v="0"/>
    <n v="0"/>
    <n v="0"/>
    <x v="929"/>
  </r>
  <r>
    <x v="27"/>
    <x v="264"/>
    <x v="958"/>
    <x v="7"/>
    <x v="2"/>
    <x v="0"/>
    <x v="2"/>
    <x v="1"/>
    <n v="213"/>
    <x v="168"/>
    <n v="130.35600000000002"/>
    <n v="43"/>
    <x v="15"/>
    <x v="1"/>
    <x v="3"/>
    <n v="54.749520000000011"/>
    <n v="75.606480000000005"/>
    <n v="150"/>
    <n v="13.035600000000002"/>
    <n v="130.35600000000002"/>
    <x v="930"/>
  </r>
  <r>
    <x v="38"/>
    <x v="264"/>
    <x v="959"/>
    <x v="0"/>
    <x v="1"/>
    <x v="0"/>
    <x v="2"/>
    <x v="11"/>
    <n v="1489"/>
    <x v="284"/>
    <n v="1407.105"/>
    <n v="25"/>
    <x v="30"/>
    <x v="1"/>
    <x v="4"/>
    <n v="590.98410000000001"/>
    <n v="816.12090000000001"/>
    <n v="150"/>
    <n v="140.7105"/>
    <n v="1407.105"/>
    <x v="931"/>
  </r>
  <r>
    <x v="16"/>
    <x v="264"/>
    <x v="960"/>
    <x v="3"/>
    <x v="0"/>
    <x v="3"/>
    <x v="3"/>
    <x v="5"/>
    <n v="4398"/>
    <x v="0"/>
    <n v="4398"/>
    <n v="35"/>
    <x v="10"/>
    <x v="0"/>
    <x v="0"/>
    <n v="1847.1599999999999"/>
    <n v="2550.84"/>
    <n v="0"/>
    <n v="0"/>
    <n v="0"/>
    <x v="932"/>
  </r>
  <r>
    <x v="39"/>
    <x v="265"/>
    <x v="961"/>
    <x v="7"/>
    <x v="5"/>
    <x v="2"/>
    <x v="3"/>
    <x v="7"/>
    <n v="2606"/>
    <x v="0"/>
    <n v="2606"/>
    <n v="41"/>
    <x v="13"/>
    <x v="0"/>
    <x v="0"/>
    <n v="1094.52"/>
    <n v="1511.48"/>
    <n v="0"/>
    <n v="0"/>
    <n v="0"/>
    <x v="933"/>
  </r>
  <r>
    <x v="37"/>
    <x v="265"/>
    <x v="962"/>
    <x v="4"/>
    <x v="3"/>
    <x v="3"/>
    <x v="6"/>
    <x v="9"/>
    <n v="3770"/>
    <x v="285"/>
    <n v="2182.83"/>
    <n v="28"/>
    <x v="21"/>
    <x v="0"/>
    <x v="0"/>
    <n v="916.78859999999997"/>
    <n v="1266.0414000000001"/>
    <n v="0"/>
    <n v="0"/>
    <n v="0"/>
    <x v="934"/>
  </r>
  <r>
    <x v="10"/>
    <x v="265"/>
    <x v="963"/>
    <x v="3"/>
    <x v="1"/>
    <x v="3"/>
    <x v="4"/>
    <x v="1"/>
    <n v="1346"/>
    <x v="0"/>
    <n v="1346"/>
    <n v="12"/>
    <x v="40"/>
    <x v="0"/>
    <x v="0"/>
    <n v="565.31999999999994"/>
    <n v="780.68000000000006"/>
    <n v="0"/>
    <n v="0"/>
    <n v="0"/>
    <x v="935"/>
  </r>
  <r>
    <x v="28"/>
    <x v="266"/>
    <x v="964"/>
    <x v="3"/>
    <x v="3"/>
    <x v="0"/>
    <x v="4"/>
    <x v="6"/>
    <n v="3709"/>
    <x v="286"/>
    <n v="2833.6759999999999"/>
    <n v="32"/>
    <x v="41"/>
    <x v="1"/>
    <x v="7"/>
    <n v="1190.14392"/>
    <n v="1643.53208"/>
    <n v="150"/>
    <n v="283.36759999999998"/>
    <n v="2833.6759999999999"/>
    <x v="936"/>
  </r>
  <r>
    <x v="36"/>
    <x v="266"/>
    <x v="965"/>
    <x v="5"/>
    <x v="3"/>
    <x v="3"/>
    <x v="6"/>
    <x v="3"/>
    <n v="3328"/>
    <x v="287"/>
    <n v="1444.3519999999999"/>
    <n v="8"/>
    <x v="38"/>
    <x v="0"/>
    <x v="0"/>
    <n v="606.62783999999988"/>
    <n v="837.72415999999998"/>
    <n v="0"/>
    <n v="0"/>
    <n v="0"/>
    <x v="937"/>
  </r>
  <r>
    <x v="7"/>
    <x v="266"/>
    <x v="966"/>
    <x v="3"/>
    <x v="5"/>
    <x v="1"/>
    <x v="5"/>
    <x v="4"/>
    <n v="2493"/>
    <x v="165"/>
    <n v="2335.9410000000003"/>
    <n v="43"/>
    <x v="19"/>
    <x v="0"/>
    <x v="0"/>
    <n v="981.09522000000004"/>
    <n v="1354.8457800000001"/>
    <n v="0"/>
    <n v="0"/>
    <n v="0"/>
    <x v="938"/>
  </r>
  <r>
    <x v="36"/>
    <x v="266"/>
    <x v="967"/>
    <x v="5"/>
    <x v="3"/>
    <x v="2"/>
    <x v="5"/>
    <x v="10"/>
    <n v="3540"/>
    <x v="288"/>
    <n v="1862.0400000000002"/>
    <n v="45"/>
    <x v="0"/>
    <x v="0"/>
    <x v="0"/>
    <n v="782.05680000000007"/>
    <n v="1079.9832000000001"/>
    <n v="0"/>
    <n v="0"/>
    <n v="0"/>
    <x v="939"/>
  </r>
  <r>
    <x v="38"/>
    <x v="267"/>
    <x v="968"/>
    <x v="0"/>
    <x v="1"/>
    <x v="1"/>
    <x v="1"/>
    <x v="5"/>
    <n v="1793"/>
    <x v="289"/>
    <n v="1276.616"/>
    <n v="42"/>
    <x v="12"/>
    <x v="0"/>
    <x v="0"/>
    <n v="536.17872"/>
    <n v="740.43727999999999"/>
    <n v="0"/>
    <n v="0"/>
    <n v="0"/>
    <x v="940"/>
  </r>
  <r>
    <x v="17"/>
    <x v="267"/>
    <x v="969"/>
    <x v="2"/>
    <x v="0"/>
    <x v="1"/>
    <x v="5"/>
    <x v="7"/>
    <n v="4130"/>
    <x v="251"/>
    <n v="3357.6899999999996"/>
    <n v="47"/>
    <x v="3"/>
    <x v="0"/>
    <x v="0"/>
    <n v="1410.2297999999998"/>
    <n v="1947.4601999999998"/>
    <n v="0"/>
    <n v="0"/>
    <n v="0"/>
    <x v="941"/>
  </r>
  <r>
    <x v="30"/>
    <x v="267"/>
    <x v="970"/>
    <x v="7"/>
    <x v="4"/>
    <x v="2"/>
    <x v="4"/>
    <x v="1"/>
    <n v="2598"/>
    <x v="2"/>
    <n v="1182.0899999999999"/>
    <n v="34"/>
    <x v="23"/>
    <x v="0"/>
    <x v="0"/>
    <n v="496.47779999999995"/>
    <n v="685.61220000000003"/>
    <n v="0"/>
    <n v="0"/>
    <n v="0"/>
    <x v="942"/>
  </r>
  <r>
    <x v="7"/>
    <x v="267"/>
    <x v="971"/>
    <x v="3"/>
    <x v="5"/>
    <x v="3"/>
    <x v="0"/>
    <x v="5"/>
    <n v="2024"/>
    <x v="24"/>
    <n v="1890.4159999999999"/>
    <n v="17"/>
    <x v="7"/>
    <x v="0"/>
    <x v="0"/>
    <n v="793.97471999999993"/>
    <n v="1096.44128"/>
    <n v="0"/>
    <n v="0"/>
    <n v="0"/>
    <x v="943"/>
  </r>
  <r>
    <x v="30"/>
    <x v="268"/>
    <x v="972"/>
    <x v="7"/>
    <x v="4"/>
    <x v="1"/>
    <x v="3"/>
    <x v="1"/>
    <n v="2981"/>
    <x v="0"/>
    <n v="2981"/>
    <n v="0"/>
    <x v="2"/>
    <x v="0"/>
    <x v="0"/>
    <n v="1252.02"/>
    <n v="1728.98"/>
    <n v="0"/>
    <n v="0"/>
    <n v="0"/>
    <x v="944"/>
  </r>
  <r>
    <x v="27"/>
    <x v="268"/>
    <x v="973"/>
    <x v="7"/>
    <x v="2"/>
    <x v="1"/>
    <x v="2"/>
    <x v="0"/>
    <n v="333"/>
    <x v="0"/>
    <n v="333"/>
    <n v="41"/>
    <x v="10"/>
    <x v="0"/>
    <x v="0"/>
    <n v="139.85999999999999"/>
    <n v="193.14000000000001"/>
    <n v="0"/>
    <n v="0"/>
    <n v="0"/>
    <x v="945"/>
  </r>
  <r>
    <x v="12"/>
    <x v="268"/>
    <x v="974"/>
    <x v="1"/>
    <x v="5"/>
    <x v="0"/>
    <x v="5"/>
    <x v="0"/>
    <n v="2574"/>
    <x v="0"/>
    <n v="2574"/>
    <n v="4"/>
    <x v="33"/>
    <x v="0"/>
    <x v="0"/>
    <n v="1081.08"/>
    <n v="1492.92"/>
    <n v="0"/>
    <n v="0"/>
    <n v="0"/>
    <x v="946"/>
  </r>
  <r>
    <x v="46"/>
    <x v="268"/>
    <x v="975"/>
    <x v="2"/>
    <x v="3"/>
    <x v="2"/>
    <x v="1"/>
    <x v="5"/>
    <n v="4070"/>
    <x v="290"/>
    <n v="2673.9900000000002"/>
    <n v="3"/>
    <x v="41"/>
    <x v="0"/>
    <x v="0"/>
    <n v="1123.0758000000001"/>
    <n v="1550.9142000000002"/>
    <n v="0"/>
    <n v="0"/>
    <n v="0"/>
    <x v="947"/>
  </r>
  <r>
    <x v="21"/>
    <x v="269"/>
    <x v="976"/>
    <x v="1"/>
    <x v="4"/>
    <x v="2"/>
    <x v="4"/>
    <x v="9"/>
    <n v="2350"/>
    <x v="0"/>
    <n v="2350"/>
    <n v="16"/>
    <x v="3"/>
    <x v="1"/>
    <x v="4"/>
    <n v="987"/>
    <n v="1363"/>
    <n v="150"/>
    <n v="235"/>
    <n v="2350"/>
    <x v="948"/>
  </r>
  <r>
    <x v="46"/>
    <x v="269"/>
    <x v="977"/>
    <x v="2"/>
    <x v="3"/>
    <x v="2"/>
    <x v="3"/>
    <x v="9"/>
    <n v="3508"/>
    <x v="0"/>
    <n v="3508"/>
    <n v="15"/>
    <x v="30"/>
    <x v="0"/>
    <x v="0"/>
    <n v="1473.36"/>
    <n v="2034.64"/>
    <n v="0"/>
    <n v="0"/>
    <n v="0"/>
    <x v="949"/>
  </r>
  <r>
    <x v="45"/>
    <x v="269"/>
    <x v="978"/>
    <x v="7"/>
    <x v="3"/>
    <x v="2"/>
    <x v="6"/>
    <x v="7"/>
    <n v="4326"/>
    <x v="118"/>
    <n v="2154.348"/>
    <n v="28"/>
    <x v="14"/>
    <x v="1"/>
    <x v="3"/>
    <n v="904.82615999999996"/>
    <n v="1249.5218399999999"/>
    <n v="150"/>
    <n v="215.4348"/>
    <n v="2154.348"/>
    <x v="950"/>
  </r>
  <r>
    <x v="18"/>
    <x v="270"/>
    <x v="979"/>
    <x v="3"/>
    <x v="4"/>
    <x v="2"/>
    <x v="5"/>
    <x v="3"/>
    <n v="2907"/>
    <x v="163"/>
    <n v="2104.6680000000001"/>
    <n v="47"/>
    <x v="15"/>
    <x v="0"/>
    <x v="0"/>
    <n v="883.96055999999999"/>
    <n v="1220.7074400000001"/>
    <n v="0"/>
    <n v="0"/>
    <n v="0"/>
    <x v="951"/>
  </r>
  <r>
    <x v="27"/>
    <x v="270"/>
    <x v="980"/>
    <x v="7"/>
    <x v="2"/>
    <x v="0"/>
    <x v="2"/>
    <x v="5"/>
    <n v="396"/>
    <x v="291"/>
    <n v="236.80799999999999"/>
    <n v="7"/>
    <x v="40"/>
    <x v="0"/>
    <x v="0"/>
    <n v="99.45935999999999"/>
    <n v="137.34863999999999"/>
    <n v="0"/>
    <n v="0"/>
    <n v="0"/>
    <x v="952"/>
  </r>
  <r>
    <x v="17"/>
    <x v="270"/>
    <x v="981"/>
    <x v="2"/>
    <x v="0"/>
    <x v="2"/>
    <x v="1"/>
    <x v="2"/>
    <n v="4111"/>
    <x v="0"/>
    <n v="4111"/>
    <n v="12"/>
    <x v="39"/>
    <x v="1"/>
    <x v="4"/>
    <n v="1726.62"/>
    <n v="2384.38"/>
    <n v="150"/>
    <n v="411.1"/>
    <n v="4111"/>
    <x v="953"/>
  </r>
  <r>
    <x v="9"/>
    <x v="270"/>
    <x v="982"/>
    <x v="4"/>
    <x v="0"/>
    <x v="1"/>
    <x v="1"/>
    <x v="0"/>
    <n v="3270"/>
    <x v="46"/>
    <n v="1366.8599999999997"/>
    <n v="24"/>
    <x v="3"/>
    <x v="0"/>
    <x v="0"/>
    <n v="574.08119999999985"/>
    <n v="792.77879999999982"/>
    <n v="0"/>
    <n v="0"/>
    <n v="0"/>
    <x v="954"/>
  </r>
  <r>
    <x v="37"/>
    <x v="271"/>
    <x v="983"/>
    <x v="4"/>
    <x v="3"/>
    <x v="2"/>
    <x v="0"/>
    <x v="1"/>
    <n v="3199"/>
    <x v="0"/>
    <n v="3199"/>
    <n v="40"/>
    <x v="18"/>
    <x v="0"/>
    <x v="0"/>
    <n v="1343.58"/>
    <n v="1855.42"/>
    <n v="0"/>
    <n v="0"/>
    <n v="0"/>
    <x v="955"/>
  </r>
  <r>
    <x v="6"/>
    <x v="271"/>
    <x v="984"/>
    <x v="0"/>
    <x v="4"/>
    <x v="3"/>
    <x v="0"/>
    <x v="4"/>
    <n v="2024"/>
    <x v="0"/>
    <n v="2024"/>
    <n v="25"/>
    <x v="27"/>
    <x v="1"/>
    <x v="3"/>
    <n v="850.07999999999993"/>
    <n v="1173.92"/>
    <n v="150"/>
    <n v="202.4"/>
    <n v="2024"/>
    <x v="956"/>
  </r>
  <r>
    <x v="6"/>
    <x v="271"/>
    <x v="985"/>
    <x v="0"/>
    <x v="4"/>
    <x v="1"/>
    <x v="4"/>
    <x v="0"/>
    <n v="2385"/>
    <x v="56"/>
    <n v="1304.595"/>
    <n v="1"/>
    <x v="19"/>
    <x v="0"/>
    <x v="0"/>
    <n v="547.92989999999998"/>
    <n v="756.66510000000005"/>
    <n v="0"/>
    <n v="0"/>
    <n v="0"/>
    <x v="957"/>
  </r>
  <r>
    <x v="8"/>
    <x v="271"/>
    <x v="986"/>
    <x v="1"/>
    <x v="0"/>
    <x v="0"/>
    <x v="0"/>
    <x v="7"/>
    <n v="4423"/>
    <x v="0"/>
    <n v="4423"/>
    <n v="41"/>
    <x v="4"/>
    <x v="0"/>
    <x v="0"/>
    <n v="1857.6599999999999"/>
    <n v="2565.34"/>
    <n v="0"/>
    <n v="0"/>
    <n v="0"/>
    <x v="958"/>
  </r>
  <r>
    <x v="26"/>
    <x v="272"/>
    <x v="987"/>
    <x v="0"/>
    <x v="3"/>
    <x v="0"/>
    <x v="3"/>
    <x v="4"/>
    <n v="3811"/>
    <x v="0"/>
    <n v="3811"/>
    <n v="36"/>
    <x v="3"/>
    <x v="0"/>
    <x v="0"/>
    <n v="1600.62"/>
    <n v="2210.38"/>
    <n v="0"/>
    <n v="0"/>
    <n v="0"/>
    <x v="959"/>
  </r>
  <r>
    <x v="14"/>
    <x v="272"/>
    <x v="988"/>
    <x v="6"/>
    <x v="3"/>
    <x v="3"/>
    <x v="4"/>
    <x v="2"/>
    <n v="3727"/>
    <x v="0"/>
    <n v="3727"/>
    <n v="45"/>
    <x v="25"/>
    <x v="1"/>
    <x v="5"/>
    <n v="1565.34"/>
    <n v="2161.66"/>
    <n v="150"/>
    <n v="372.70000000000005"/>
    <n v="3727"/>
    <x v="960"/>
  </r>
  <r>
    <x v="0"/>
    <x v="272"/>
    <x v="989"/>
    <x v="0"/>
    <x v="0"/>
    <x v="0"/>
    <x v="3"/>
    <x v="0"/>
    <n v="4324"/>
    <x v="0"/>
    <n v="4324"/>
    <n v="16"/>
    <x v="13"/>
    <x v="0"/>
    <x v="0"/>
    <n v="1816.08"/>
    <n v="2507.92"/>
    <n v="0"/>
    <n v="0"/>
    <n v="0"/>
    <x v="961"/>
  </r>
  <r>
    <x v="29"/>
    <x v="272"/>
    <x v="990"/>
    <x v="5"/>
    <x v="2"/>
    <x v="0"/>
    <x v="2"/>
    <x v="10"/>
    <n v="339"/>
    <x v="0"/>
    <n v="339"/>
    <n v="24"/>
    <x v="0"/>
    <x v="0"/>
    <x v="0"/>
    <n v="142.38"/>
    <n v="196.62"/>
    <n v="0"/>
    <n v="0"/>
    <n v="0"/>
    <x v="962"/>
  </r>
  <r>
    <x v="2"/>
    <x v="273"/>
    <x v="991"/>
    <x v="1"/>
    <x v="2"/>
    <x v="3"/>
    <x v="2"/>
    <x v="5"/>
    <n v="472"/>
    <x v="0"/>
    <n v="472"/>
    <n v="29"/>
    <x v="33"/>
    <x v="0"/>
    <x v="0"/>
    <n v="198.23999999999998"/>
    <n v="273.76"/>
    <n v="0"/>
    <n v="0"/>
    <n v="0"/>
    <x v="406"/>
  </r>
  <r>
    <x v="14"/>
    <x v="273"/>
    <x v="992"/>
    <x v="6"/>
    <x v="3"/>
    <x v="2"/>
    <x v="3"/>
    <x v="4"/>
    <n v="3222"/>
    <x v="239"/>
    <n v="2555.0460000000003"/>
    <n v="28"/>
    <x v="8"/>
    <x v="0"/>
    <x v="0"/>
    <n v="1073.11932"/>
    <n v="1481.9266800000003"/>
    <n v="0"/>
    <n v="0"/>
    <n v="0"/>
    <x v="963"/>
  </r>
  <r>
    <x v="11"/>
    <x v="273"/>
    <x v="993"/>
    <x v="5"/>
    <x v="4"/>
    <x v="2"/>
    <x v="2"/>
    <x v="8"/>
    <n v="2894"/>
    <x v="0"/>
    <n v="2894"/>
    <n v="47"/>
    <x v="9"/>
    <x v="0"/>
    <x v="0"/>
    <n v="1215.48"/>
    <n v="1678.52"/>
    <n v="0"/>
    <n v="0"/>
    <n v="0"/>
    <x v="964"/>
  </r>
  <r>
    <x v="14"/>
    <x v="273"/>
    <x v="994"/>
    <x v="6"/>
    <x v="3"/>
    <x v="0"/>
    <x v="6"/>
    <x v="10"/>
    <n v="3326"/>
    <x v="0"/>
    <n v="3326"/>
    <n v="16"/>
    <x v="28"/>
    <x v="0"/>
    <x v="0"/>
    <n v="1396.9199999999998"/>
    <n v="1929.0800000000002"/>
    <n v="0"/>
    <n v="0"/>
    <n v="0"/>
    <x v="965"/>
  </r>
  <r>
    <x v="24"/>
    <x v="274"/>
    <x v="995"/>
    <x v="5"/>
    <x v="5"/>
    <x v="1"/>
    <x v="0"/>
    <x v="9"/>
    <n v="2449"/>
    <x v="0"/>
    <n v="2449"/>
    <n v="29"/>
    <x v="3"/>
    <x v="0"/>
    <x v="0"/>
    <n v="1028.58"/>
    <n v="1420.42"/>
    <n v="0"/>
    <n v="0"/>
    <n v="0"/>
    <x v="966"/>
  </r>
  <r>
    <x v="38"/>
    <x v="274"/>
    <x v="996"/>
    <x v="0"/>
    <x v="1"/>
    <x v="3"/>
    <x v="3"/>
    <x v="8"/>
    <n v="1510"/>
    <x v="0"/>
    <n v="1510"/>
    <n v="34"/>
    <x v="3"/>
    <x v="0"/>
    <x v="0"/>
    <n v="634.19999999999993"/>
    <n v="875.80000000000007"/>
    <n v="0"/>
    <n v="0"/>
    <n v="0"/>
    <x v="56"/>
  </r>
  <r>
    <x v="40"/>
    <x v="274"/>
    <x v="997"/>
    <x v="5"/>
    <x v="0"/>
    <x v="3"/>
    <x v="0"/>
    <x v="6"/>
    <n v="3953"/>
    <x v="29"/>
    <n v="3577.4650000000001"/>
    <n v="17"/>
    <x v="21"/>
    <x v="0"/>
    <x v="0"/>
    <n v="1502.5353"/>
    <n v="2074.9297000000001"/>
    <n v="0"/>
    <n v="0"/>
    <n v="0"/>
    <x v="967"/>
  </r>
  <r>
    <x v="19"/>
    <x v="274"/>
    <x v="998"/>
    <x v="2"/>
    <x v="5"/>
    <x v="0"/>
    <x v="5"/>
    <x v="11"/>
    <n v="1952"/>
    <x v="44"/>
    <n v="1893.44"/>
    <n v="16"/>
    <x v="3"/>
    <x v="0"/>
    <x v="0"/>
    <n v="795.24479999999994"/>
    <n v="1098.1952000000001"/>
    <n v="0"/>
    <n v="0"/>
    <n v="0"/>
    <x v="968"/>
  </r>
  <r>
    <x v="44"/>
    <x v="275"/>
    <x v="999"/>
    <x v="6"/>
    <x v="5"/>
    <x v="2"/>
    <x v="2"/>
    <x v="0"/>
    <n v="2679"/>
    <x v="63"/>
    <n v="1920.8429999999998"/>
    <n v="41"/>
    <x v="3"/>
    <x v="0"/>
    <x v="0"/>
    <n v="806.75405999999987"/>
    <n v="1114.0889400000001"/>
    <n v="0"/>
    <n v="0"/>
    <n v="0"/>
    <x v="969"/>
  </r>
  <r>
    <x v="7"/>
    <x v="275"/>
    <x v="1000"/>
    <x v="3"/>
    <x v="5"/>
    <x v="2"/>
    <x v="5"/>
    <x v="5"/>
    <n v="1865"/>
    <x v="292"/>
    <n v="975.39499999999987"/>
    <n v="7"/>
    <x v="3"/>
    <x v="0"/>
    <x v="0"/>
    <n v="409.66589999999991"/>
    <n v="565.72910000000002"/>
    <n v="0"/>
    <n v="0"/>
    <n v="0"/>
    <x v="970"/>
  </r>
  <r>
    <x v="20"/>
    <x v="275"/>
    <x v="1001"/>
    <x v="7"/>
    <x v="1"/>
    <x v="0"/>
    <x v="1"/>
    <x v="8"/>
    <n v="1507"/>
    <x v="0"/>
    <n v="1507"/>
    <n v="50"/>
    <x v="3"/>
    <x v="1"/>
    <x v="3"/>
    <n v="632.93999999999994"/>
    <n v="874.06000000000006"/>
    <n v="150"/>
    <n v="150.70000000000002"/>
    <n v="1507"/>
    <x v="971"/>
  </r>
  <r>
    <x v="5"/>
    <x v="275"/>
    <x v="1002"/>
    <x v="0"/>
    <x v="2"/>
    <x v="2"/>
    <x v="2"/>
    <x v="11"/>
    <n v="230"/>
    <x v="293"/>
    <n v="141.91"/>
    <n v="14"/>
    <x v="15"/>
    <x v="0"/>
    <x v="0"/>
    <n v="59.602199999999996"/>
    <n v="82.3078"/>
    <n v="0"/>
    <n v="0"/>
    <n v="0"/>
    <x v="972"/>
  </r>
  <r>
    <x v="16"/>
    <x v="276"/>
    <x v="1003"/>
    <x v="3"/>
    <x v="0"/>
    <x v="0"/>
    <x v="1"/>
    <x v="9"/>
    <n v="4094"/>
    <x v="294"/>
    <n v="2906.74"/>
    <n v="32"/>
    <x v="24"/>
    <x v="0"/>
    <x v="0"/>
    <n v="1220.8308"/>
    <n v="1685.9091999999998"/>
    <n v="0"/>
    <n v="0"/>
    <n v="0"/>
    <x v="973"/>
  </r>
  <r>
    <x v="41"/>
    <x v="276"/>
    <x v="1004"/>
    <x v="6"/>
    <x v="2"/>
    <x v="0"/>
    <x v="2"/>
    <x v="0"/>
    <n v="334"/>
    <x v="0"/>
    <n v="334"/>
    <n v="31"/>
    <x v="8"/>
    <x v="0"/>
    <x v="0"/>
    <n v="140.28"/>
    <n v="193.72"/>
    <n v="0"/>
    <n v="0"/>
    <n v="0"/>
    <x v="908"/>
  </r>
  <r>
    <x v="41"/>
    <x v="276"/>
    <x v="1005"/>
    <x v="6"/>
    <x v="2"/>
    <x v="3"/>
    <x v="2"/>
    <x v="1"/>
    <n v="218"/>
    <x v="0"/>
    <n v="218"/>
    <n v="39"/>
    <x v="35"/>
    <x v="1"/>
    <x v="7"/>
    <n v="91.56"/>
    <n v="126.44"/>
    <n v="150"/>
    <n v="21.8"/>
    <n v="218"/>
    <x v="974"/>
  </r>
  <r>
    <x v="5"/>
    <x v="277"/>
    <x v="1006"/>
    <x v="0"/>
    <x v="2"/>
    <x v="2"/>
    <x v="2"/>
    <x v="10"/>
    <n v="298"/>
    <x v="295"/>
    <n v="194.89199999999997"/>
    <n v="45"/>
    <x v="38"/>
    <x v="0"/>
    <x v="0"/>
    <n v="81.854639999999989"/>
    <n v="113.03735999999998"/>
    <n v="0"/>
    <n v="0"/>
    <n v="0"/>
    <x v="975"/>
  </r>
  <r>
    <x v="27"/>
    <x v="277"/>
    <x v="1007"/>
    <x v="7"/>
    <x v="2"/>
    <x v="2"/>
    <x v="2"/>
    <x v="10"/>
    <n v="357"/>
    <x v="228"/>
    <n v="264.53699999999998"/>
    <n v="31"/>
    <x v="31"/>
    <x v="0"/>
    <x v="0"/>
    <n v="111.10553999999999"/>
    <n v="153.43145999999999"/>
    <n v="0"/>
    <n v="0"/>
    <n v="0"/>
    <x v="976"/>
  </r>
  <r>
    <x v="23"/>
    <x v="277"/>
    <x v="1008"/>
    <x v="6"/>
    <x v="4"/>
    <x v="2"/>
    <x v="5"/>
    <x v="2"/>
    <n v="2119"/>
    <x v="296"/>
    <n v="1606.202"/>
    <n v="8"/>
    <x v="37"/>
    <x v="0"/>
    <x v="0"/>
    <n v="674.60483999999997"/>
    <n v="931.59716000000003"/>
    <n v="0"/>
    <n v="0"/>
    <n v="0"/>
    <x v="977"/>
  </r>
  <r>
    <x v="7"/>
    <x v="277"/>
    <x v="1009"/>
    <x v="3"/>
    <x v="5"/>
    <x v="2"/>
    <x v="4"/>
    <x v="1"/>
    <n v="2017"/>
    <x v="0"/>
    <n v="2017"/>
    <n v="21"/>
    <x v="3"/>
    <x v="0"/>
    <x v="0"/>
    <n v="847.14"/>
    <n v="1169.8600000000001"/>
    <n v="0"/>
    <n v="0"/>
    <n v="0"/>
    <x v="978"/>
  </r>
  <r>
    <x v="42"/>
    <x v="278"/>
    <x v="1010"/>
    <x v="0"/>
    <x v="5"/>
    <x v="0"/>
    <x v="1"/>
    <x v="0"/>
    <n v="2669"/>
    <x v="0"/>
    <n v="2669"/>
    <n v="36"/>
    <x v="38"/>
    <x v="0"/>
    <x v="0"/>
    <n v="1120.98"/>
    <n v="1548.02"/>
    <n v="0"/>
    <n v="0"/>
    <n v="0"/>
    <x v="423"/>
  </r>
  <r>
    <x v="38"/>
    <x v="278"/>
    <x v="1011"/>
    <x v="0"/>
    <x v="1"/>
    <x v="3"/>
    <x v="3"/>
    <x v="1"/>
    <n v="1059"/>
    <x v="112"/>
    <n v="451.13400000000007"/>
    <n v="46"/>
    <x v="32"/>
    <x v="1"/>
    <x v="5"/>
    <n v="189.47628000000003"/>
    <n v="261.65772000000004"/>
    <n v="150"/>
    <n v="45.113400000000013"/>
    <n v="451.13400000000007"/>
    <x v="979"/>
  </r>
  <r>
    <x v="9"/>
    <x v="278"/>
    <x v="1012"/>
    <x v="4"/>
    <x v="0"/>
    <x v="1"/>
    <x v="4"/>
    <x v="6"/>
    <n v="3731"/>
    <x v="0"/>
    <n v="3731"/>
    <n v="31"/>
    <x v="4"/>
    <x v="0"/>
    <x v="0"/>
    <n v="1567.02"/>
    <n v="2163.98"/>
    <n v="0"/>
    <n v="0"/>
    <n v="0"/>
    <x v="980"/>
  </r>
  <r>
    <x v="28"/>
    <x v="278"/>
    <x v="1013"/>
    <x v="3"/>
    <x v="3"/>
    <x v="1"/>
    <x v="0"/>
    <x v="10"/>
    <n v="4496"/>
    <x v="0"/>
    <n v="4496"/>
    <n v="43"/>
    <x v="24"/>
    <x v="0"/>
    <x v="0"/>
    <n v="1888.32"/>
    <n v="2607.6800000000003"/>
    <n v="0"/>
    <n v="0"/>
    <n v="0"/>
    <x v="981"/>
  </r>
  <r>
    <x v="11"/>
    <x v="278"/>
    <x v="1014"/>
    <x v="5"/>
    <x v="4"/>
    <x v="0"/>
    <x v="4"/>
    <x v="11"/>
    <n v="2861"/>
    <x v="151"/>
    <n v="2414.6839999999997"/>
    <n v="31"/>
    <x v="7"/>
    <x v="0"/>
    <x v="0"/>
    <n v="1014.1672799999999"/>
    <n v="1400.5167199999999"/>
    <n v="0"/>
    <n v="0"/>
    <n v="0"/>
    <x v="982"/>
  </r>
  <r>
    <x v="0"/>
    <x v="279"/>
    <x v="1015"/>
    <x v="0"/>
    <x v="0"/>
    <x v="1"/>
    <x v="3"/>
    <x v="4"/>
    <n v="3628"/>
    <x v="297"/>
    <n v="1904.7"/>
    <n v="21"/>
    <x v="3"/>
    <x v="0"/>
    <x v="0"/>
    <n v="799.97399999999993"/>
    <n v="1104.7260000000001"/>
    <n v="0"/>
    <n v="0"/>
    <n v="0"/>
    <x v="983"/>
  </r>
  <r>
    <x v="44"/>
    <x v="279"/>
    <x v="1016"/>
    <x v="6"/>
    <x v="5"/>
    <x v="1"/>
    <x v="1"/>
    <x v="2"/>
    <n v="2531"/>
    <x v="0"/>
    <n v="2531"/>
    <n v="27"/>
    <x v="22"/>
    <x v="0"/>
    <x v="0"/>
    <n v="1063.02"/>
    <n v="1467.98"/>
    <n v="0"/>
    <n v="0"/>
    <n v="0"/>
    <x v="984"/>
  </r>
  <r>
    <x v="20"/>
    <x v="279"/>
    <x v="1017"/>
    <x v="7"/>
    <x v="1"/>
    <x v="3"/>
    <x v="4"/>
    <x v="5"/>
    <n v="988"/>
    <x v="298"/>
    <n v="868.452"/>
    <n v="43"/>
    <x v="37"/>
    <x v="0"/>
    <x v="0"/>
    <n v="364.74984000000001"/>
    <n v="503.70215999999999"/>
    <n v="0"/>
    <n v="0"/>
    <n v="0"/>
    <x v="985"/>
  </r>
  <r>
    <x v="10"/>
    <x v="280"/>
    <x v="1018"/>
    <x v="3"/>
    <x v="1"/>
    <x v="3"/>
    <x v="4"/>
    <x v="10"/>
    <n v="1253"/>
    <x v="0"/>
    <n v="1253"/>
    <n v="24"/>
    <x v="3"/>
    <x v="0"/>
    <x v="0"/>
    <n v="526.26"/>
    <n v="726.74"/>
    <n v="0"/>
    <n v="0"/>
    <n v="0"/>
    <x v="986"/>
  </r>
  <r>
    <x v="45"/>
    <x v="280"/>
    <x v="1019"/>
    <x v="7"/>
    <x v="3"/>
    <x v="2"/>
    <x v="6"/>
    <x v="9"/>
    <n v="3942"/>
    <x v="0"/>
    <n v="3942"/>
    <n v="43"/>
    <x v="31"/>
    <x v="1"/>
    <x v="5"/>
    <n v="1655.6399999999999"/>
    <n v="2286.36"/>
    <n v="150"/>
    <n v="394.20000000000005"/>
    <n v="3942"/>
    <x v="987"/>
  </r>
  <r>
    <x v="15"/>
    <x v="280"/>
    <x v="1020"/>
    <x v="5"/>
    <x v="1"/>
    <x v="3"/>
    <x v="3"/>
    <x v="2"/>
    <n v="1606"/>
    <x v="0"/>
    <n v="1606"/>
    <n v="35"/>
    <x v="0"/>
    <x v="0"/>
    <x v="0"/>
    <n v="674.52"/>
    <n v="931.48"/>
    <n v="0"/>
    <n v="0"/>
    <n v="0"/>
    <x v="988"/>
  </r>
  <r>
    <x v="2"/>
    <x v="280"/>
    <x v="1021"/>
    <x v="1"/>
    <x v="2"/>
    <x v="3"/>
    <x v="2"/>
    <x v="0"/>
    <n v="290"/>
    <x v="0"/>
    <n v="290"/>
    <n v="4"/>
    <x v="28"/>
    <x v="1"/>
    <x v="4"/>
    <n v="121.8"/>
    <n v="168.2"/>
    <n v="150"/>
    <n v="29"/>
    <n v="290"/>
    <x v="989"/>
  </r>
  <r>
    <x v="10"/>
    <x v="281"/>
    <x v="1022"/>
    <x v="3"/>
    <x v="1"/>
    <x v="2"/>
    <x v="2"/>
    <x v="4"/>
    <n v="1664"/>
    <x v="0"/>
    <n v="1664"/>
    <n v="14"/>
    <x v="37"/>
    <x v="0"/>
    <x v="0"/>
    <n v="698.88"/>
    <n v="965.12"/>
    <n v="0"/>
    <n v="0"/>
    <n v="0"/>
    <x v="990"/>
  </r>
  <r>
    <x v="4"/>
    <x v="281"/>
    <x v="1023"/>
    <x v="2"/>
    <x v="1"/>
    <x v="0"/>
    <x v="3"/>
    <x v="11"/>
    <n v="1592"/>
    <x v="0"/>
    <n v="1592"/>
    <n v="6"/>
    <x v="9"/>
    <x v="0"/>
    <x v="0"/>
    <n v="668.64"/>
    <n v="923.36"/>
    <n v="0"/>
    <n v="0"/>
    <n v="0"/>
    <x v="991"/>
  </r>
  <r>
    <x v="11"/>
    <x v="281"/>
    <x v="1024"/>
    <x v="5"/>
    <x v="4"/>
    <x v="0"/>
    <x v="1"/>
    <x v="5"/>
    <n v="2325"/>
    <x v="299"/>
    <n v="1427.55"/>
    <n v="14"/>
    <x v="21"/>
    <x v="0"/>
    <x v="0"/>
    <n v="599.57099999999991"/>
    <n v="827.97900000000004"/>
    <n v="0"/>
    <n v="0"/>
    <n v="0"/>
    <x v="992"/>
  </r>
  <r>
    <x v="14"/>
    <x v="281"/>
    <x v="1025"/>
    <x v="6"/>
    <x v="3"/>
    <x v="0"/>
    <x v="4"/>
    <x v="9"/>
    <n v="3692"/>
    <x v="250"/>
    <n v="2503.1759999999999"/>
    <n v="5"/>
    <x v="8"/>
    <x v="1"/>
    <x v="3"/>
    <n v="1051.33392"/>
    <n v="1451.8420799999999"/>
    <n v="150"/>
    <n v="250.3176"/>
    <n v="2503.1759999999999"/>
    <x v="993"/>
  </r>
  <r>
    <x v="34"/>
    <x v="282"/>
    <x v="1026"/>
    <x v="6"/>
    <x v="0"/>
    <x v="2"/>
    <x v="1"/>
    <x v="10"/>
    <n v="3229"/>
    <x v="0"/>
    <n v="3229"/>
    <n v="29"/>
    <x v="27"/>
    <x v="1"/>
    <x v="4"/>
    <n v="1356.1799999999998"/>
    <n v="1872.8200000000002"/>
    <n v="150"/>
    <n v="322.90000000000003"/>
    <n v="3229"/>
    <x v="994"/>
  </r>
  <r>
    <x v="9"/>
    <x v="282"/>
    <x v="1027"/>
    <x v="4"/>
    <x v="0"/>
    <x v="0"/>
    <x v="0"/>
    <x v="4"/>
    <n v="3301"/>
    <x v="0"/>
    <n v="3301"/>
    <n v="24"/>
    <x v="23"/>
    <x v="1"/>
    <x v="5"/>
    <n v="1386.4199999999998"/>
    <n v="1914.5800000000002"/>
    <n v="150"/>
    <n v="330.1"/>
    <n v="3301"/>
    <x v="995"/>
  </r>
  <r>
    <x v="20"/>
    <x v="282"/>
    <x v="1028"/>
    <x v="7"/>
    <x v="1"/>
    <x v="3"/>
    <x v="4"/>
    <x v="3"/>
    <n v="1521"/>
    <x v="300"/>
    <n v="678.3660000000001"/>
    <n v="2"/>
    <x v="1"/>
    <x v="1"/>
    <x v="3"/>
    <n v="284.91372000000001"/>
    <n v="393.45228000000009"/>
    <n v="150"/>
    <n v="67.836600000000018"/>
    <n v="678.3660000000001"/>
    <x v="996"/>
  </r>
  <r>
    <x v="35"/>
    <x v="282"/>
    <x v="1029"/>
    <x v="4"/>
    <x v="1"/>
    <x v="2"/>
    <x v="6"/>
    <x v="4"/>
    <n v="1608"/>
    <x v="301"/>
    <n v="943.89599999999996"/>
    <n v="50"/>
    <x v="3"/>
    <x v="0"/>
    <x v="0"/>
    <n v="396.43631999999997"/>
    <n v="547.45967999999993"/>
    <n v="0"/>
    <n v="0"/>
    <n v="0"/>
    <x v="997"/>
  </r>
  <r>
    <x v="24"/>
    <x v="282"/>
    <x v="1030"/>
    <x v="5"/>
    <x v="5"/>
    <x v="3"/>
    <x v="3"/>
    <x v="6"/>
    <n v="2186"/>
    <x v="0"/>
    <n v="2186"/>
    <n v="10"/>
    <x v="20"/>
    <x v="0"/>
    <x v="0"/>
    <n v="918.12"/>
    <n v="1267.8800000000001"/>
    <n v="0"/>
    <n v="0"/>
    <n v="0"/>
    <x v="998"/>
  </r>
  <r>
    <x v="19"/>
    <x v="283"/>
    <x v="1031"/>
    <x v="2"/>
    <x v="5"/>
    <x v="3"/>
    <x v="0"/>
    <x v="5"/>
    <n v="1848"/>
    <x v="0"/>
    <n v="1848"/>
    <n v="25"/>
    <x v="17"/>
    <x v="0"/>
    <x v="0"/>
    <n v="776.16"/>
    <n v="1071.8400000000001"/>
    <n v="0"/>
    <n v="0"/>
    <n v="0"/>
    <x v="353"/>
  </r>
  <r>
    <x v="43"/>
    <x v="283"/>
    <x v="1032"/>
    <x v="4"/>
    <x v="5"/>
    <x v="2"/>
    <x v="5"/>
    <x v="8"/>
    <n v="2383"/>
    <x v="0"/>
    <n v="2383"/>
    <n v="40"/>
    <x v="40"/>
    <x v="0"/>
    <x v="0"/>
    <n v="1000.86"/>
    <n v="1382.1399999999999"/>
    <n v="0"/>
    <n v="0"/>
    <n v="0"/>
    <x v="999"/>
  </r>
  <r>
    <x v="4"/>
    <x v="283"/>
    <x v="1033"/>
    <x v="2"/>
    <x v="1"/>
    <x v="3"/>
    <x v="4"/>
    <x v="11"/>
    <n v="954"/>
    <x v="199"/>
    <n v="568.58400000000006"/>
    <n v="26"/>
    <x v="6"/>
    <x v="0"/>
    <x v="0"/>
    <n v="238.80528000000001"/>
    <n v="329.77872000000002"/>
    <n v="0"/>
    <n v="0"/>
    <n v="0"/>
    <x v="1000"/>
  </r>
  <r>
    <x v="33"/>
    <x v="284"/>
    <x v="1034"/>
    <x v="7"/>
    <x v="0"/>
    <x v="0"/>
    <x v="1"/>
    <x v="9"/>
    <n v="3139"/>
    <x v="36"/>
    <n v="2429.5860000000002"/>
    <n v="33"/>
    <x v="30"/>
    <x v="0"/>
    <x v="0"/>
    <n v="1020.4261200000001"/>
    <n v="1409.1598800000002"/>
    <n v="0"/>
    <n v="0"/>
    <n v="0"/>
    <x v="1001"/>
  </r>
  <r>
    <x v="38"/>
    <x v="284"/>
    <x v="1035"/>
    <x v="0"/>
    <x v="1"/>
    <x v="0"/>
    <x v="4"/>
    <x v="4"/>
    <n v="1567"/>
    <x v="0"/>
    <n v="1567"/>
    <n v="23"/>
    <x v="5"/>
    <x v="0"/>
    <x v="0"/>
    <n v="658.14"/>
    <n v="908.86"/>
    <n v="0"/>
    <n v="0"/>
    <n v="0"/>
    <x v="1002"/>
  </r>
  <r>
    <x v="25"/>
    <x v="284"/>
    <x v="1036"/>
    <x v="6"/>
    <x v="1"/>
    <x v="3"/>
    <x v="4"/>
    <x v="8"/>
    <n v="1617"/>
    <x v="0"/>
    <n v="1617"/>
    <n v="36"/>
    <x v="3"/>
    <x v="0"/>
    <x v="0"/>
    <n v="679.14"/>
    <n v="937.86"/>
    <n v="0"/>
    <n v="0"/>
    <n v="0"/>
    <x v="1003"/>
  </r>
  <r>
    <x v="47"/>
    <x v="284"/>
    <x v="1037"/>
    <x v="4"/>
    <x v="2"/>
    <x v="3"/>
    <x v="2"/>
    <x v="4"/>
    <n v="414"/>
    <x v="302"/>
    <n v="380.46600000000001"/>
    <n v="28"/>
    <x v="21"/>
    <x v="0"/>
    <x v="0"/>
    <n v="159.79571999999999"/>
    <n v="220.67028000000002"/>
    <n v="0"/>
    <n v="0"/>
    <n v="0"/>
    <x v="1004"/>
  </r>
  <r>
    <x v="10"/>
    <x v="285"/>
    <x v="1038"/>
    <x v="3"/>
    <x v="1"/>
    <x v="2"/>
    <x v="4"/>
    <x v="2"/>
    <n v="1354"/>
    <x v="0"/>
    <n v="1354"/>
    <n v="20"/>
    <x v="38"/>
    <x v="1"/>
    <x v="3"/>
    <n v="568.67999999999995"/>
    <n v="785.32"/>
    <n v="150"/>
    <n v="135.4"/>
    <n v="1354"/>
    <x v="1005"/>
  </r>
  <r>
    <x v="33"/>
    <x v="285"/>
    <x v="1039"/>
    <x v="7"/>
    <x v="0"/>
    <x v="2"/>
    <x v="4"/>
    <x v="10"/>
    <n v="3616"/>
    <x v="303"/>
    <n v="3019.3599999999997"/>
    <n v="17"/>
    <x v="9"/>
    <x v="0"/>
    <x v="0"/>
    <n v="1268.1311999999998"/>
    <n v="1751.2287999999999"/>
    <n v="0"/>
    <n v="0"/>
    <n v="0"/>
    <x v="1006"/>
  </r>
  <r>
    <x v="25"/>
    <x v="285"/>
    <x v="1040"/>
    <x v="6"/>
    <x v="1"/>
    <x v="2"/>
    <x v="5"/>
    <x v="9"/>
    <n v="997"/>
    <x v="0"/>
    <n v="997"/>
    <n v="39"/>
    <x v="13"/>
    <x v="1"/>
    <x v="3"/>
    <n v="418.74"/>
    <n v="578.26"/>
    <n v="150"/>
    <n v="99.7"/>
    <n v="997"/>
    <x v="1007"/>
  </r>
  <r>
    <x v="41"/>
    <x v="285"/>
    <x v="1041"/>
    <x v="6"/>
    <x v="2"/>
    <x v="0"/>
    <x v="2"/>
    <x v="7"/>
    <n v="414"/>
    <x v="128"/>
    <n v="293.11199999999997"/>
    <n v="33"/>
    <x v="6"/>
    <x v="0"/>
    <x v="0"/>
    <n v="123.10703999999998"/>
    <n v="170.00495999999998"/>
    <n v="0"/>
    <n v="0"/>
    <n v="0"/>
    <x v="1008"/>
  </r>
  <r>
    <x v="6"/>
    <x v="286"/>
    <x v="1042"/>
    <x v="0"/>
    <x v="4"/>
    <x v="3"/>
    <x v="0"/>
    <x v="2"/>
    <n v="2902"/>
    <x v="0"/>
    <n v="2902"/>
    <n v="41"/>
    <x v="22"/>
    <x v="1"/>
    <x v="4"/>
    <n v="1218.8399999999999"/>
    <n v="1683.16"/>
    <n v="150"/>
    <n v="290.2"/>
    <n v="2902"/>
    <x v="1009"/>
  </r>
  <r>
    <x v="47"/>
    <x v="286"/>
    <x v="1043"/>
    <x v="4"/>
    <x v="2"/>
    <x v="0"/>
    <x v="2"/>
    <x v="9"/>
    <n v="478"/>
    <x v="0"/>
    <n v="478"/>
    <n v="7"/>
    <x v="22"/>
    <x v="1"/>
    <x v="4"/>
    <n v="200.76"/>
    <n v="277.24"/>
    <n v="150"/>
    <n v="47.800000000000004"/>
    <n v="478"/>
    <x v="1010"/>
  </r>
  <r>
    <x v="22"/>
    <x v="286"/>
    <x v="1044"/>
    <x v="2"/>
    <x v="4"/>
    <x v="3"/>
    <x v="3"/>
    <x v="2"/>
    <n v="2457"/>
    <x v="304"/>
    <n v="1073.7090000000001"/>
    <n v="36"/>
    <x v="15"/>
    <x v="1"/>
    <x v="3"/>
    <n v="450.95778000000001"/>
    <n v="622.7512200000001"/>
    <n v="150"/>
    <n v="107.37090000000001"/>
    <n v="1073.7090000000001"/>
    <x v="1011"/>
  </r>
  <r>
    <x v="4"/>
    <x v="286"/>
    <x v="1045"/>
    <x v="2"/>
    <x v="1"/>
    <x v="2"/>
    <x v="5"/>
    <x v="2"/>
    <n v="1478"/>
    <x v="305"/>
    <n v="1312.4639999999999"/>
    <n v="46"/>
    <x v="19"/>
    <x v="1"/>
    <x v="3"/>
    <n v="551.23487999999998"/>
    <n v="761.22911999999997"/>
    <n v="150"/>
    <n v="131.24639999999999"/>
    <n v="1312.4639999999999"/>
    <x v="1012"/>
  </r>
  <r>
    <x v="40"/>
    <x v="287"/>
    <x v="1046"/>
    <x v="5"/>
    <x v="0"/>
    <x v="3"/>
    <x v="6"/>
    <x v="2"/>
    <n v="4263"/>
    <x v="0"/>
    <n v="4263"/>
    <n v="11"/>
    <x v="36"/>
    <x v="1"/>
    <x v="3"/>
    <n v="1790.46"/>
    <n v="2472.54"/>
    <n v="150"/>
    <n v="426.3"/>
    <n v="4263"/>
    <x v="1013"/>
  </r>
  <r>
    <x v="1"/>
    <x v="287"/>
    <x v="1047"/>
    <x v="1"/>
    <x v="1"/>
    <x v="0"/>
    <x v="5"/>
    <x v="0"/>
    <n v="937"/>
    <x v="0"/>
    <n v="937"/>
    <n v="29"/>
    <x v="12"/>
    <x v="0"/>
    <x v="0"/>
    <n v="393.53999999999996"/>
    <n v="543.46"/>
    <n v="0"/>
    <n v="0"/>
    <n v="0"/>
    <x v="1014"/>
  </r>
  <r>
    <x v="25"/>
    <x v="287"/>
    <x v="1048"/>
    <x v="6"/>
    <x v="1"/>
    <x v="1"/>
    <x v="0"/>
    <x v="4"/>
    <n v="1049"/>
    <x v="0"/>
    <n v="1049"/>
    <n v="18"/>
    <x v="20"/>
    <x v="1"/>
    <x v="1"/>
    <n v="440.58"/>
    <n v="608.42000000000007"/>
    <n v="150"/>
    <n v="104.9"/>
    <n v="1049"/>
    <x v="1015"/>
  </r>
  <r>
    <x v="19"/>
    <x v="288"/>
    <x v="1049"/>
    <x v="2"/>
    <x v="5"/>
    <x v="3"/>
    <x v="0"/>
    <x v="7"/>
    <n v="2814"/>
    <x v="0"/>
    <n v="2814"/>
    <n v="46"/>
    <x v="12"/>
    <x v="0"/>
    <x v="0"/>
    <n v="1181.8799999999999"/>
    <n v="1632.1200000000001"/>
    <n v="0"/>
    <n v="0"/>
    <n v="0"/>
    <x v="1016"/>
  </r>
  <r>
    <x v="39"/>
    <x v="288"/>
    <x v="1050"/>
    <x v="7"/>
    <x v="5"/>
    <x v="0"/>
    <x v="3"/>
    <x v="3"/>
    <n v="1908"/>
    <x v="0"/>
    <n v="1908"/>
    <n v="34"/>
    <x v="3"/>
    <x v="0"/>
    <x v="0"/>
    <n v="801.36"/>
    <n v="1106.6399999999999"/>
    <n v="0"/>
    <n v="0"/>
    <n v="0"/>
    <x v="1017"/>
  </r>
  <r>
    <x v="39"/>
    <x v="288"/>
    <x v="1051"/>
    <x v="7"/>
    <x v="5"/>
    <x v="1"/>
    <x v="5"/>
    <x v="7"/>
    <n v="2886"/>
    <x v="0"/>
    <n v="2886"/>
    <n v="48"/>
    <x v="16"/>
    <x v="1"/>
    <x v="5"/>
    <n v="1212.1199999999999"/>
    <n v="1673.88"/>
    <n v="150"/>
    <n v="288.60000000000002"/>
    <n v="2886"/>
    <x v="1018"/>
  </r>
  <r>
    <x v="16"/>
    <x v="288"/>
    <x v="1052"/>
    <x v="3"/>
    <x v="0"/>
    <x v="2"/>
    <x v="1"/>
    <x v="6"/>
    <n v="4150"/>
    <x v="0"/>
    <n v="4150"/>
    <n v="40"/>
    <x v="41"/>
    <x v="1"/>
    <x v="4"/>
    <n v="1743"/>
    <n v="2407"/>
    <n v="150"/>
    <n v="415"/>
    <n v="4150"/>
    <x v="1019"/>
  </r>
  <r>
    <x v="36"/>
    <x v="289"/>
    <x v="1053"/>
    <x v="5"/>
    <x v="3"/>
    <x v="0"/>
    <x v="6"/>
    <x v="2"/>
    <n v="3263"/>
    <x v="306"/>
    <n v="2672.3969999999999"/>
    <n v="4"/>
    <x v="21"/>
    <x v="1"/>
    <x v="5"/>
    <n v="1122.4067399999999"/>
    <n v="1549.99026"/>
    <n v="150"/>
    <n v="267.23970000000003"/>
    <n v="2672.3969999999999"/>
    <x v="1020"/>
  </r>
  <r>
    <x v="33"/>
    <x v="289"/>
    <x v="1054"/>
    <x v="7"/>
    <x v="0"/>
    <x v="3"/>
    <x v="6"/>
    <x v="1"/>
    <n v="3012"/>
    <x v="0"/>
    <n v="3012"/>
    <n v="12"/>
    <x v="10"/>
    <x v="0"/>
    <x v="0"/>
    <n v="1265.04"/>
    <n v="1746.96"/>
    <n v="0"/>
    <n v="0"/>
    <n v="0"/>
    <x v="1021"/>
  </r>
  <r>
    <x v="0"/>
    <x v="289"/>
    <x v="1055"/>
    <x v="0"/>
    <x v="0"/>
    <x v="1"/>
    <x v="2"/>
    <x v="8"/>
    <n v="4461"/>
    <x v="0"/>
    <n v="4461"/>
    <n v="36"/>
    <x v="3"/>
    <x v="1"/>
    <x v="3"/>
    <n v="1873.62"/>
    <n v="2587.38"/>
    <n v="150"/>
    <n v="446.1"/>
    <n v="4461"/>
    <x v="1022"/>
  </r>
  <r>
    <x v="9"/>
    <x v="289"/>
    <x v="1056"/>
    <x v="4"/>
    <x v="0"/>
    <x v="2"/>
    <x v="4"/>
    <x v="9"/>
    <n v="3100"/>
    <x v="0"/>
    <n v="3100"/>
    <n v="3"/>
    <x v="35"/>
    <x v="1"/>
    <x v="3"/>
    <n v="1302"/>
    <n v="1798"/>
    <n v="150"/>
    <n v="310"/>
    <n v="3100"/>
    <x v="1023"/>
  </r>
  <r>
    <x v="2"/>
    <x v="290"/>
    <x v="1057"/>
    <x v="1"/>
    <x v="2"/>
    <x v="2"/>
    <x v="2"/>
    <x v="1"/>
    <n v="150"/>
    <x v="25"/>
    <n v="148.35"/>
    <n v="12"/>
    <x v="15"/>
    <x v="0"/>
    <x v="0"/>
    <n v="62.306999999999995"/>
    <n v="86.043000000000006"/>
    <n v="0"/>
    <n v="0"/>
    <n v="0"/>
    <x v="1024"/>
  </r>
  <r>
    <x v="41"/>
    <x v="290"/>
    <x v="1058"/>
    <x v="6"/>
    <x v="2"/>
    <x v="3"/>
    <x v="2"/>
    <x v="11"/>
    <n v="280"/>
    <x v="0"/>
    <n v="280"/>
    <n v="2"/>
    <x v="23"/>
    <x v="0"/>
    <x v="0"/>
    <n v="117.6"/>
    <n v="162.4"/>
    <n v="0"/>
    <n v="0"/>
    <n v="0"/>
    <x v="1025"/>
  </r>
  <r>
    <x v="20"/>
    <x v="290"/>
    <x v="1059"/>
    <x v="7"/>
    <x v="1"/>
    <x v="3"/>
    <x v="1"/>
    <x v="10"/>
    <n v="1782"/>
    <x v="47"/>
    <n v="721.71"/>
    <n v="2"/>
    <x v="20"/>
    <x v="1"/>
    <x v="3"/>
    <n v="303.1182"/>
    <n v="418.59180000000003"/>
    <n v="150"/>
    <n v="72.171000000000006"/>
    <n v="721.71"/>
    <x v="1026"/>
  </r>
  <r>
    <x v="43"/>
    <x v="291"/>
    <x v="1060"/>
    <x v="4"/>
    <x v="5"/>
    <x v="3"/>
    <x v="5"/>
    <x v="2"/>
    <n v="2827"/>
    <x v="0"/>
    <n v="2827"/>
    <n v="6"/>
    <x v="31"/>
    <x v="0"/>
    <x v="0"/>
    <n v="1187.3399999999999"/>
    <n v="1639.66"/>
    <n v="0"/>
    <n v="0"/>
    <n v="0"/>
    <x v="1027"/>
  </r>
  <r>
    <x v="32"/>
    <x v="291"/>
    <x v="1061"/>
    <x v="4"/>
    <x v="4"/>
    <x v="1"/>
    <x v="3"/>
    <x v="1"/>
    <n v="2892"/>
    <x v="307"/>
    <n v="1217.5320000000002"/>
    <n v="11"/>
    <x v="25"/>
    <x v="0"/>
    <x v="0"/>
    <n v="511.36344000000003"/>
    <n v="706.16856000000007"/>
    <n v="0"/>
    <n v="0"/>
    <n v="0"/>
    <x v="1028"/>
  </r>
  <r>
    <x v="3"/>
    <x v="291"/>
    <x v="1062"/>
    <x v="1"/>
    <x v="3"/>
    <x v="1"/>
    <x v="5"/>
    <x v="6"/>
    <n v="3449"/>
    <x v="169"/>
    <n v="2134.931"/>
    <n v="36"/>
    <x v="15"/>
    <x v="1"/>
    <x v="3"/>
    <n v="896.67102"/>
    <n v="1238.25998"/>
    <n v="150"/>
    <n v="213.49310000000003"/>
    <n v="2134.931"/>
    <x v="1029"/>
  </r>
  <r>
    <x v="37"/>
    <x v="291"/>
    <x v="1063"/>
    <x v="4"/>
    <x v="3"/>
    <x v="0"/>
    <x v="0"/>
    <x v="0"/>
    <n v="3999"/>
    <x v="308"/>
    <n v="3595.1010000000001"/>
    <n v="32"/>
    <x v="4"/>
    <x v="1"/>
    <x v="4"/>
    <n v="1509.9424200000001"/>
    <n v="2085.1585800000003"/>
    <n v="150"/>
    <n v="359.51010000000002"/>
    <n v="3595.1010000000001"/>
    <x v="1030"/>
  </r>
  <r>
    <x v="45"/>
    <x v="292"/>
    <x v="1064"/>
    <x v="7"/>
    <x v="3"/>
    <x v="3"/>
    <x v="2"/>
    <x v="11"/>
    <n v="3607"/>
    <x v="309"/>
    <n v="1605.1149999999998"/>
    <n v="46"/>
    <x v="27"/>
    <x v="0"/>
    <x v="0"/>
    <n v="674.14829999999984"/>
    <n v="930.96669999999995"/>
    <n v="0"/>
    <n v="0"/>
    <n v="0"/>
    <x v="1031"/>
  </r>
  <r>
    <x v="15"/>
    <x v="292"/>
    <x v="1065"/>
    <x v="5"/>
    <x v="1"/>
    <x v="3"/>
    <x v="1"/>
    <x v="6"/>
    <n v="1484"/>
    <x v="310"/>
    <n v="746.45199999999988"/>
    <n v="33"/>
    <x v="3"/>
    <x v="0"/>
    <x v="0"/>
    <n v="313.50983999999994"/>
    <n v="432.94215999999994"/>
    <n v="0"/>
    <n v="0"/>
    <n v="0"/>
    <x v="1032"/>
  </r>
  <r>
    <x v="24"/>
    <x v="292"/>
    <x v="1066"/>
    <x v="5"/>
    <x v="5"/>
    <x v="0"/>
    <x v="3"/>
    <x v="2"/>
    <n v="1831"/>
    <x v="18"/>
    <n v="807.47100000000012"/>
    <n v="19"/>
    <x v="6"/>
    <x v="0"/>
    <x v="0"/>
    <n v="339.13782000000003"/>
    <n v="468.33318000000008"/>
    <n v="0"/>
    <n v="0"/>
    <n v="0"/>
    <x v="1033"/>
  </r>
  <r>
    <x v="26"/>
    <x v="292"/>
    <x v="1067"/>
    <x v="0"/>
    <x v="3"/>
    <x v="0"/>
    <x v="0"/>
    <x v="5"/>
    <n v="3481"/>
    <x v="0"/>
    <n v="3481"/>
    <n v="34"/>
    <x v="21"/>
    <x v="0"/>
    <x v="0"/>
    <n v="1462.02"/>
    <n v="2018.98"/>
    <n v="0"/>
    <n v="0"/>
    <n v="0"/>
    <x v="1034"/>
  </r>
  <r>
    <x v="4"/>
    <x v="293"/>
    <x v="1068"/>
    <x v="2"/>
    <x v="1"/>
    <x v="1"/>
    <x v="6"/>
    <x v="7"/>
    <n v="1380"/>
    <x v="0"/>
    <n v="1380"/>
    <n v="3"/>
    <x v="3"/>
    <x v="1"/>
    <x v="3"/>
    <n v="579.6"/>
    <n v="800.4"/>
    <n v="150"/>
    <n v="138"/>
    <n v="1380"/>
    <x v="1035"/>
  </r>
  <r>
    <x v="10"/>
    <x v="293"/>
    <x v="1069"/>
    <x v="3"/>
    <x v="1"/>
    <x v="0"/>
    <x v="6"/>
    <x v="9"/>
    <n v="1052"/>
    <x v="0"/>
    <n v="1052"/>
    <n v="29"/>
    <x v="3"/>
    <x v="0"/>
    <x v="0"/>
    <n v="441.84"/>
    <n v="610.16000000000008"/>
    <n v="0"/>
    <n v="0"/>
    <n v="0"/>
    <x v="1036"/>
  </r>
  <r>
    <x v="19"/>
    <x v="293"/>
    <x v="1070"/>
    <x v="2"/>
    <x v="5"/>
    <x v="2"/>
    <x v="2"/>
    <x v="1"/>
    <n v="2336"/>
    <x v="0"/>
    <n v="2336"/>
    <n v="5"/>
    <x v="27"/>
    <x v="0"/>
    <x v="0"/>
    <n v="981.12"/>
    <n v="1354.88"/>
    <n v="0"/>
    <n v="0"/>
    <n v="0"/>
    <x v="1037"/>
  </r>
  <r>
    <x v="6"/>
    <x v="293"/>
    <x v="1071"/>
    <x v="0"/>
    <x v="4"/>
    <x v="2"/>
    <x v="4"/>
    <x v="6"/>
    <n v="2696"/>
    <x v="311"/>
    <n v="2491.1040000000003"/>
    <n v="20"/>
    <x v="12"/>
    <x v="0"/>
    <x v="0"/>
    <n v="1046.26368"/>
    <n v="1444.8403200000002"/>
    <n v="0"/>
    <n v="0"/>
    <n v="0"/>
    <x v="1038"/>
  </r>
  <r>
    <x v="30"/>
    <x v="294"/>
    <x v="1072"/>
    <x v="7"/>
    <x v="4"/>
    <x v="1"/>
    <x v="0"/>
    <x v="8"/>
    <n v="2325"/>
    <x v="0"/>
    <n v="2325"/>
    <n v="37"/>
    <x v="39"/>
    <x v="1"/>
    <x v="4"/>
    <n v="976.5"/>
    <n v="1348.5"/>
    <n v="150"/>
    <n v="232.5"/>
    <n v="2325"/>
    <x v="1039"/>
  </r>
  <r>
    <x v="40"/>
    <x v="294"/>
    <x v="1073"/>
    <x v="5"/>
    <x v="0"/>
    <x v="1"/>
    <x v="2"/>
    <x v="7"/>
    <n v="3345"/>
    <x v="0"/>
    <n v="3345"/>
    <n v="17"/>
    <x v="22"/>
    <x v="0"/>
    <x v="0"/>
    <n v="1404.8999999999999"/>
    <n v="1940.1000000000001"/>
    <n v="0"/>
    <n v="0"/>
    <n v="0"/>
    <x v="594"/>
  </r>
  <r>
    <x v="14"/>
    <x v="294"/>
    <x v="1074"/>
    <x v="6"/>
    <x v="3"/>
    <x v="2"/>
    <x v="0"/>
    <x v="3"/>
    <n v="3939"/>
    <x v="312"/>
    <n v="3359.9670000000001"/>
    <n v="47"/>
    <x v="4"/>
    <x v="1"/>
    <x v="3"/>
    <n v="1411.18614"/>
    <n v="1948.7808600000001"/>
    <n v="150"/>
    <n v="335.99670000000003"/>
    <n v="3359.9670000000001"/>
    <x v="1040"/>
  </r>
  <r>
    <x v="2"/>
    <x v="295"/>
    <x v="1075"/>
    <x v="1"/>
    <x v="2"/>
    <x v="1"/>
    <x v="2"/>
    <x v="2"/>
    <n v="310"/>
    <x v="0"/>
    <n v="310"/>
    <n v="34"/>
    <x v="35"/>
    <x v="0"/>
    <x v="0"/>
    <n v="130.19999999999999"/>
    <n v="179.8"/>
    <n v="0"/>
    <n v="0"/>
    <n v="0"/>
    <x v="1041"/>
  </r>
  <r>
    <x v="1"/>
    <x v="295"/>
    <x v="1076"/>
    <x v="1"/>
    <x v="1"/>
    <x v="2"/>
    <x v="1"/>
    <x v="8"/>
    <n v="1098"/>
    <x v="150"/>
    <n v="1061.7660000000001"/>
    <n v="5"/>
    <x v="4"/>
    <x v="0"/>
    <x v="0"/>
    <n v="445.94172000000003"/>
    <n v="615.82428000000004"/>
    <n v="0"/>
    <n v="0"/>
    <n v="0"/>
    <x v="1042"/>
  </r>
  <r>
    <x v="45"/>
    <x v="295"/>
    <x v="1077"/>
    <x v="7"/>
    <x v="3"/>
    <x v="0"/>
    <x v="0"/>
    <x v="10"/>
    <n v="3808"/>
    <x v="313"/>
    <n v="2018.24"/>
    <n v="6"/>
    <x v="19"/>
    <x v="0"/>
    <x v="0"/>
    <n v="847.66079999999999"/>
    <n v="1170.5792000000001"/>
    <n v="0"/>
    <n v="0"/>
    <n v="0"/>
    <x v="1043"/>
  </r>
  <r>
    <x v="7"/>
    <x v="295"/>
    <x v="1078"/>
    <x v="3"/>
    <x v="5"/>
    <x v="2"/>
    <x v="1"/>
    <x v="1"/>
    <n v="2102"/>
    <x v="0"/>
    <n v="2102"/>
    <n v="34"/>
    <x v="19"/>
    <x v="1"/>
    <x v="7"/>
    <n v="882.83999999999992"/>
    <n v="1219.1600000000001"/>
    <n v="150"/>
    <n v="210.20000000000002"/>
    <n v="2102"/>
    <x v="1044"/>
  </r>
  <r>
    <x v="23"/>
    <x v="296"/>
    <x v="1079"/>
    <x v="6"/>
    <x v="4"/>
    <x v="2"/>
    <x v="4"/>
    <x v="9"/>
    <n v="2736"/>
    <x v="314"/>
    <n v="1253.088"/>
    <n v="4"/>
    <x v="18"/>
    <x v="0"/>
    <x v="0"/>
    <n v="526.29696000000001"/>
    <n v="726.79103999999995"/>
    <n v="0"/>
    <n v="0"/>
    <n v="0"/>
    <x v="1045"/>
  </r>
  <r>
    <x v="12"/>
    <x v="296"/>
    <x v="1080"/>
    <x v="1"/>
    <x v="5"/>
    <x v="3"/>
    <x v="5"/>
    <x v="7"/>
    <n v="2438"/>
    <x v="0"/>
    <n v="2438"/>
    <n v="48"/>
    <x v="11"/>
    <x v="1"/>
    <x v="5"/>
    <n v="1023.9599999999999"/>
    <n v="1414.04"/>
    <n v="150"/>
    <n v="243.8"/>
    <n v="2438"/>
    <x v="1046"/>
  </r>
  <r>
    <x v="33"/>
    <x v="296"/>
    <x v="1081"/>
    <x v="7"/>
    <x v="0"/>
    <x v="1"/>
    <x v="1"/>
    <x v="6"/>
    <n v="3259"/>
    <x v="86"/>
    <n v="1473.0680000000002"/>
    <n v="36"/>
    <x v="32"/>
    <x v="1"/>
    <x v="6"/>
    <n v="618.68856000000005"/>
    <n v="854.37944000000016"/>
    <n v="150"/>
    <n v="147.30680000000004"/>
    <n v="1473.0680000000002"/>
    <x v="1047"/>
  </r>
  <r>
    <x v="18"/>
    <x v="296"/>
    <x v="1082"/>
    <x v="3"/>
    <x v="4"/>
    <x v="2"/>
    <x v="6"/>
    <x v="0"/>
    <n v="2163"/>
    <x v="257"/>
    <n v="1799.616"/>
    <n v="13"/>
    <x v="3"/>
    <x v="0"/>
    <x v="0"/>
    <n v="755.83871999999997"/>
    <n v="1043.77728"/>
    <n v="0"/>
    <n v="0"/>
    <n v="0"/>
    <x v="1048"/>
  </r>
  <r>
    <x v="18"/>
    <x v="297"/>
    <x v="1083"/>
    <x v="3"/>
    <x v="4"/>
    <x v="1"/>
    <x v="6"/>
    <x v="3"/>
    <n v="2783"/>
    <x v="112"/>
    <n v="1185.5580000000002"/>
    <n v="30"/>
    <x v="27"/>
    <x v="0"/>
    <x v="0"/>
    <n v="497.93436000000008"/>
    <n v="687.62364000000014"/>
    <n v="0"/>
    <n v="0"/>
    <n v="0"/>
    <x v="1049"/>
  </r>
  <r>
    <x v="3"/>
    <x v="297"/>
    <x v="1084"/>
    <x v="1"/>
    <x v="3"/>
    <x v="2"/>
    <x v="3"/>
    <x v="4"/>
    <n v="4123"/>
    <x v="0"/>
    <n v="4123"/>
    <n v="25"/>
    <x v="10"/>
    <x v="0"/>
    <x v="0"/>
    <n v="1731.6599999999999"/>
    <n v="2391.34"/>
    <n v="0"/>
    <n v="0"/>
    <n v="0"/>
    <x v="1050"/>
  </r>
  <r>
    <x v="26"/>
    <x v="297"/>
    <x v="1085"/>
    <x v="0"/>
    <x v="3"/>
    <x v="2"/>
    <x v="2"/>
    <x v="10"/>
    <n v="4035"/>
    <x v="0"/>
    <n v="4035"/>
    <n v="43"/>
    <x v="32"/>
    <x v="0"/>
    <x v="0"/>
    <n v="1694.7"/>
    <n v="2340.3000000000002"/>
    <n v="0"/>
    <n v="0"/>
    <n v="0"/>
    <x v="1051"/>
  </r>
  <r>
    <x v="25"/>
    <x v="297"/>
    <x v="1086"/>
    <x v="6"/>
    <x v="1"/>
    <x v="1"/>
    <x v="6"/>
    <x v="11"/>
    <n v="1326"/>
    <x v="49"/>
    <n v="877.81200000000001"/>
    <n v="15"/>
    <x v="26"/>
    <x v="0"/>
    <x v="0"/>
    <n v="368.68104"/>
    <n v="509.13096000000002"/>
    <n v="0"/>
    <n v="0"/>
    <n v="0"/>
    <x v="1052"/>
  </r>
  <r>
    <x v="43"/>
    <x v="298"/>
    <x v="1087"/>
    <x v="4"/>
    <x v="5"/>
    <x v="3"/>
    <x v="5"/>
    <x v="1"/>
    <n v="2062"/>
    <x v="0"/>
    <n v="2062"/>
    <n v="41"/>
    <x v="24"/>
    <x v="0"/>
    <x v="0"/>
    <n v="866.04"/>
    <n v="1195.96"/>
    <n v="0"/>
    <n v="0"/>
    <n v="0"/>
    <x v="1053"/>
  </r>
  <r>
    <x v="17"/>
    <x v="298"/>
    <x v="1088"/>
    <x v="2"/>
    <x v="0"/>
    <x v="0"/>
    <x v="4"/>
    <x v="2"/>
    <n v="3862"/>
    <x v="0"/>
    <n v="3862"/>
    <n v="22"/>
    <x v="22"/>
    <x v="0"/>
    <x v="0"/>
    <n v="1622.04"/>
    <n v="2239.96"/>
    <n v="0"/>
    <n v="0"/>
    <n v="0"/>
    <x v="1054"/>
  </r>
  <r>
    <x v="29"/>
    <x v="298"/>
    <x v="1089"/>
    <x v="5"/>
    <x v="2"/>
    <x v="3"/>
    <x v="2"/>
    <x v="11"/>
    <n v="386"/>
    <x v="0"/>
    <n v="386"/>
    <n v="4"/>
    <x v="10"/>
    <x v="1"/>
    <x v="5"/>
    <n v="162.12"/>
    <n v="223.88"/>
    <n v="150"/>
    <n v="38.6"/>
    <n v="386"/>
    <x v="1055"/>
  </r>
  <r>
    <x v="41"/>
    <x v="298"/>
    <x v="1090"/>
    <x v="6"/>
    <x v="2"/>
    <x v="0"/>
    <x v="2"/>
    <x v="7"/>
    <n v="362"/>
    <x v="0"/>
    <n v="362"/>
    <n v="6"/>
    <x v="8"/>
    <x v="1"/>
    <x v="4"/>
    <n v="152.04"/>
    <n v="209.96"/>
    <n v="150"/>
    <n v="36.200000000000003"/>
    <n v="362"/>
    <x v="1056"/>
  </r>
  <r>
    <x v="30"/>
    <x v="299"/>
    <x v="1091"/>
    <x v="7"/>
    <x v="4"/>
    <x v="1"/>
    <x v="3"/>
    <x v="11"/>
    <n v="2026"/>
    <x v="132"/>
    <n v="1444.5380000000002"/>
    <n v="37"/>
    <x v="1"/>
    <x v="1"/>
    <x v="5"/>
    <n v="606.70596000000012"/>
    <n v="837.83204000000012"/>
    <n v="150"/>
    <n v="144.45380000000003"/>
    <n v="1444.5380000000002"/>
    <x v="1057"/>
  </r>
  <r>
    <x v="7"/>
    <x v="299"/>
    <x v="1092"/>
    <x v="3"/>
    <x v="5"/>
    <x v="1"/>
    <x v="0"/>
    <x v="2"/>
    <n v="2706"/>
    <x v="0"/>
    <n v="2706"/>
    <n v="36"/>
    <x v="1"/>
    <x v="0"/>
    <x v="0"/>
    <n v="1136.52"/>
    <n v="1569.48"/>
    <n v="0"/>
    <n v="0"/>
    <n v="0"/>
    <x v="1058"/>
  </r>
  <r>
    <x v="43"/>
    <x v="299"/>
    <x v="1093"/>
    <x v="4"/>
    <x v="5"/>
    <x v="3"/>
    <x v="0"/>
    <x v="11"/>
    <n v="2554"/>
    <x v="116"/>
    <n v="2278.1680000000001"/>
    <n v="38"/>
    <x v="22"/>
    <x v="0"/>
    <x v="0"/>
    <n v="956.83055999999999"/>
    <n v="1321.3374400000002"/>
    <n v="0"/>
    <n v="0"/>
    <n v="0"/>
    <x v="1059"/>
  </r>
  <r>
    <x v="16"/>
    <x v="299"/>
    <x v="1094"/>
    <x v="3"/>
    <x v="0"/>
    <x v="1"/>
    <x v="0"/>
    <x v="1"/>
    <n v="4263"/>
    <x v="315"/>
    <n v="3516.9749999999999"/>
    <n v="41"/>
    <x v="30"/>
    <x v="0"/>
    <x v="0"/>
    <n v="1477.1295"/>
    <n v="2039.8454999999999"/>
    <n v="0"/>
    <n v="0"/>
    <n v="0"/>
    <x v="1060"/>
  </r>
  <r>
    <x v="17"/>
    <x v="300"/>
    <x v="1095"/>
    <x v="2"/>
    <x v="0"/>
    <x v="0"/>
    <x v="6"/>
    <x v="6"/>
    <n v="3704"/>
    <x v="198"/>
    <n v="1992.7520000000002"/>
    <n v="28"/>
    <x v="37"/>
    <x v="0"/>
    <x v="0"/>
    <n v="836.95584000000008"/>
    <n v="1155.7961600000001"/>
    <n v="0"/>
    <n v="0"/>
    <n v="0"/>
    <x v="1061"/>
  </r>
  <r>
    <x v="14"/>
    <x v="300"/>
    <x v="1096"/>
    <x v="6"/>
    <x v="3"/>
    <x v="3"/>
    <x v="5"/>
    <x v="5"/>
    <n v="3969"/>
    <x v="187"/>
    <n v="2099.6009999999997"/>
    <n v="36"/>
    <x v="21"/>
    <x v="0"/>
    <x v="0"/>
    <n v="881.83241999999984"/>
    <n v="1217.7685799999999"/>
    <n v="0"/>
    <n v="0"/>
    <n v="0"/>
    <x v="1062"/>
  </r>
  <r>
    <x v="31"/>
    <x v="300"/>
    <x v="1097"/>
    <x v="2"/>
    <x v="2"/>
    <x v="1"/>
    <x v="2"/>
    <x v="9"/>
    <n v="296"/>
    <x v="239"/>
    <n v="234.72800000000001"/>
    <n v="20"/>
    <x v="2"/>
    <x v="0"/>
    <x v="0"/>
    <n v="98.585759999999993"/>
    <n v="136.14224000000002"/>
    <n v="0"/>
    <n v="0"/>
    <n v="0"/>
    <x v="1063"/>
  </r>
  <r>
    <x v="32"/>
    <x v="300"/>
    <x v="1098"/>
    <x v="4"/>
    <x v="4"/>
    <x v="0"/>
    <x v="5"/>
    <x v="10"/>
    <n v="2110"/>
    <x v="0"/>
    <n v="2110"/>
    <n v="3"/>
    <x v="18"/>
    <x v="0"/>
    <x v="0"/>
    <n v="886.19999999999993"/>
    <n v="1223.8000000000002"/>
    <n v="0"/>
    <n v="0"/>
    <n v="0"/>
    <x v="1064"/>
  </r>
  <r>
    <x v="36"/>
    <x v="301"/>
    <x v="1099"/>
    <x v="5"/>
    <x v="3"/>
    <x v="2"/>
    <x v="0"/>
    <x v="8"/>
    <n v="3752"/>
    <x v="0"/>
    <n v="3752"/>
    <n v="25"/>
    <x v="14"/>
    <x v="0"/>
    <x v="0"/>
    <n v="1575.84"/>
    <n v="2176.16"/>
    <n v="0"/>
    <n v="0"/>
    <n v="0"/>
    <x v="740"/>
  </r>
  <r>
    <x v="0"/>
    <x v="301"/>
    <x v="1100"/>
    <x v="0"/>
    <x v="0"/>
    <x v="2"/>
    <x v="3"/>
    <x v="4"/>
    <n v="3000"/>
    <x v="0"/>
    <n v="3000"/>
    <n v="23"/>
    <x v="25"/>
    <x v="0"/>
    <x v="0"/>
    <n v="1260"/>
    <n v="1740"/>
    <n v="0"/>
    <n v="0"/>
    <n v="0"/>
    <x v="1065"/>
  </r>
  <r>
    <x v="43"/>
    <x v="301"/>
    <x v="1101"/>
    <x v="4"/>
    <x v="5"/>
    <x v="0"/>
    <x v="0"/>
    <x v="11"/>
    <n v="1878"/>
    <x v="277"/>
    <n v="1145.58"/>
    <n v="5"/>
    <x v="3"/>
    <x v="0"/>
    <x v="0"/>
    <n v="481.14359999999994"/>
    <n v="664.43640000000005"/>
    <n v="0"/>
    <n v="0"/>
    <n v="0"/>
    <x v="1066"/>
  </r>
  <r>
    <x v="41"/>
    <x v="302"/>
    <x v="1102"/>
    <x v="6"/>
    <x v="2"/>
    <x v="2"/>
    <x v="2"/>
    <x v="2"/>
    <n v="249"/>
    <x v="0"/>
    <n v="249"/>
    <n v="22"/>
    <x v="3"/>
    <x v="0"/>
    <x v="0"/>
    <n v="104.58"/>
    <n v="144.42000000000002"/>
    <n v="0"/>
    <n v="0"/>
    <n v="0"/>
    <x v="116"/>
  </r>
  <r>
    <x v="29"/>
    <x v="302"/>
    <x v="1103"/>
    <x v="5"/>
    <x v="2"/>
    <x v="2"/>
    <x v="2"/>
    <x v="8"/>
    <n v="199"/>
    <x v="183"/>
    <n v="161.38900000000001"/>
    <n v="50"/>
    <x v="14"/>
    <x v="1"/>
    <x v="3"/>
    <n v="67.783380000000008"/>
    <n v="93.605620000000002"/>
    <n v="150"/>
    <n v="16.138900000000003"/>
    <n v="161.38900000000001"/>
    <x v="1067"/>
  </r>
  <r>
    <x v="23"/>
    <x v="302"/>
    <x v="1104"/>
    <x v="6"/>
    <x v="4"/>
    <x v="1"/>
    <x v="4"/>
    <x v="5"/>
    <n v="2027"/>
    <x v="0"/>
    <n v="2027"/>
    <n v="3"/>
    <x v="2"/>
    <x v="1"/>
    <x v="3"/>
    <n v="851.33999999999992"/>
    <n v="1175.6600000000001"/>
    <n v="150"/>
    <n v="202.70000000000002"/>
    <n v="2027"/>
    <x v="1068"/>
  </r>
  <r>
    <x v="5"/>
    <x v="302"/>
    <x v="1105"/>
    <x v="0"/>
    <x v="2"/>
    <x v="3"/>
    <x v="2"/>
    <x v="9"/>
    <n v="371"/>
    <x v="0"/>
    <n v="371"/>
    <n v="31"/>
    <x v="0"/>
    <x v="0"/>
    <x v="0"/>
    <n v="155.82"/>
    <n v="215.18"/>
    <n v="0"/>
    <n v="0"/>
    <n v="0"/>
    <x v="437"/>
  </r>
  <r>
    <x v="8"/>
    <x v="303"/>
    <x v="1106"/>
    <x v="1"/>
    <x v="0"/>
    <x v="2"/>
    <x v="4"/>
    <x v="10"/>
    <n v="3891"/>
    <x v="0"/>
    <n v="3891"/>
    <n v="16"/>
    <x v="36"/>
    <x v="1"/>
    <x v="5"/>
    <n v="1634.22"/>
    <n v="2256.7799999999997"/>
    <n v="150"/>
    <n v="389.1"/>
    <n v="3891"/>
    <x v="1069"/>
  </r>
  <r>
    <x v="30"/>
    <x v="303"/>
    <x v="1107"/>
    <x v="7"/>
    <x v="4"/>
    <x v="2"/>
    <x v="0"/>
    <x v="1"/>
    <n v="2020"/>
    <x v="0"/>
    <n v="2020"/>
    <n v="25"/>
    <x v="9"/>
    <x v="0"/>
    <x v="0"/>
    <n v="848.4"/>
    <n v="1171.5999999999999"/>
    <n v="0"/>
    <n v="0"/>
    <n v="0"/>
    <x v="1070"/>
  </r>
  <r>
    <x v="20"/>
    <x v="303"/>
    <x v="1108"/>
    <x v="7"/>
    <x v="1"/>
    <x v="0"/>
    <x v="6"/>
    <x v="0"/>
    <n v="1019"/>
    <x v="0"/>
    <n v="1019"/>
    <n v="47"/>
    <x v="3"/>
    <x v="0"/>
    <x v="0"/>
    <n v="427.97999999999996"/>
    <n v="591.02"/>
    <n v="0"/>
    <n v="0"/>
    <n v="0"/>
    <x v="1071"/>
  </r>
  <r>
    <x v="22"/>
    <x v="304"/>
    <x v="1109"/>
    <x v="2"/>
    <x v="4"/>
    <x v="2"/>
    <x v="2"/>
    <x v="3"/>
    <n v="2033"/>
    <x v="0"/>
    <n v="2033"/>
    <n v="13"/>
    <x v="12"/>
    <x v="0"/>
    <x v="0"/>
    <n v="853.86"/>
    <n v="1179.1399999999999"/>
    <n v="0"/>
    <n v="0"/>
    <n v="0"/>
    <x v="1072"/>
  </r>
  <r>
    <x v="17"/>
    <x v="304"/>
    <x v="1110"/>
    <x v="2"/>
    <x v="0"/>
    <x v="0"/>
    <x v="2"/>
    <x v="11"/>
    <n v="3105"/>
    <x v="0"/>
    <n v="3105"/>
    <n v="4"/>
    <x v="34"/>
    <x v="0"/>
    <x v="0"/>
    <n v="1304.0999999999999"/>
    <n v="1800.9"/>
    <n v="0"/>
    <n v="0"/>
    <n v="0"/>
    <x v="1073"/>
  </r>
  <r>
    <x v="24"/>
    <x v="304"/>
    <x v="1111"/>
    <x v="5"/>
    <x v="5"/>
    <x v="2"/>
    <x v="2"/>
    <x v="4"/>
    <n v="1910"/>
    <x v="179"/>
    <n v="966.46"/>
    <n v="25"/>
    <x v="3"/>
    <x v="0"/>
    <x v="0"/>
    <n v="405.91320000000002"/>
    <n v="560.54680000000008"/>
    <n v="0"/>
    <n v="0"/>
    <n v="0"/>
    <x v="1074"/>
  </r>
  <r>
    <x v="26"/>
    <x v="304"/>
    <x v="1112"/>
    <x v="0"/>
    <x v="3"/>
    <x v="1"/>
    <x v="1"/>
    <x v="4"/>
    <n v="3968"/>
    <x v="0"/>
    <n v="3968"/>
    <n v="36"/>
    <x v="21"/>
    <x v="0"/>
    <x v="0"/>
    <n v="1666.56"/>
    <n v="2301.44"/>
    <n v="0"/>
    <n v="0"/>
    <n v="0"/>
    <x v="1075"/>
  </r>
  <r>
    <x v="45"/>
    <x v="305"/>
    <x v="1113"/>
    <x v="7"/>
    <x v="3"/>
    <x v="1"/>
    <x v="1"/>
    <x v="5"/>
    <n v="4259"/>
    <x v="0"/>
    <n v="4259"/>
    <n v="45"/>
    <x v="16"/>
    <x v="0"/>
    <x v="0"/>
    <n v="1788.78"/>
    <n v="2470.2200000000003"/>
    <n v="0"/>
    <n v="0"/>
    <n v="0"/>
    <x v="1076"/>
  </r>
  <r>
    <x v="6"/>
    <x v="305"/>
    <x v="1114"/>
    <x v="0"/>
    <x v="4"/>
    <x v="1"/>
    <x v="3"/>
    <x v="0"/>
    <n v="2550"/>
    <x v="303"/>
    <n v="2129.25"/>
    <n v="48"/>
    <x v="25"/>
    <x v="0"/>
    <x v="0"/>
    <n v="894.28499999999997"/>
    <n v="1234.9650000000001"/>
    <n v="0"/>
    <n v="0"/>
    <n v="0"/>
    <x v="1077"/>
  </r>
  <r>
    <x v="4"/>
    <x v="305"/>
    <x v="1115"/>
    <x v="2"/>
    <x v="1"/>
    <x v="1"/>
    <x v="4"/>
    <x v="10"/>
    <n v="1699"/>
    <x v="316"/>
    <n v="1243.6679999999999"/>
    <n v="26"/>
    <x v="9"/>
    <x v="0"/>
    <x v="0"/>
    <n v="522.34055999999998"/>
    <n v="721.32743999999991"/>
    <n v="0"/>
    <n v="0"/>
    <n v="0"/>
    <x v="1078"/>
  </r>
  <r>
    <x v="24"/>
    <x v="305"/>
    <x v="1116"/>
    <x v="5"/>
    <x v="5"/>
    <x v="2"/>
    <x v="0"/>
    <x v="1"/>
    <n v="1809"/>
    <x v="0"/>
    <n v="1809"/>
    <n v="37"/>
    <x v="29"/>
    <x v="0"/>
    <x v="0"/>
    <n v="759.78"/>
    <n v="1049.22"/>
    <n v="0"/>
    <n v="0"/>
    <n v="0"/>
    <x v="1079"/>
  </r>
  <r>
    <x v="28"/>
    <x v="306"/>
    <x v="1117"/>
    <x v="3"/>
    <x v="3"/>
    <x v="2"/>
    <x v="5"/>
    <x v="1"/>
    <n v="3195"/>
    <x v="0"/>
    <n v="3195"/>
    <n v="10"/>
    <x v="11"/>
    <x v="1"/>
    <x v="3"/>
    <n v="1341.8999999999999"/>
    <n v="1853.1000000000001"/>
    <n v="150"/>
    <n v="319.5"/>
    <n v="3195"/>
    <x v="1080"/>
  </r>
  <r>
    <x v="12"/>
    <x v="306"/>
    <x v="1118"/>
    <x v="1"/>
    <x v="5"/>
    <x v="1"/>
    <x v="0"/>
    <x v="5"/>
    <n v="2449"/>
    <x v="134"/>
    <n v="1954.3020000000001"/>
    <n v="5"/>
    <x v="8"/>
    <x v="1"/>
    <x v="7"/>
    <n v="820.80684000000008"/>
    <n v="1133.4951599999999"/>
    <n v="150"/>
    <n v="195.43020000000001"/>
    <n v="1954.3020000000001"/>
    <x v="1081"/>
  </r>
  <r>
    <x v="26"/>
    <x v="306"/>
    <x v="1119"/>
    <x v="0"/>
    <x v="3"/>
    <x v="1"/>
    <x v="0"/>
    <x v="5"/>
    <n v="4393"/>
    <x v="0"/>
    <n v="4393"/>
    <n v="38"/>
    <x v="2"/>
    <x v="0"/>
    <x v="0"/>
    <n v="1845.06"/>
    <n v="2547.94"/>
    <n v="0"/>
    <n v="0"/>
    <n v="0"/>
    <x v="1082"/>
  </r>
  <r>
    <x v="7"/>
    <x v="306"/>
    <x v="1120"/>
    <x v="3"/>
    <x v="5"/>
    <x v="1"/>
    <x v="0"/>
    <x v="9"/>
    <n v="2322"/>
    <x v="317"/>
    <n v="2164.1039999999998"/>
    <n v="18"/>
    <x v="8"/>
    <x v="0"/>
    <x v="0"/>
    <n v="908.92367999999988"/>
    <n v="1255.1803199999999"/>
    <n v="0"/>
    <n v="0"/>
    <n v="0"/>
    <x v="1083"/>
  </r>
  <r>
    <x v="10"/>
    <x v="307"/>
    <x v="1121"/>
    <x v="3"/>
    <x v="1"/>
    <x v="2"/>
    <x v="3"/>
    <x v="1"/>
    <n v="1761"/>
    <x v="318"/>
    <n v="1195.7190000000001"/>
    <n v="49"/>
    <x v="29"/>
    <x v="0"/>
    <x v="0"/>
    <n v="502.20197999999999"/>
    <n v="693.51702"/>
    <n v="0"/>
    <n v="0"/>
    <n v="0"/>
    <x v="1084"/>
  </r>
  <r>
    <x v="34"/>
    <x v="307"/>
    <x v="1122"/>
    <x v="6"/>
    <x v="0"/>
    <x v="2"/>
    <x v="5"/>
    <x v="2"/>
    <n v="3784"/>
    <x v="0"/>
    <n v="3784"/>
    <n v="4"/>
    <x v="3"/>
    <x v="0"/>
    <x v="0"/>
    <n v="1589.28"/>
    <n v="2194.7200000000003"/>
    <n v="0"/>
    <n v="0"/>
    <n v="0"/>
    <x v="1085"/>
  </r>
  <r>
    <x v="30"/>
    <x v="307"/>
    <x v="1123"/>
    <x v="7"/>
    <x v="4"/>
    <x v="2"/>
    <x v="6"/>
    <x v="0"/>
    <n v="2461"/>
    <x v="0"/>
    <n v="2461"/>
    <n v="14"/>
    <x v="38"/>
    <x v="0"/>
    <x v="0"/>
    <n v="1033.6199999999999"/>
    <n v="1427.38"/>
    <n v="0"/>
    <n v="0"/>
    <n v="0"/>
    <x v="1086"/>
  </r>
  <r>
    <x v="46"/>
    <x v="307"/>
    <x v="1124"/>
    <x v="2"/>
    <x v="3"/>
    <x v="3"/>
    <x v="1"/>
    <x v="5"/>
    <n v="3387"/>
    <x v="0"/>
    <n v="3387"/>
    <n v="12"/>
    <x v="34"/>
    <x v="1"/>
    <x v="4"/>
    <n v="1422.54"/>
    <n v="1964.46"/>
    <n v="150"/>
    <n v="338.70000000000005"/>
    <n v="3387"/>
    <x v="1087"/>
  </r>
  <r>
    <x v="3"/>
    <x v="308"/>
    <x v="1125"/>
    <x v="1"/>
    <x v="3"/>
    <x v="0"/>
    <x v="0"/>
    <x v="5"/>
    <n v="4327"/>
    <x v="0"/>
    <n v="4327"/>
    <n v="24"/>
    <x v="37"/>
    <x v="0"/>
    <x v="0"/>
    <n v="1817.34"/>
    <n v="2509.66"/>
    <n v="0"/>
    <n v="0"/>
    <n v="0"/>
    <x v="1088"/>
  </r>
  <r>
    <x v="44"/>
    <x v="308"/>
    <x v="1126"/>
    <x v="6"/>
    <x v="5"/>
    <x v="3"/>
    <x v="1"/>
    <x v="4"/>
    <n v="2202"/>
    <x v="319"/>
    <n v="1301.3819999999998"/>
    <n v="32"/>
    <x v="34"/>
    <x v="0"/>
    <x v="0"/>
    <n v="546.58043999999995"/>
    <n v="754.80155999999988"/>
    <n v="0"/>
    <n v="0"/>
    <n v="0"/>
    <x v="1089"/>
  </r>
  <r>
    <x v="14"/>
    <x v="308"/>
    <x v="1127"/>
    <x v="6"/>
    <x v="3"/>
    <x v="0"/>
    <x v="5"/>
    <x v="4"/>
    <n v="3459"/>
    <x v="320"/>
    <n v="3282.5909999999999"/>
    <n v="16"/>
    <x v="20"/>
    <x v="0"/>
    <x v="0"/>
    <n v="1378.68822"/>
    <n v="1903.9027799999999"/>
    <n v="0"/>
    <n v="0"/>
    <n v="0"/>
    <x v="1090"/>
  </r>
  <r>
    <x v="30"/>
    <x v="308"/>
    <x v="1128"/>
    <x v="7"/>
    <x v="4"/>
    <x v="0"/>
    <x v="4"/>
    <x v="0"/>
    <n v="2716"/>
    <x v="321"/>
    <n v="1393.3079999999998"/>
    <n v="0"/>
    <x v="3"/>
    <x v="1"/>
    <x v="3"/>
    <n v="585.18935999999985"/>
    <n v="808.11863999999991"/>
    <n v="150"/>
    <n v="139.33079999999998"/>
    <n v="1393.3079999999998"/>
    <x v="1091"/>
  </r>
  <r>
    <x v="0"/>
    <x v="309"/>
    <x v="1129"/>
    <x v="0"/>
    <x v="0"/>
    <x v="0"/>
    <x v="6"/>
    <x v="5"/>
    <n v="4068"/>
    <x v="322"/>
    <n v="1635.336"/>
    <n v="10"/>
    <x v="27"/>
    <x v="0"/>
    <x v="0"/>
    <n v="686.84111999999993"/>
    <n v="948.49488000000008"/>
    <n v="0"/>
    <n v="0"/>
    <n v="0"/>
    <x v="1092"/>
  </r>
  <r>
    <x v="29"/>
    <x v="309"/>
    <x v="1130"/>
    <x v="5"/>
    <x v="2"/>
    <x v="2"/>
    <x v="2"/>
    <x v="9"/>
    <n v="399"/>
    <x v="37"/>
    <n v="351.51900000000001"/>
    <n v="37"/>
    <x v="0"/>
    <x v="0"/>
    <x v="0"/>
    <n v="147.63798"/>
    <n v="203.88102000000001"/>
    <n v="0"/>
    <n v="0"/>
    <n v="0"/>
    <x v="1093"/>
  </r>
  <r>
    <x v="19"/>
    <x v="309"/>
    <x v="1131"/>
    <x v="2"/>
    <x v="5"/>
    <x v="2"/>
    <x v="3"/>
    <x v="3"/>
    <n v="2745"/>
    <x v="323"/>
    <n v="1364.2650000000001"/>
    <n v="50"/>
    <x v="36"/>
    <x v="1"/>
    <x v="6"/>
    <n v="572.99130000000002"/>
    <n v="791.27370000000008"/>
    <n v="150"/>
    <n v="136.4265"/>
    <n v="1364.2650000000001"/>
    <x v="1094"/>
  </r>
  <r>
    <x v="8"/>
    <x v="309"/>
    <x v="1132"/>
    <x v="1"/>
    <x v="0"/>
    <x v="3"/>
    <x v="1"/>
    <x v="6"/>
    <n v="3411"/>
    <x v="0"/>
    <n v="3411"/>
    <n v="36"/>
    <x v="5"/>
    <x v="1"/>
    <x v="5"/>
    <n v="1432.62"/>
    <n v="1978.38"/>
    <n v="150"/>
    <n v="341.1"/>
    <n v="3411"/>
    <x v="1095"/>
  </r>
  <r>
    <x v="37"/>
    <x v="309"/>
    <x v="1133"/>
    <x v="4"/>
    <x v="3"/>
    <x v="2"/>
    <x v="0"/>
    <x v="7"/>
    <n v="3125"/>
    <x v="89"/>
    <n v="2425"/>
    <n v="0"/>
    <x v="3"/>
    <x v="0"/>
    <x v="0"/>
    <n v="1018.5"/>
    <n v="1406.5"/>
    <n v="0"/>
    <n v="0"/>
    <n v="0"/>
    <x v="1096"/>
  </r>
  <r>
    <x v="32"/>
    <x v="310"/>
    <x v="1134"/>
    <x v="4"/>
    <x v="4"/>
    <x v="3"/>
    <x v="3"/>
    <x v="5"/>
    <n v="2305"/>
    <x v="0"/>
    <n v="2305"/>
    <n v="2"/>
    <x v="15"/>
    <x v="1"/>
    <x v="3"/>
    <n v="968.09999999999991"/>
    <n v="1336.9"/>
    <n v="150"/>
    <n v="230.5"/>
    <n v="2305"/>
    <x v="1097"/>
  </r>
  <r>
    <x v="0"/>
    <x v="310"/>
    <x v="1135"/>
    <x v="0"/>
    <x v="0"/>
    <x v="3"/>
    <x v="5"/>
    <x v="1"/>
    <n v="3944"/>
    <x v="0"/>
    <n v="3944"/>
    <n v="43"/>
    <x v="24"/>
    <x v="1"/>
    <x v="3"/>
    <n v="1656.48"/>
    <n v="2287.52"/>
    <n v="150"/>
    <n v="394.40000000000003"/>
    <n v="3944"/>
    <x v="1098"/>
  </r>
  <r>
    <x v="38"/>
    <x v="310"/>
    <x v="1136"/>
    <x v="0"/>
    <x v="1"/>
    <x v="1"/>
    <x v="3"/>
    <x v="5"/>
    <n v="1063"/>
    <x v="83"/>
    <n v="969.45600000000002"/>
    <n v="19"/>
    <x v="11"/>
    <x v="0"/>
    <x v="0"/>
    <n v="407.17151999999999"/>
    <n v="562.28448000000003"/>
    <n v="0"/>
    <n v="0"/>
    <n v="0"/>
    <x v="1099"/>
  </r>
  <r>
    <x v="3"/>
    <x v="311"/>
    <x v="1137"/>
    <x v="1"/>
    <x v="3"/>
    <x v="0"/>
    <x v="6"/>
    <x v="6"/>
    <n v="3800"/>
    <x v="0"/>
    <n v="3800"/>
    <n v="40"/>
    <x v="32"/>
    <x v="1"/>
    <x v="5"/>
    <n v="1596"/>
    <n v="2204"/>
    <n v="150"/>
    <n v="380"/>
    <n v="3800"/>
    <x v="1100"/>
  </r>
  <r>
    <x v="5"/>
    <x v="311"/>
    <x v="1138"/>
    <x v="0"/>
    <x v="2"/>
    <x v="2"/>
    <x v="2"/>
    <x v="1"/>
    <n v="218"/>
    <x v="324"/>
    <n v="170.91200000000001"/>
    <n v="45"/>
    <x v="6"/>
    <x v="1"/>
    <x v="1"/>
    <n v="71.78304"/>
    <n v="99.128960000000006"/>
    <n v="150"/>
    <n v="17.091200000000001"/>
    <n v="170.91200000000001"/>
    <x v="1101"/>
  </r>
  <r>
    <x v="19"/>
    <x v="311"/>
    <x v="1139"/>
    <x v="2"/>
    <x v="5"/>
    <x v="2"/>
    <x v="6"/>
    <x v="4"/>
    <n v="2254"/>
    <x v="133"/>
    <n v="1406.4960000000001"/>
    <n v="24"/>
    <x v="29"/>
    <x v="1"/>
    <x v="4"/>
    <n v="590.72832000000005"/>
    <n v="815.76768000000004"/>
    <n v="150"/>
    <n v="140.64960000000002"/>
    <n v="1406.4960000000001"/>
    <x v="1102"/>
  </r>
  <r>
    <x v="17"/>
    <x v="311"/>
    <x v="1140"/>
    <x v="2"/>
    <x v="0"/>
    <x v="0"/>
    <x v="1"/>
    <x v="0"/>
    <n v="3173"/>
    <x v="0"/>
    <n v="3173"/>
    <n v="41"/>
    <x v="24"/>
    <x v="0"/>
    <x v="0"/>
    <n v="1332.6599999999999"/>
    <n v="1840.3400000000001"/>
    <n v="0"/>
    <n v="0"/>
    <n v="0"/>
    <x v="1103"/>
  </r>
  <r>
    <x v="31"/>
    <x v="312"/>
    <x v="1141"/>
    <x v="2"/>
    <x v="2"/>
    <x v="0"/>
    <x v="2"/>
    <x v="4"/>
    <n v="457"/>
    <x v="0"/>
    <n v="457"/>
    <n v="23"/>
    <x v="1"/>
    <x v="0"/>
    <x v="0"/>
    <n v="191.94"/>
    <n v="265.06"/>
    <n v="0"/>
    <n v="0"/>
    <n v="0"/>
    <x v="1104"/>
  </r>
  <r>
    <x v="7"/>
    <x v="312"/>
    <x v="1142"/>
    <x v="3"/>
    <x v="5"/>
    <x v="1"/>
    <x v="4"/>
    <x v="11"/>
    <n v="1868"/>
    <x v="71"/>
    <n v="1197.3879999999999"/>
    <n v="6"/>
    <x v="34"/>
    <x v="0"/>
    <x v="0"/>
    <n v="502.90295999999995"/>
    <n v="694.48504000000003"/>
    <n v="0"/>
    <n v="0"/>
    <n v="0"/>
    <x v="1105"/>
  </r>
  <r>
    <x v="38"/>
    <x v="312"/>
    <x v="1143"/>
    <x v="0"/>
    <x v="1"/>
    <x v="1"/>
    <x v="1"/>
    <x v="2"/>
    <n v="1758"/>
    <x v="0"/>
    <n v="1758"/>
    <n v="17"/>
    <x v="34"/>
    <x v="0"/>
    <x v="0"/>
    <n v="738.36"/>
    <n v="1019.64"/>
    <n v="0"/>
    <n v="0"/>
    <n v="0"/>
    <x v="1106"/>
  </r>
  <r>
    <x v="5"/>
    <x v="312"/>
    <x v="1144"/>
    <x v="0"/>
    <x v="2"/>
    <x v="3"/>
    <x v="2"/>
    <x v="11"/>
    <n v="475"/>
    <x v="79"/>
    <n v="316.82500000000005"/>
    <n v="47"/>
    <x v="1"/>
    <x v="0"/>
    <x v="0"/>
    <n v="133.06650000000002"/>
    <n v="183.75850000000003"/>
    <n v="0"/>
    <n v="0"/>
    <n v="0"/>
    <x v="1107"/>
  </r>
  <r>
    <x v="34"/>
    <x v="313"/>
    <x v="1145"/>
    <x v="6"/>
    <x v="0"/>
    <x v="1"/>
    <x v="6"/>
    <x v="11"/>
    <n v="3648"/>
    <x v="0"/>
    <n v="3648"/>
    <n v="27"/>
    <x v="23"/>
    <x v="0"/>
    <x v="0"/>
    <n v="1532.1599999999999"/>
    <n v="2115.84"/>
    <n v="0"/>
    <n v="0"/>
    <n v="0"/>
    <x v="1108"/>
  </r>
  <r>
    <x v="30"/>
    <x v="313"/>
    <x v="1146"/>
    <x v="7"/>
    <x v="4"/>
    <x v="2"/>
    <x v="6"/>
    <x v="7"/>
    <n v="2122"/>
    <x v="30"/>
    <n v="1701.8440000000001"/>
    <n v="2"/>
    <x v="34"/>
    <x v="0"/>
    <x v="0"/>
    <n v="714.77448000000004"/>
    <n v="987.06952000000001"/>
    <n v="0"/>
    <n v="0"/>
    <n v="0"/>
    <x v="1109"/>
  </r>
  <r>
    <x v="1"/>
    <x v="313"/>
    <x v="1147"/>
    <x v="1"/>
    <x v="1"/>
    <x v="2"/>
    <x v="0"/>
    <x v="6"/>
    <n v="1460"/>
    <x v="0"/>
    <n v="1460"/>
    <n v="29"/>
    <x v="13"/>
    <x v="1"/>
    <x v="3"/>
    <n v="613.19999999999993"/>
    <n v="846.80000000000007"/>
    <n v="150"/>
    <n v="146"/>
    <n v="1460"/>
    <x v="1110"/>
  </r>
  <r>
    <x v="30"/>
    <x v="314"/>
    <x v="1148"/>
    <x v="7"/>
    <x v="4"/>
    <x v="2"/>
    <x v="1"/>
    <x v="9"/>
    <n v="2215"/>
    <x v="325"/>
    <n v="2150.7649999999999"/>
    <n v="46"/>
    <x v="3"/>
    <x v="0"/>
    <x v="0"/>
    <n v="903.32129999999995"/>
    <n v="1247.4436999999998"/>
    <n v="0"/>
    <n v="0"/>
    <n v="0"/>
    <x v="1111"/>
  </r>
  <r>
    <x v="4"/>
    <x v="314"/>
    <x v="1149"/>
    <x v="2"/>
    <x v="1"/>
    <x v="2"/>
    <x v="0"/>
    <x v="7"/>
    <n v="1583"/>
    <x v="326"/>
    <n v="1533.9269999999999"/>
    <n v="6"/>
    <x v="24"/>
    <x v="0"/>
    <x v="0"/>
    <n v="644.24933999999996"/>
    <n v="889.67765999999995"/>
    <n v="0"/>
    <n v="0"/>
    <n v="0"/>
    <x v="1112"/>
  </r>
  <r>
    <x v="35"/>
    <x v="314"/>
    <x v="1150"/>
    <x v="4"/>
    <x v="1"/>
    <x v="3"/>
    <x v="3"/>
    <x v="7"/>
    <n v="1580"/>
    <x v="0"/>
    <n v="1580"/>
    <n v="50"/>
    <x v="27"/>
    <x v="0"/>
    <x v="0"/>
    <n v="663.6"/>
    <n v="916.4"/>
    <n v="0"/>
    <n v="0"/>
    <n v="0"/>
    <x v="1113"/>
  </r>
  <r>
    <x v="25"/>
    <x v="314"/>
    <x v="1151"/>
    <x v="6"/>
    <x v="1"/>
    <x v="0"/>
    <x v="5"/>
    <x v="6"/>
    <n v="1358"/>
    <x v="140"/>
    <n v="803.93600000000015"/>
    <n v="23"/>
    <x v="6"/>
    <x v="0"/>
    <x v="0"/>
    <n v="337.65312000000006"/>
    <n v="466.28288000000009"/>
    <n v="0"/>
    <n v="0"/>
    <n v="0"/>
    <x v="1114"/>
  </r>
  <r>
    <x v="14"/>
    <x v="315"/>
    <x v="1152"/>
    <x v="6"/>
    <x v="3"/>
    <x v="0"/>
    <x v="3"/>
    <x v="4"/>
    <n v="4021"/>
    <x v="0"/>
    <n v="4021"/>
    <n v="15"/>
    <x v="3"/>
    <x v="0"/>
    <x v="0"/>
    <n v="1688.82"/>
    <n v="2332.1800000000003"/>
    <n v="0"/>
    <n v="0"/>
    <n v="0"/>
    <x v="1115"/>
  </r>
  <r>
    <x v="43"/>
    <x v="315"/>
    <x v="1153"/>
    <x v="4"/>
    <x v="5"/>
    <x v="1"/>
    <x v="6"/>
    <x v="0"/>
    <n v="2601"/>
    <x v="0"/>
    <n v="2601"/>
    <n v="9"/>
    <x v="36"/>
    <x v="0"/>
    <x v="0"/>
    <n v="1092.42"/>
    <n v="1508.58"/>
    <n v="0"/>
    <n v="0"/>
    <n v="0"/>
    <x v="1116"/>
  </r>
  <r>
    <x v="8"/>
    <x v="315"/>
    <x v="1154"/>
    <x v="1"/>
    <x v="0"/>
    <x v="3"/>
    <x v="5"/>
    <x v="10"/>
    <n v="3174"/>
    <x v="0"/>
    <n v="3174"/>
    <n v="35"/>
    <x v="17"/>
    <x v="0"/>
    <x v="0"/>
    <n v="1333.08"/>
    <n v="1840.92"/>
    <n v="0"/>
    <n v="0"/>
    <n v="0"/>
    <x v="1117"/>
  </r>
  <r>
    <x v="6"/>
    <x v="315"/>
    <x v="1155"/>
    <x v="0"/>
    <x v="4"/>
    <x v="2"/>
    <x v="5"/>
    <x v="1"/>
    <n v="2898"/>
    <x v="327"/>
    <n v="2654.5680000000002"/>
    <n v="30"/>
    <x v="9"/>
    <x v="0"/>
    <x v="0"/>
    <n v="1114.9185600000001"/>
    <n v="1539.6494400000001"/>
    <n v="0"/>
    <n v="0"/>
    <n v="0"/>
    <x v="1118"/>
  </r>
  <r>
    <x v="20"/>
    <x v="316"/>
    <x v="1156"/>
    <x v="7"/>
    <x v="1"/>
    <x v="2"/>
    <x v="5"/>
    <x v="6"/>
    <n v="963"/>
    <x v="0"/>
    <n v="963"/>
    <n v="18"/>
    <x v="13"/>
    <x v="1"/>
    <x v="3"/>
    <n v="404.46"/>
    <n v="558.54"/>
    <n v="150"/>
    <n v="96.300000000000011"/>
    <n v="963"/>
    <x v="1119"/>
  </r>
  <r>
    <x v="31"/>
    <x v="316"/>
    <x v="1157"/>
    <x v="2"/>
    <x v="2"/>
    <x v="3"/>
    <x v="2"/>
    <x v="7"/>
    <n v="407"/>
    <x v="0"/>
    <n v="407"/>
    <n v="39"/>
    <x v="41"/>
    <x v="0"/>
    <x v="0"/>
    <n v="170.94"/>
    <n v="236.06"/>
    <n v="0"/>
    <n v="0"/>
    <n v="0"/>
    <x v="332"/>
  </r>
  <r>
    <x v="41"/>
    <x v="316"/>
    <x v="1158"/>
    <x v="6"/>
    <x v="2"/>
    <x v="3"/>
    <x v="2"/>
    <x v="10"/>
    <n v="257"/>
    <x v="328"/>
    <n v="222.30500000000001"/>
    <n v="40"/>
    <x v="37"/>
    <x v="0"/>
    <x v="0"/>
    <n v="93.368099999999998"/>
    <n v="128.93690000000001"/>
    <n v="0"/>
    <n v="0"/>
    <n v="0"/>
    <x v="1120"/>
  </r>
  <r>
    <x v="1"/>
    <x v="317"/>
    <x v="1159"/>
    <x v="1"/>
    <x v="1"/>
    <x v="0"/>
    <x v="3"/>
    <x v="10"/>
    <n v="1714"/>
    <x v="0"/>
    <n v="1714"/>
    <n v="38"/>
    <x v="2"/>
    <x v="0"/>
    <x v="0"/>
    <n v="719.88"/>
    <n v="994.12"/>
    <n v="0"/>
    <n v="0"/>
    <n v="0"/>
    <x v="1121"/>
  </r>
  <r>
    <x v="27"/>
    <x v="317"/>
    <x v="1160"/>
    <x v="7"/>
    <x v="2"/>
    <x v="1"/>
    <x v="2"/>
    <x v="5"/>
    <n v="478"/>
    <x v="0"/>
    <n v="478"/>
    <n v="12"/>
    <x v="20"/>
    <x v="1"/>
    <x v="5"/>
    <n v="200.76"/>
    <n v="277.24"/>
    <n v="150"/>
    <n v="47.800000000000004"/>
    <n v="478"/>
    <x v="1010"/>
  </r>
  <r>
    <x v="42"/>
    <x v="317"/>
    <x v="1161"/>
    <x v="0"/>
    <x v="5"/>
    <x v="3"/>
    <x v="0"/>
    <x v="8"/>
    <n v="1903"/>
    <x v="277"/>
    <n v="1160.83"/>
    <n v="40"/>
    <x v="23"/>
    <x v="0"/>
    <x v="0"/>
    <n v="487.54859999999996"/>
    <n v="673.28139999999996"/>
    <n v="0"/>
    <n v="0"/>
    <n v="0"/>
    <x v="1122"/>
  </r>
  <r>
    <x v="42"/>
    <x v="317"/>
    <x v="1162"/>
    <x v="0"/>
    <x v="5"/>
    <x v="0"/>
    <x v="5"/>
    <x v="10"/>
    <n v="2899"/>
    <x v="0"/>
    <n v="2899"/>
    <n v="14"/>
    <x v="24"/>
    <x v="0"/>
    <x v="0"/>
    <n v="1217.58"/>
    <n v="1681.42"/>
    <n v="0"/>
    <n v="0"/>
    <n v="0"/>
    <x v="286"/>
  </r>
  <r>
    <x v="5"/>
    <x v="318"/>
    <x v="1163"/>
    <x v="0"/>
    <x v="2"/>
    <x v="2"/>
    <x v="2"/>
    <x v="4"/>
    <n v="171"/>
    <x v="0"/>
    <n v="171"/>
    <n v="24"/>
    <x v="7"/>
    <x v="0"/>
    <x v="0"/>
    <n v="71.819999999999993"/>
    <n v="99.18"/>
    <n v="0"/>
    <n v="0"/>
    <n v="0"/>
    <x v="1123"/>
  </r>
  <r>
    <x v="30"/>
    <x v="318"/>
    <x v="1164"/>
    <x v="7"/>
    <x v="4"/>
    <x v="0"/>
    <x v="1"/>
    <x v="8"/>
    <n v="2991"/>
    <x v="0"/>
    <n v="2991"/>
    <n v="19"/>
    <x v="7"/>
    <x v="0"/>
    <x v="0"/>
    <n v="1256.22"/>
    <n v="1734.78"/>
    <n v="0"/>
    <n v="0"/>
    <n v="0"/>
    <x v="1124"/>
  </r>
  <r>
    <x v="32"/>
    <x v="318"/>
    <x v="1165"/>
    <x v="4"/>
    <x v="4"/>
    <x v="1"/>
    <x v="5"/>
    <x v="9"/>
    <n v="2225"/>
    <x v="179"/>
    <n v="1125.8499999999999"/>
    <n v="46"/>
    <x v="10"/>
    <x v="0"/>
    <x v="0"/>
    <n v="472.85699999999997"/>
    <n v="652.99299999999994"/>
    <n v="0"/>
    <n v="0"/>
    <n v="0"/>
    <x v="1125"/>
  </r>
  <r>
    <x v="18"/>
    <x v="318"/>
    <x v="1166"/>
    <x v="3"/>
    <x v="4"/>
    <x v="1"/>
    <x v="4"/>
    <x v="0"/>
    <n v="2757"/>
    <x v="0"/>
    <n v="2757"/>
    <n v="38"/>
    <x v="31"/>
    <x v="0"/>
    <x v="0"/>
    <n v="1157.94"/>
    <n v="1599.06"/>
    <n v="0"/>
    <n v="0"/>
    <n v="0"/>
    <x v="1126"/>
  </r>
  <r>
    <x v="20"/>
    <x v="319"/>
    <x v="1167"/>
    <x v="7"/>
    <x v="1"/>
    <x v="2"/>
    <x v="2"/>
    <x v="5"/>
    <n v="1751"/>
    <x v="145"/>
    <n v="1125.893"/>
    <n v="11"/>
    <x v="32"/>
    <x v="1"/>
    <x v="3"/>
    <n v="472.87506000000002"/>
    <n v="653.01793999999995"/>
    <n v="150"/>
    <n v="112.58930000000001"/>
    <n v="1125.893"/>
    <x v="1127"/>
  </r>
  <r>
    <x v="8"/>
    <x v="319"/>
    <x v="1168"/>
    <x v="1"/>
    <x v="0"/>
    <x v="1"/>
    <x v="4"/>
    <x v="4"/>
    <n v="3142"/>
    <x v="193"/>
    <n v="2086.2879999999996"/>
    <n v="42"/>
    <x v="4"/>
    <x v="1"/>
    <x v="3"/>
    <n v="876.24095999999975"/>
    <n v="1210.0470399999999"/>
    <n v="150"/>
    <n v="208.62879999999996"/>
    <n v="2086.2879999999996"/>
    <x v="1128"/>
  </r>
  <r>
    <x v="6"/>
    <x v="319"/>
    <x v="1169"/>
    <x v="0"/>
    <x v="4"/>
    <x v="0"/>
    <x v="2"/>
    <x v="8"/>
    <n v="2885"/>
    <x v="329"/>
    <n v="1676.1849999999999"/>
    <n v="16"/>
    <x v="24"/>
    <x v="0"/>
    <x v="0"/>
    <n v="703.9976999999999"/>
    <n v="972.18730000000005"/>
    <n v="0"/>
    <n v="0"/>
    <n v="0"/>
    <x v="1129"/>
  </r>
  <r>
    <x v="36"/>
    <x v="319"/>
    <x v="1170"/>
    <x v="5"/>
    <x v="3"/>
    <x v="3"/>
    <x v="0"/>
    <x v="0"/>
    <n v="4058"/>
    <x v="236"/>
    <n v="1886.9699999999998"/>
    <n v="1"/>
    <x v="11"/>
    <x v="0"/>
    <x v="0"/>
    <n v="792.52739999999994"/>
    <n v="1094.4425999999999"/>
    <n v="0"/>
    <n v="0"/>
    <n v="0"/>
    <x v="1130"/>
  </r>
  <r>
    <x v="40"/>
    <x v="320"/>
    <x v="1171"/>
    <x v="5"/>
    <x v="0"/>
    <x v="0"/>
    <x v="5"/>
    <x v="9"/>
    <n v="4117"/>
    <x v="219"/>
    <n v="2317.8709999999996"/>
    <n v="41"/>
    <x v="35"/>
    <x v="1"/>
    <x v="3"/>
    <n v="973.50581999999986"/>
    <n v="1344.3651799999998"/>
    <n v="150"/>
    <n v="231.78709999999998"/>
    <n v="2317.8709999999996"/>
    <x v="1131"/>
  </r>
  <r>
    <x v="46"/>
    <x v="320"/>
    <x v="1172"/>
    <x v="2"/>
    <x v="3"/>
    <x v="1"/>
    <x v="6"/>
    <x v="8"/>
    <n v="3335"/>
    <x v="0"/>
    <n v="3335"/>
    <n v="15"/>
    <x v="23"/>
    <x v="0"/>
    <x v="0"/>
    <n v="1400.7"/>
    <n v="1934.3"/>
    <n v="0"/>
    <n v="0"/>
    <n v="0"/>
    <x v="1132"/>
  </r>
  <r>
    <x v="15"/>
    <x v="320"/>
    <x v="1173"/>
    <x v="5"/>
    <x v="1"/>
    <x v="0"/>
    <x v="0"/>
    <x v="9"/>
    <n v="1481"/>
    <x v="223"/>
    <n v="1248.4829999999999"/>
    <n v="4"/>
    <x v="3"/>
    <x v="0"/>
    <x v="0"/>
    <n v="524.36285999999996"/>
    <n v="724.12013999999999"/>
    <n v="0"/>
    <n v="0"/>
    <n v="0"/>
    <x v="1133"/>
  </r>
  <r>
    <x v="43"/>
    <x v="320"/>
    <x v="1174"/>
    <x v="4"/>
    <x v="5"/>
    <x v="3"/>
    <x v="1"/>
    <x v="5"/>
    <n v="2018"/>
    <x v="0"/>
    <n v="2018"/>
    <n v="20"/>
    <x v="11"/>
    <x v="0"/>
    <x v="0"/>
    <n v="847.56"/>
    <n v="1170.44"/>
    <n v="0"/>
    <n v="0"/>
    <n v="0"/>
    <x v="1134"/>
  </r>
  <r>
    <x v="45"/>
    <x v="321"/>
    <x v="1175"/>
    <x v="7"/>
    <x v="3"/>
    <x v="2"/>
    <x v="3"/>
    <x v="7"/>
    <n v="3482"/>
    <x v="0"/>
    <n v="3482"/>
    <n v="28"/>
    <x v="3"/>
    <x v="0"/>
    <x v="0"/>
    <n v="1462.44"/>
    <n v="2019.56"/>
    <n v="0"/>
    <n v="0"/>
    <n v="0"/>
    <x v="1135"/>
  </r>
  <r>
    <x v="42"/>
    <x v="321"/>
    <x v="1176"/>
    <x v="0"/>
    <x v="5"/>
    <x v="1"/>
    <x v="0"/>
    <x v="6"/>
    <n v="2174"/>
    <x v="0"/>
    <n v="2174"/>
    <n v="43"/>
    <x v="9"/>
    <x v="0"/>
    <x v="0"/>
    <n v="913.07999999999993"/>
    <n v="1260.92"/>
    <n v="0"/>
    <n v="0"/>
    <n v="0"/>
    <x v="1136"/>
  </r>
  <r>
    <x v="19"/>
    <x v="321"/>
    <x v="1177"/>
    <x v="2"/>
    <x v="5"/>
    <x v="1"/>
    <x v="0"/>
    <x v="7"/>
    <n v="2192"/>
    <x v="0"/>
    <n v="2192"/>
    <n v="36"/>
    <x v="31"/>
    <x v="0"/>
    <x v="0"/>
    <n v="920.64"/>
    <n v="1271.3600000000001"/>
    <n v="0"/>
    <n v="0"/>
    <n v="0"/>
    <x v="1137"/>
  </r>
  <r>
    <x v="42"/>
    <x v="322"/>
    <x v="1178"/>
    <x v="0"/>
    <x v="5"/>
    <x v="1"/>
    <x v="3"/>
    <x v="10"/>
    <n v="2410"/>
    <x v="0"/>
    <n v="2410"/>
    <n v="0"/>
    <x v="10"/>
    <x v="1"/>
    <x v="3"/>
    <n v="1012.1999999999999"/>
    <n v="1397.8000000000002"/>
    <n v="150"/>
    <n v="241"/>
    <n v="2410"/>
    <x v="1138"/>
  </r>
  <r>
    <x v="37"/>
    <x v="322"/>
    <x v="1179"/>
    <x v="4"/>
    <x v="3"/>
    <x v="2"/>
    <x v="0"/>
    <x v="11"/>
    <n v="4050"/>
    <x v="0"/>
    <n v="4050"/>
    <n v="22"/>
    <x v="3"/>
    <x v="0"/>
    <x v="0"/>
    <n v="1701"/>
    <n v="2349"/>
    <n v="0"/>
    <n v="0"/>
    <n v="0"/>
    <x v="1139"/>
  </r>
  <r>
    <x v="34"/>
    <x v="322"/>
    <x v="1180"/>
    <x v="6"/>
    <x v="0"/>
    <x v="3"/>
    <x v="5"/>
    <x v="9"/>
    <n v="3698"/>
    <x v="0"/>
    <n v="3698"/>
    <n v="22"/>
    <x v="4"/>
    <x v="1"/>
    <x v="7"/>
    <n v="1553.1599999999999"/>
    <n v="2144.84"/>
    <n v="150"/>
    <n v="369.8"/>
    <n v="3698"/>
    <x v="1140"/>
  </r>
  <r>
    <x v="27"/>
    <x v="322"/>
    <x v="1181"/>
    <x v="7"/>
    <x v="2"/>
    <x v="2"/>
    <x v="2"/>
    <x v="9"/>
    <n v="238"/>
    <x v="0"/>
    <n v="238"/>
    <n v="36"/>
    <x v="7"/>
    <x v="0"/>
    <x v="0"/>
    <n v="99.96"/>
    <n v="138.04000000000002"/>
    <n v="0"/>
    <n v="0"/>
    <n v="0"/>
    <x v="1141"/>
  </r>
  <r>
    <x v="33"/>
    <x v="323"/>
    <x v="1182"/>
    <x v="7"/>
    <x v="0"/>
    <x v="2"/>
    <x v="5"/>
    <x v="3"/>
    <n v="4485"/>
    <x v="0"/>
    <n v="4485"/>
    <n v="31"/>
    <x v="33"/>
    <x v="0"/>
    <x v="0"/>
    <n v="1883.6999999999998"/>
    <n v="2601.3000000000002"/>
    <n v="0"/>
    <n v="0"/>
    <n v="0"/>
    <x v="1142"/>
  </r>
  <r>
    <x v="10"/>
    <x v="323"/>
    <x v="1183"/>
    <x v="3"/>
    <x v="1"/>
    <x v="2"/>
    <x v="5"/>
    <x v="7"/>
    <n v="1259"/>
    <x v="207"/>
    <n v="1083.999"/>
    <n v="37"/>
    <x v="3"/>
    <x v="0"/>
    <x v="0"/>
    <n v="455.27958000000001"/>
    <n v="628.71942000000001"/>
    <n v="0"/>
    <n v="0"/>
    <n v="0"/>
    <x v="1143"/>
  </r>
  <r>
    <x v="18"/>
    <x v="323"/>
    <x v="1184"/>
    <x v="3"/>
    <x v="4"/>
    <x v="2"/>
    <x v="2"/>
    <x v="7"/>
    <n v="2562"/>
    <x v="0"/>
    <n v="2562"/>
    <n v="39"/>
    <x v="29"/>
    <x v="0"/>
    <x v="0"/>
    <n v="1076.04"/>
    <n v="1485.96"/>
    <n v="0"/>
    <n v="0"/>
    <n v="0"/>
    <x v="1144"/>
  </r>
  <r>
    <x v="2"/>
    <x v="323"/>
    <x v="1185"/>
    <x v="1"/>
    <x v="2"/>
    <x v="0"/>
    <x v="2"/>
    <x v="8"/>
    <n v="264"/>
    <x v="330"/>
    <n v="194.83199999999999"/>
    <n v="23"/>
    <x v="7"/>
    <x v="0"/>
    <x v="0"/>
    <n v="81.829439999999991"/>
    <n v="113.00256"/>
    <n v="0"/>
    <n v="0"/>
    <n v="0"/>
    <x v="1145"/>
  </r>
  <r>
    <x v="40"/>
    <x v="324"/>
    <x v="1186"/>
    <x v="5"/>
    <x v="0"/>
    <x v="0"/>
    <x v="1"/>
    <x v="7"/>
    <n v="3905"/>
    <x v="0"/>
    <n v="3905"/>
    <n v="40"/>
    <x v="17"/>
    <x v="1"/>
    <x v="4"/>
    <n v="1640.1"/>
    <n v="2264.9"/>
    <n v="150"/>
    <n v="390.5"/>
    <n v="3905"/>
    <x v="1146"/>
  </r>
  <r>
    <x v="31"/>
    <x v="324"/>
    <x v="1187"/>
    <x v="2"/>
    <x v="2"/>
    <x v="2"/>
    <x v="2"/>
    <x v="0"/>
    <n v="453"/>
    <x v="257"/>
    <n v="376.89599999999996"/>
    <n v="47"/>
    <x v="13"/>
    <x v="1"/>
    <x v="3"/>
    <n v="158.29631999999998"/>
    <n v="218.59967999999998"/>
    <n v="150"/>
    <n v="37.689599999999999"/>
    <n v="376.89599999999996"/>
    <x v="1147"/>
  </r>
  <r>
    <x v="46"/>
    <x v="324"/>
    <x v="1188"/>
    <x v="2"/>
    <x v="3"/>
    <x v="1"/>
    <x v="2"/>
    <x v="4"/>
    <n v="3539"/>
    <x v="76"/>
    <n v="2027.8469999999998"/>
    <n v="1"/>
    <x v="32"/>
    <x v="0"/>
    <x v="0"/>
    <n v="851.69573999999989"/>
    <n v="1176.1512599999999"/>
    <n v="0"/>
    <n v="0"/>
    <n v="0"/>
    <x v="1148"/>
  </r>
  <r>
    <x v="35"/>
    <x v="324"/>
    <x v="1189"/>
    <x v="4"/>
    <x v="1"/>
    <x v="0"/>
    <x v="3"/>
    <x v="2"/>
    <n v="1003"/>
    <x v="331"/>
    <n v="793.37300000000005"/>
    <n v="33"/>
    <x v="33"/>
    <x v="0"/>
    <x v="0"/>
    <n v="333.21665999999999"/>
    <n v="460.15634000000006"/>
    <n v="0"/>
    <n v="0"/>
    <n v="0"/>
    <x v="1149"/>
  </r>
  <r>
    <x v="8"/>
    <x v="325"/>
    <x v="1190"/>
    <x v="1"/>
    <x v="0"/>
    <x v="2"/>
    <x v="4"/>
    <x v="4"/>
    <n v="3707"/>
    <x v="106"/>
    <n v="2806.1990000000001"/>
    <n v="26"/>
    <x v="3"/>
    <x v="1"/>
    <x v="3"/>
    <n v="1178.60358"/>
    <n v="1627.5954200000001"/>
    <n v="150"/>
    <n v="280.61990000000003"/>
    <n v="2806.1990000000001"/>
    <x v="1150"/>
  </r>
  <r>
    <x v="37"/>
    <x v="325"/>
    <x v="1191"/>
    <x v="4"/>
    <x v="3"/>
    <x v="0"/>
    <x v="5"/>
    <x v="6"/>
    <n v="3233"/>
    <x v="206"/>
    <n v="1338.4620000000002"/>
    <n v="44"/>
    <x v="13"/>
    <x v="1"/>
    <x v="3"/>
    <n v="562.15404000000012"/>
    <n v="776.30796000000009"/>
    <n v="150"/>
    <n v="133.84620000000004"/>
    <n v="1338.4620000000002"/>
    <x v="1151"/>
  </r>
  <r>
    <x v="16"/>
    <x v="325"/>
    <x v="1192"/>
    <x v="3"/>
    <x v="0"/>
    <x v="1"/>
    <x v="4"/>
    <x v="11"/>
    <n v="3165"/>
    <x v="332"/>
    <n v="1500.21"/>
    <n v="43"/>
    <x v="23"/>
    <x v="0"/>
    <x v="0"/>
    <n v="630.08820000000003"/>
    <n v="870.12180000000001"/>
    <n v="0"/>
    <n v="0"/>
    <n v="0"/>
    <x v="1152"/>
  </r>
  <r>
    <x v="37"/>
    <x v="325"/>
    <x v="1193"/>
    <x v="4"/>
    <x v="3"/>
    <x v="0"/>
    <x v="1"/>
    <x v="8"/>
    <n v="4418"/>
    <x v="333"/>
    <n v="4051.306"/>
    <n v="48"/>
    <x v="4"/>
    <x v="0"/>
    <x v="0"/>
    <n v="1701.5485200000001"/>
    <n v="2349.7574800000002"/>
    <n v="0"/>
    <n v="0"/>
    <n v="0"/>
    <x v="1153"/>
  </r>
  <r>
    <x v="0"/>
    <x v="326"/>
    <x v="1194"/>
    <x v="0"/>
    <x v="0"/>
    <x v="1"/>
    <x v="0"/>
    <x v="4"/>
    <n v="4469"/>
    <x v="0"/>
    <n v="4469"/>
    <n v="15"/>
    <x v="40"/>
    <x v="0"/>
    <x v="0"/>
    <n v="1876.98"/>
    <n v="2592.02"/>
    <n v="0"/>
    <n v="0"/>
    <n v="0"/>
    <x v="1154"/>
  </r>
  <r>
    <x v="42"/>
    <x v="326"/>
    <x v="1195"/>
    <x v="0"/>
    <x v="5"/>
    <x v="0"/>
    <x v="1"/>
    <x v="3"/>
    <n v="2567"/>
    <x v="0"/>
    <n v="2567"/>
    <n v="3"/>
    <x v="3"/>
    <x v="0"/>
    <x v="0"/>
    <n v="1078.1399999999999"/>
    <n v="1488.8600000000001"/>
    <n v="0"/>
    <n v="0"/>
    <n v="0"/>
    <x v="1155"/>
  </r>
  <r>
    <x v="5"/>
    <x v="326"/>
    <x v="1196"/>
    <x v="0"/>
    <x v="2"/>
    <x v="1"/>
    <x v="2"/>
    <x v="6"/>
    <n v="315"/>
    <x v="0"/>
    <n v="315"/>
    <n v="3"/>
    <x v="31"/>
    <x v="0"/>
    <x v="0"/>
    <n v="132.29999999999998"/>
    <n v="182.70000000000002"/>
    <n v="0"/>
    <n v="0"/>
    <n v="0"/>
    <x v="1156"/>
  </r>
  <r>
    <x v="44"/>
    <x v="327"/>
    <x v="1197"/>
    <x v="6"/>
    <x v="5"/>
    <x v="3"/>
    <x v="3"/>
    <x v="11"/>
    <n v="1988"/>
    <x v="51"/>
    <n v="1075.508"/>
    <n v="44"/>
    <x v="17"/>
    <x v="1"/>
    <x v="6"/>
    <n v="451.71336000000002"/>
    <n v="623.79464000000007"/>
    <n v="150"/>
    <n v="107.55080000000001"/>
    <n v="1075.508"/>
    <x v="1157"/>
  </r>
  <r>
    <x v="15"/>
    <x v="327"/>
    <x v="1198"/>
    <x v="5"/>
    <x v="1"/>
    <x v="2"/>
    <x v="6"/>
    <x v="0"/>
    <n v="1707"/>
    <x v="0"/>
    <n v="1707"/>
    <n v="47"/>
    <x v="30"/>
    <x v="0"/>
    <x v="0"/>
    <n v="716.93999999999994"/>
    <n v="990.06000000000006"/>
    <n v="0"/>
    <n v="0"/>
    <n v="0"/>
    <x v="1158"/>
  </r>
  <r>
    <x v="20"/>
    <x v="327"/>
    <x v="1199"/>
    <x v="7"/>
    <x v="1"/>
    <x v="1"/>
    <x v="4"/>
    <x v="11"/>
    <n v="1050"/>
    <x v="0"/>
    <n v="1050"/>
    <n v="7"/>
    <x v="1"/>
    <x v="0"/>
    <x v="0"/>
    <n v="441"/>
    <n v="609"/>
    <n v="0"/>
    <n v="0"/>
    <n v="0"/>
    <x v="914"/>
  </r>
  <r>
    <x v="28"/>
    <x v="327"/>
    <x v="1200"/>
    <x v="3"/>
    <x v="3"/>
    <x v="3"/>
    <x v="6"/>
    <x v="0"/>
    <n v="3512"/>
    <x v="226"/>
    <n v="3174.848"/>
    <n v="28"/>
    <x v="21"/>
    <x v="0"/>
    <x v="0"/>
    <n v="1333.43616"/>
    <n v="1841.41184"/>
    <n v="0"/>
    <n v="0"/>
    <n v="0"/>
    <x v="1159"/>
  </r>
  <r>
    <x v="2"/>
    <x v="328"/>
    <x v="1201"/>
    <x v="1"/>
    <x v="2"/>
    <x v="0"/>
    <x v="2"/>
    <x v="6"/>
    <n v="431"/>
    <x v="105"/>
    <n v="370.22899999999998"/>
    <n v="29"/>
    <x v="3"/>
    <x v="1"/>
    <x v="4"/>
    <n v="155.49617999999998"/>
    <n v="214.73282"/>
    <n v="150"/>
    <n v="37.0229"/>
    <n v="370.22899999999998"/>
    <x v="1160"/>
  </r>
  <r>
    <x v="17"/>
    <x v="328"/>
    <x v="1202"/>
    <x v="2"/>
    <x v="0"/>
    <x v="2"/>
    <x v="0"/>
    <x v="11"/>
    <n v="3360"/>
    <x v="0"/>
    <n v="3360"/>
    <n v="8"/>
    <x v="24"/>
    <x v="0"/>
    <x v="0"/>
    <n v="1411.2"/>
    <n v="1948.8"/>
    <n v="0"/>
    <n v="0"/>
    <n v="0"/>
    <x v="1161"/>
  </r>
  <r>
    <x v="9"/>
    <x v="328"/>
    <x v="1203"/>
    <x v="4"/>
    <x v="0"/>
    <x v="3"/>
    <x v="5"/>
    <x v="11"/>
    <n v="3062"/>
    <x v="334"/>
    <n v="1322.7840000000001"/>
    <n v="23"/>
    <x v="4"/>
    <x v="0"/>
    <x v="0"/>
    <n v="555.56928000000005"/>
    <n v="767.21472000000006"/>
    <n v="0"/>
    <n v="0"/>
    <n v="0"/>
    <x v="1162"/>
  </r>
  <r>
    <x v="36"/>
    <x v="328"/>
    <x v="1204"/>
    <x v="5"/>
    <x v="3"/>
    <x v="0"/>
    <x v="5"/>
    <x v="10"/>
    <n v="3592"/>
    <x v="0"/>
    <n v="3592"/>
    <n v="32"/>
    <x v="25"/>
    <x v="1"/>
    <x v="2"/>
    <n v="1508.6399999999999"/>
    <n v="2083.36"/>
    <n v="150"/>
    <n v="359.20000000000005"/>
    <n v="3592"/>
    <x v="1163"/>
  </r>
  <r>
    <x v="25"/>
    <x v="329"/>
    <x v="1205"/>
    <x v="6"/>
    <x v="1"/>
    <x v="2"/>
    <x v="5"/>
    <x v="4"/>
    <n v="1638"/>
    <x v="0"/>
    <n v="1638"/>
    <n v="50"/>
    <x v="19"/>
    <x v="0"/>
    <x v="0"/>
    <n v="687.95999999999992"/>
    <n v="950.04000000000008"/>
    <n v="0"/>
    <n v="0"/>
    <n v="0"/>
    <x v="1164"/>
  </r>
  <r>
    <x v="47"/>
    <x v="329"/>
    <x v="1206"/>
    <x v="4"/>
    <x v="2"/>
    <x v="1"/>
    <x v="2"/>
    <x v="9"/>
    <n v="235"/>
    <x v="335"/>
    <n v="177.19"/>
    <n v="33"/>
    <x v="10"/>
    <x v="1"/>
    <x v="5"/>
    <n v="74.419799999999995"/>
    <n v="102.7702"/>
    <n v="150"/>
    <n v="17.719000000000001"/>
    <n v="177.19"/>
    <x v="1165"/>
  </r>
  <r>
    <x v="13"/>
    <x v="329"/>
    <x v="1207"/>
    <x v="3"/>
    <x v="2"/>
    <x v="3"/>
    <x v="2"/>
    <x v="9"/>
    <n v="272"/>
    <x v="109"/>
    <n v="157.21599999999998"/>
    <n v="26"/>
    <x v="33"/>
    <x v="0"/>
    <x v="0"/>
    <n v="66.030719999999988"/>
    <n v="91.185279999999992"/>
    <n v="0"/>
    <n v="0"/>
    <n v="0"/>
    <x v="1166"/>
  </r>
  <r>
    <x v="5"/>
    <x v="329"/>
    <x v="1208"/>
    <x v="0"/>
    <x v="2"/>
    <x v="0"/>
    <x v="2"/>
    <x v="5"/>
    <n v="354"/>
    <x v="0"/>
    <n v="354"/>
    <n v="7"/>
    <x v="11"/>
    <x v="0"/>
    <x v="0"/>
    <n v="148.68"/>
    <n v="205.32"/>
    <n v="0"/>
    <n v="0"/>
    <n v="0"/>
    <x v="599"/>
  </r>
  <r>
    <x v="9"/>
    <x v="329"/>
    <x v="1209"/>
    <x v="4"/>
    <x v="0"/>
    <x v="0"/>
    <x v="6"/>
    <x v="10"/>
    <n v="3561"/>
    <x v="0"/>
    <n v="3561"/>
    <n v="20"/>
    <x v="8"/>
    <x v="0"/>
    <x v="0"/>
    <n v="1495.62"/>
    <n v="2065.38"/>
    <n v="0"/>
    <n v="0"/>
    <n v="0"/>
    <x v="1167"/>
  </r>
  <r>
    <x v="45"/>
    <x v="330"/>
    <x v="1210"/>
    <x v="7"/>
    <x v="3"/>
    <x v="3"/>
    <x v="1"/>
    <x v="11"/>
    <n v="3917"/>
    <x v="0"/>
    <n v="3917"/>
    <n v="44"/>
    <x v="33"/>
    <x v="1"/>
    <x v="4"/>
    <n v="1645.1399999999999"/>
    <n v="2271.86"/>
    <n v="150"/>
    <n v="391.70000000000005"/>
    <n v="3917"/>
    <x v="1168"/>
  </r>
  <r>
    <x v="36"/>
    <x v="330"/>
    <x v="1211"/>
    <x v="5"/>
    <x v="3"/>
    <x v="3"/>
    <x v="4"/>
    <x v="8"/>
    <n v="3343"/>
    <x v="0"/>
    <n v="3343"/>
    <n v="0"/>
    <x v="19"/>
    <x v="0"/>
    <x v="0"/>
    <n v="1404.06"/>
    <n v="1938.94"/>
    <n v="0"/>
    <n v="0"/>
    <n v="0"/>
    <x v="1169"/>
  </r>
  <r>
    <x v="32"/>
    <x v="330"/>
    <x v="1212"/>
    <x v="4"/>
    <x v="4"/>
    <x v="2"/>
    <x v="2"/>
    <x v="11"/>
    <n v="2617"/>
    <x v="0"/>
    <n v="2617"/>
    <n v="12"/>
    <x v="3"/>
    <x v="0"/>
    <x v="0"/>
    <n v="1099.1399999999999"/>
    <n v="1517.8600000000001"/>
    <n v="0"/>
    <n v="0"/>
    <n v="0"/>
    <x v="1170"/>
  </r>
  <r>
    <x v="30"/>
    <x v="331"/>
    <x v="1213"/>
    <x v="7"/>
    <x v="4"/>
    <x v="1"/>
    <x v="5"/>
    <x v="0"/>
    <n v="2352"/>
    <x v="103"/>
    <n v="1811.04"/>
    <n v="24"/>
    <x v="15"/>
    <x v="0"/>
    <x v="0"/>
    <n v="760.63679999999999"/>
    <n v="1050.4032"/>
    <n v="0"/>
    <n v="0"/>
    <n v="0"/>
    <x v="1171"/>
  </r>
  <r>
    <x v="4"/>
    <x v="331"/>
    <x v="1214"/>
    <x v="2"/>
    <x v="1"/>
    <x v="1"/>
    <x v="3"/>
    <x v="10"/>
    <n v="1022"/>
    <x v="0"/>
    <n v="1022"/>
    <n v="6"/>
    <x v="25"/>
    <x v="0"/>
    <x v="0"/>
    <n v="429.24"/>
    <n v="592.76"/>
    <n v="0"/>
    <n v="0"/>
    <n v="0"/>
    <x v="1172"/>
  </r>
  <r>
    <x v="45"/>
    <x v="331"/>
    <x v="1215"/>
    <x v="7"/>
    <x v="3"/>
    <x v="1"/>
    <x v="2"/>
    <x v="9"/>
    <n v="3902"/>
    <x v="297"/>
    <n v="2048.5500000000002"/>
    <n v="8"/>
    <x v="15"/>
    <x v="0"/>
    <x v="0"/>
    <n v="860.39100000000008"/>
    <n v="1188.1590000000001"/>
    <n v="0"/>
    <n v="0"/>
    <n v="0"/>
    <x v="1173"/>
  </r>
  <r>
    <x v="5"/>
    <x v="331"/>
    <x v="1216"/>
    <x v="0"/>
    <x v="2"/>
    <x v="0"/>
    <x v="2"/>
    <x v="5"/>
    <n v="400"/>
    <x v="0"/>
    <n v="400"/>
    <n v="3"/>
    <x v="12"/>
    <x v="0"/>
    <x v="0"/>
    <n v="168"/>
    <n v="232"/>
    <n v="0"/>
    <n v="0"/>
    <n v="0"/>
    <x v="647"/>
  </r>
  <r>
    <x v="37"/>
    <x v="332"/>
    <x v="1217"/>
    <x v="4"/>
    <x v="3"/>
    <x v="3"/>
    <x v="0"/>
    <x v="2"/>
    <n v="3403"/>
    <x v="108"/>
    <n v="3219.2379999999998"/>
    <n v="34"/>
    <x v="1"/>
    <x v="1"/>
    <x v="4"/>
    <n v="1352.0799599999998"/>
    <n v="1867.15804"/>
    <n v="150"/>
    <n v="321.92380000000003"/>
    <n v="3219.2379999999998"/>
    <x v="1174"/>
  </r>
  <r>
    <x v="15"/>
    <x v="332"/>
    <x v="1218"/>
    <x v="5"/>
    <x v="1"/>
    <x v="2"/>
    <x v="2"/>
    <x v="0"/>
    <n v="1511"/>
    <x v="0"/>
    <n v="1511"/>
    <n v="33"/>
    <x v="3"/>
    <x v="1"/>
    <x v="4"/>
    <n v="634.62"/>
    <n v="876.38"/>
    <n v="150"/>
    <n v="151.1"/>
    <n v="1511"/>
    <x v="1175"/>
  </r>
  <r>
    <x v="47"/>
    <x v="332"/>
    <x v="1219"/>
    <x v="4"/>
    <x v="2"/>
    <x v="3"/>
    <x v="2"/>
    <x v="4"/>
    <n v="427"/>
    <x v="138"/>
    <n v="307.86700000000002"/>
    <n v="5"/>
    <x v="15"/>
    <x v="0"/>
    <x v="0"/>
    <n v="129.30413999999999"/>
    <n v="178.56286000000003"/>
    <n v="0"/>
    <n v="0"/>
    <n v="0"/>
    <x v="1176"/>
  </r>
  <r>
    <x v="38"/>
    <x v="332"/>
    <x v="1220"/>
    <x v="0"/>
    <x v="1"/>
    <x v="1"/>
    <x v="2"/>
    <x v="2"/>
    <n v="976"/>
    <x v="289"/>
    <n v="694.91199999999992"/>
    <n v="37"/>
    <x v="31"/>
    <x v="0"/>
    <x v="0"/>
    <n v="291.86303999999996"/>
    <n v="403.04895999999997"/>
    <n v="0"/>
    <n v="0"/>
    <n v="0"/>
    <x v="1177"/>
  </r>
  <r>
    <x v="28"/>
    <x v="333"/>
    <x v="1221"/>
    <x v="3"/>
    <x v="3"/>
    <x v="2"/>
    <x v="6"/>
    <x v="2"/>
    <n v="3859"/>
    <x v="0"/>
    <n v="3859"/>
    <n v="13"/>
    <x v="14"/>
    <x v="0"/>
    <x v="0"/>
    <n v="1620.78"/>
    <n v="2238.2200000000003"/>
    <n v="0"/>
    <n v="0"/>
    <n v="0"/>
    <x v="1178"/>
  </r>
  <r>
    <x v="6"/>
    <x v="333"/>
    <x v="1222"/>
    <x v="0"/>
    <x v="4"/>
    <x v="2"/>
    <x v="4"/>
    <x v="0"/>
    <n v="2723"/>
    <x v="0"/>
    <n v="2723"/>
    <n v="13"/>
    <x v="12"/>
    <x v="0"/>
    <x v="0"/>
    <n v="1143.6599999999999"/>
    <n v="1579.3400000000001"/>
    <n v="0"/>
    <n v="0"/>
    <n v="0"/>
    <x v="321"/>
  </r>
  <r>
    <x v="27"/>
    <x v="333"/>
    <x v="1223"/>
    <x v="7"/>
    <x v="2"/>
    <x v="1"/>
    <x v="2"/>
    <x v="8"/>
    <n v="418"/>
    <x v="0"/>
    <n v="418"/>
    <n v="28"/>
    <x v="30"/>
    <x v="0"/>
    <x v="0"/>
    <n v="175.56"/>
    <n v="242.44"/>
    <n v="0"/>
    <n v="0"/>
    <n v="0"/>
    <x v="1179"/>
  </r>
  <r>
    <x v="36"/>
    <x v="333"/>
    <x v="1224"/>
    <x v="5"/>
    <x v="3"/>
    <x v="1"/>
    <x v="6"/>
    <x v="7"/>
    <n v="3817"/>
    <x v="102"/>
    <n v="3427.6660000000002"/>
    <n v="47"/>
    <x v="3"/>
    <x v="0"/>
    <x v="0"/>
    <n v="1439.6197199999999"/>
    <n v="1988.0462800000003"/>
    <n v="0"/>
    <n v="0"/>
    <n v="0"/>
    <x v="1180"/>
  </r>
  <r>
    <x v="46"/>
    <x v="334"/>
    <x v="1225"/>
    <x v="2"/>
    <x v="3"/>
    <x v="3"/>
    <x v="0"/>
    <x v="3"/>
    <n v="3887"/>
    <x v="0"/>
    <n v="3887"/>
    <n v="45"/>
    <x v="3"/>
    <x v="0"/>
    <x v="0"/>
    <n v="1632.54"/>
    <n v="2254.46"/>
    <n v="0"/>
    <n v="0"/>
    <n v="0"/>
    <x v="1181"/>
  </r>
  <r>
    <x v="2"/>
    <x v="334"/>
    <x v="1226"/>
    <x v="1"/>
    <x v="2"/>
    <x v="3"/>
    <x v="2"/>
    <x v="2"/>
    <n v="336"/>
    <x v="333"/>
    <n v="308.11200000000002"/>
    <n v="0"/>
    <x v="10"/>
    <x v="1"/>
    <x v="5"/>
    <n v="129.40703999999999"/>
    <n v="178.70496000000003"/>
    <n v="150"/>
    <n v="30.811200000000003"/>
    <n v="308.11200000000002"/>
    <x v="1182"/>
  </r>
  <r>
    <x v="22"/>
    <x v="334"/>
    <x v="1227"/>
    <x v="2"/>
    <x v="4"/>
    <x v="2"/>
    <x v="5"/>
    <x v="11"/>
    <n v="2022"/>
    <x v="0"/>
    <n v="2022"/>
    <n v="34"/>
    <x v="4"/>
    <x v="1"/>
    <x v="3"/>
    <n v="849.24"/>
    <n v="1172.76"/>
    <n v="150"/>
    <n v="202.20000000000002"/>
    <n v="2022"/>
    <x v="1183"/>
  </r>
  <r>
    <x v="9"/>
    <x v="334"/>
    <x v="1228"/>
    <x v="4"/>
    <x v="0"/>
    <x v="0"/>
    <x v="6"/>
    <x v="0"/>
    <n v="4002"/>
    <x v="173"/>
    <n v="2301.1499999999996"/>
    <n v="27"/>
    <x v="4"/>
    <x v="0"/>
    <x v="0"/>
    <n v="966.48299999999983"/>
    <n v="1334.6669999999999"/>
    <n v="0"/>
    <n v="0"/>
    <n v="0"/>
    <x v="1184"/>
  </r>
  <r>
    <x v="39"/>
    <x v="335"/>
    <x v="1229"/>
    <x v="7"/>
    <x v="5"/>
    <x v="2"/>
    <x v="3"/>
    <x v="9"/>
    <n v="2685"/>
    <x v="176"/>
    <n v="1699.605"/>
    <n v="46"/>
    <x v="23"/>
    <x v="0"/>
    <x v="0"/>
    <n v="713.83410000000003"/>
    <n v="985.77089999999998"/>
    <n v="0"/>
    <n v="0"/>
    <n v="0"/>
    <x v="1185"/>
  </r>
  <r>
    <x v="31"/>
    <x v="335"/>
    <x v="1230"/>
    <x v="2"/>
    <x v="2"/>
    <x v="2"/>
    <x v="2"/>
    <x v="3"/>
    <n v="416"/>
    <x v="0"/>
    <n v="416"/>
    <n v="4"/>
    <x v="20"/>
    <x v="1"/>
    <x v="3"/>
    <n v="174.72"/>
    <n v="241.28"/>
    <n v="150"/>
    <n v="41.6"/>
    <n v="416"/>
    <x v="1186"/>
  </r>
  <r>
    <x v="5"/>
    <x v="335"/>
    <x v="1231"/>
    <x v="0"/>
    <x v="2"/>
    <x v="0"/>
    <x v="2"/>
    <x v="11"/>
    <n v="166"/>
    <x v="0"/>
    <n v="166"/>
    <n v="37"/>
    <x v="28"/>
    <x v="1"/>
    <x v="4"/>
    <n v="69.72"/>
    <n v="96.28"/>
    <n v="150"/>
    <n v="16.600000000000001"/>
    <n v="166"/>
    <x v="1187"/>
  </r>
  <r>
    <x v="25"/>
    <x v="335"/>
    <x v="1232"/>
    <x v="6"/>
    <x v="1"/>
    <x v="3"/>
    <x v="0"/>
    <x v="2"/>
    <n v="999"/>
    <x v="0"/>
    <n v="999"/>
    <n v="13"/>
    <x v="36"/>
    <x v="1"/>
    <x v="3"/>
    <n v="419.58"/>
    <n v="579.42000000000007"/>
    <n v="150"/>
    <n v="99.9"/>
    <n v="999"/>
    <x v="1188"/>
  </r>
  <r>
    <x v="17"/>
    <x v="336"/>
    <x v="1233"/>
    <x v="2"/>
    <x v="0"/>
    <x v="2"/>
    <x v="3"/>
    <x v="11"/>
    <n v="4076"/>
    <x v="0"/>
    <n v="4076"/>
    <n v="31"/>
    <x v="3"/>
    <x v="0"/>
    <x v="0"/>
    <n v="1711.9199999999998"/>
    <n v="2364.08"/>
    <n v="0"/>
    <n v="0"/>
    <n v="0"/>
    <x v="1189"/>
  </r>
  <r>
    <x v="13"/>
    <x v="336"/>
    <x v="1234"/>
    <x v="3"/>
    <x v="2"/>
    <x v="1"/>
    <x v="2"/>
    <x v="7"/>
    <n v="321"/>
    <x v="0"/>
    <n v="321"/>
    <n v="10"/>
    <x v="3"/>
    <x v="1"/>
    <x v="4"/>
    <n v="134.82"/>
    <n v="186.18"/>
    <n v="150"/>
    <n v="32.1"/>
    <n v="321"/>
    <x v="1190"/>
  </r>
  <r>
    <x v="40"/>
    <x v="336"/>
    <x v="1235"/>
    <x v="5"/>
    <x v="0"/>
    <x v="0"/>
    <x v="1"/>
    <x v="6"/>
    <n v="3671"/>
    <x v="0"/>
    <n v="3671"/>
    <n v="24"/>
    <x v="14"/>
    <x v="1"/>
    <x v="3"/>
    <n v="1541.82"/>
    <n v="2129.1800000000003"/>
    <n v="150"/>
    <n v="367.1"/>
    <n v="3671"/>
    <x v="1191"/>
  </r>
  <r>
    <x v="6"/>
    <x v="336"/>
    <x v="1236"/>
    <x v="0"/>
    <x v="4"/>
    <x v="0"/>
    <x v="6"/>
    <x v="10"/>
    <n v="2479"/>
    <x v="0"/>
    <n v="2479"/>
    <n v="6"/>
    <x v="3"/>
    <x v="0"/>
    <x v="0"/>
    <n v="1041.18"/>
    <n v="1437.82"/>
    <n v="0"/>
    <n v="0"/>
    <n v="0"/>
    <x v="1192"/>
  </r>
  <r>
    <x v="10"/>
    <x v="337"/>
    <x v="1237"/>
    <x v="3"/>
    <x v="1"/>
    <x v="1"/>
    <x v="5"/>
    <x v="9"/>
    <n v="1667"/>
    <x v="0"/>
    <n v="1667"/>
    <n v="27"/>
    <x v="39"/>
    <x v="0"/>
    <x v="0"/>
    <n v="700.14"/>
    <n v="966.86"/>
    <n v="0"/>
    <n v="0"/>
    <n v="0"/>
    <x v="1193"/>
  </r>
  <r>
    <x v="37"/>
    <x v="337"/>
    <x v="1238"/>
    <x v="4"/>
    <x v="3"/>
    <x v="0"/>
    <x v="3"/>
    <x v="10"/>
    <n v="3477"/>
    <x v="0"/>
    <n v="3477"/>
    <n v="20"/>
    <x v="12"/>
    <x v="1"/>
    <x v="6"/>
    <n v="1460.34"/>
    <n v="2016.66"/>
    <n v="150"/>
    <n v="347.70000000000005"/>
    <n v="3477"/>
    <x v="1194"/>
  </r>
  <r>
    <x v="21"/>
    <x v="337"/>
    <x v="1239"/>
    <x v="1"/>
    <x v="4"/>
    <x v="3"/>
    <x v="1"/>
    <x v="1"/>
    <n v="2175"/>
    <x v="336"/>
    <n v="1848.75"/>
    <n v="9"/>
    <x v="18"/>
    <x v="0"/>
    <x v="0"/>
    <n v="776.47500000000002"/>
    <n v="1072.2750000000001"/>
    <n v="0"/>
    <n v="0"/>
    <n v="0"/>
    <x v="1195"/>
  </r>
  <r>
    <x v="32"/>
    <x v="338"/>
    <x v="1240"/>
    <x v="4"/>
    <x v="4"/>
    <x v="1"/>
    <x v="6"/>
    <x v="5"/>
    <n v="2873"/>
    <x v="0"/>
    <n v="2873"/>
    <n v="25"/>
    <x v="9"/>
    <x v="0"/>
    <x v="0"/>
    <n v="1206.6599999999999"/>
    <n v="1666.3400000000001"/>
    <n v="0"/>
    <n v="0"/>
    <n v="0"/>
    <x v="1196"/>
  </r>
  <r>
    <x v="29"/>
    <x v="338"/>
    <x v="1241"/>
    <x v="5"/>
    <x v="2"/>
    <x v="1"/>
    <x v="2"/>
    <x v="7"/>
    <n v="276"/>
    <x v="337"/>
    <n v="248.952"/>
    <n v="34"/>
    <x v="19"/>
    <x v="0"/>
    <x v="0"/>
    <n v="104.55983999999999"/>
    <n v="144.39215999999999"/>
    <n v="0"/>
    <n v="0"/>
    <n v="0"/>
    <x v="1197"/>
  </r>
  <r>
    <x v="18"/>
    <x v="338"/>
    <x v="1242"/>
    <x v="3"/>
    <x v="4"/>
    <x v="2"/>
    <x v="3"/>
    <x v="0"/>
    <n v="2864"/>
    <x v="0"/>
    <n v="2864"/>
    <n v="47"/>
    <x v="13"/>
    <x v="0"/>
    <x v="0"/>
    <n v="1202.8799999999999"/>
    <n v="1661.1200000000001"/>
    <n v="0"/>
    <n v="0"/>
    <n v="0"/>
    <x v="1198"/>
  </r>
  <r>
    <x v="42"/>
    <x v="338"/>
    <x v="1243"/>
    <x v="0"/>
    <x v="5"/>
    <x v="1"/>
    <x v="0"/>
    <x v="9"/>
    <n v="2125"/>
    <x v="338"/>
    <n v="1676.6249999999998"/>
    <n v="36"/>
    <x v="17"/>
    <x v="0"/>
    <x v="0"/>
    <n v="704.18249999999989"/>
    <n v="972.44249999999988"/>
    <n v="0"/>
    <n v="0"/>
    <n v="0"/>
    <x v="1199"/>
  </r>
  <r>
    <x v="39"/>
    <x v="339"/>
    <x v="1244"/>
    <x v="7"/>
    <x v="5"/>
    <x v="3"/>
    <x v="2"/>
    <x v="9"/>
    <n v="2037"/>
    <x v="0"/>
    <n v="2037"/>
    <n v="3"/>
    <x v="10"/>
    <x v="1"/>
    <x v="4"/>
    <n v="855.54"/>
    <n v="1181.46"/>
    <n v="150"/>
    <n v="203.70000000000002"/>
    <n v="2037"/>
    <x v="1200"/>
  </r>
  <r>
    <x v="19"/>
    <x v="339"/>
    <x v="1245"/>
    <x v="2"/>
    <x v="5"/>
    <x v="0"/>
    <x v="4"/>
    <x v="10"/>
    <n v="1894"/>
    <x v="0"/>
    <n v="1894"/>
    <n v="38"/>
    <x v="38"/>
    <x v="0"/>
    <x v="0"/>
    <n v="795.48"/>
    <n v="1098.52"/>
    <n v="0"/>
    <n v="0"/>
    <n v="0"/>
    <x v="1201"/>
  </r>
  <r>
    <x v="12"/>
    <x v="339"/>
    <x v="1246"/>
    <x v="1"/>
    <x v="5"/>
    <x v="3"/>
    <x v="2"/>
    <x v="7"/>
    <n v="2366"/>
    <x v="339"/>
    <n v="2145.962"/>
    <n v="34"/>
    <x v="38"/>
    <x v="1"/>
    <x v="3"/>
    <n v="901.30403999999999"/>
    <n v="1244.65796"/>
    <n v="150"/>
    <n v="214.59620000000001"/>
    <n v="2145.962"/>
    <x v="1202"/>
  </r>
  <r>
    <x v="33"/>
    <x v="339"/>
    <x v="1247"/>
    <x v="7"/>
    <x v="0"/>
    <x v="0"/>
    <x v="0"/>
    <x v="0"/>
    <n v="4326"/>
    <x v="0"/>
    <n v="4326"/>
    <n v="19"/>
    <x v="9"/>
    <x v="0"/>
    <x v="0"/>
    <n v="1816.9199999999998"/>
    <n v="2509.08"/>
    <n v="0"/>
    <n v="0"/>
    <n v="0"/>
    <x v="1203"/>
  </r>
  <r>
    <x v="3"/>
    <x v="340"/>
    <x v="1248"/>
    <x v="1"/>
    <x v="3"/>
    <x v="2"/>
    <x v="4"/>
    <x v="2"/>
    <n v="4193"/>
    <x v="0"/>
    <n v="4193"/>
    <n v="7"/>
    <x v="1"/>
    <x v="1"/>
    <x v="4"/>
    <n v="1761.06"/>
    <n v="2431.94"/>
    <n v="150"/>
    <n v="419.3"/>
    <n v="4193"/>
    <x v="1204"/>
  </r>
  <r>
    <x v="33"/>
    <x v="340"/>
    <x v="1249"/>
    <x v="7"/>
    <x v="0"/>
    <x v="1"/>
    <x v="6"/>
    <x v="6"/>
    <n v="3062"/>
    <x v="0"/>
    <n v="3062"/>
    <n v="11"/>
    <x v="8"/>
    <x v="0"/>
    <x v="0"/>
    <n v="1286.04"/>
    <n v="1775.96"/>
    <n v="0"/>
    <n v="0"/>
    <n v="0"/>
    <x v="1205"/>
  </r>
  <r>
    <x v="28"/>
    <x v="340"/>
    <x v="1250"/>
    <x v="3"/>
    <x v="3"/>
    <x v="1"/>
    <x v="6"/>
    <x v="3"/>
    <n v="3262"/>
    <x v="83"/>
    <n v="2974.944"/>
    <n v="36"/>
    <x v="38"/>
    <x v="0"/>
    <x v="0"/>
    <n v="1249.47648"/>
    <n v="1725.4675199999999"/>
    <n v="0"/>
    <n v="0"/>
    <n v="0"/>
    <x v="1206"/>
  </r>
  <r>
    <x v="36"/>
    <x v="340"/>
    <x v="1251"/>
    <x v="5"/>
    <x v="3"/>
    <x v="3"/>
    <x v="2"/>
    <x v="4"/>
    <n v="3319"/>
    <x v="0"/>
    <n v="3319"/>
    <n v="35"/>
    <x v="9"/>
    <x v="0"/>
    <x v="0"/>
    <n v="1393.98"/>
    <n v="1925.02"/>
    <n v="0"/>
    <n v="0"/>
    <n v="0"/>
    <x v="1207"/>
  </r>
  <r>
    <x v="30"/>
    <x v="341"/>
    <x v="1252"/>
    <x v="7"/>
    <x v="4"/>
    <x v="3"/>
    <x v="4"/>
    <x v="0"/>
    <n v="2000"/>
    <x v="0"/>
    <n v="2000"/>
    <n v="38"/>
    <x v="3"/>
    <x v="0"/>
    <x v="0"/>
    <n v="840"/>
    <n v="1160"/>
    <n v="0"/>
    <n v="0"/>
    <n v="0"/>
    <x v="1208"/>
  </r>
  <r>
    <x v="38"/>
    <x v="341"/>
    <x v="1253"/>
    <x v="0"/>
    <x v="1"/>
    <x v="3"/>
    <x v="4"/>
    <x v="5"/>
    <n v="1605"/>
    <x v="340"/>
    <n v="1282.395"/>
    <n v="7"/>
    <x v="3"/>
    <x v="1"/>
    <x v="4"/>
    <n v="538.60590000000002"/>
    <n v="743.78909999999996"/>
    <n v="150"/>
    <n v="128.23949999999999"/>
    <n v="1282.395"/>
    <x v="1209"/>
  </r>
  <r>
    <x v="32"/>
    <x v="341"/>
    <x v="1254"/>
    <x v="4"/>
    <x v="4"/>
    <x v="1"/>
    <x v="5"/>
    <x v="2"/>
    <n v="2934"/>
    <x v="341"/>
    <n v="2250.3780000000002"/>
    <n v="35"/>
    <x v="3"/>
    <x v="1"/>
    <x v="6"/>
    <n v="945.15876000000003"/>
    <n v="1305.2192400000001"/>
    <n v="150"/>
    <n v="225.03780000000003"/>
    <n v="2250.3780000000002"/>
    <x v="1210"/>
  </r>
  <r>
    <x v="27"/>
    <x v="342"/>
    <x v="1255"/>
    <x v="7"/>
    <x v="2"/>
    <x v="3"/>
    <x v="2"/>
    <x v="6"/>
    <n v="356"/>
    <x v="0"/>
    <n v="356"/>
    <n v="13"/>
    <x v="32"/>
    <x v="0"/>
    <x v="0"/>
    <n v="149.51999999999998"/>
    <n v="206.48000000000002"/>
    <n v="0"/>
    <n v="0"/>
    <n v="0"/>
    <x v="1211"/>
  </r>
  <r>
    <x v="37"/>
    <x v="342"/>
    <x v="1256"/>
    <x v="4"/>
    <x v="3"/>
    <x v="1"/>
    <x v="1"/>
    <x v="7"/>
    <n v="3816"/>
    <x v="0"/>
    <n v="3816"/>
    <n v="3"/>
    <x v="21"/>
    <x v="0"/>
    <x v="0"/>
    <n v="1602.72"/>
    <n v="2213.2799999999997"/>
    <n v="0"/>
    <n v="0"/>
    <n v="0"/>
    <x v="1212"/>
  </r>
  <r>
    <x v="38"/>
    <x v="342"/>
    <x v="1257"/>
    <x v="0"/>
    <x v="1"/>
    <x v="3"/>
    <x v="3"/>
    <x v="10"/>
    <n v="1126"/>
    <x v="0"/>
    <n v="1126"/>
    <n v="10"/>
    <x v="15"/>
    <x v="0"/>
    <x v="0"/>
    <n v="472.91999999999996"/>
    <n v="653.08000000000004"/>
    <n v="0"/>
    <n v="0"/>
    <n v="0"/>
    <x v="1213"/>
  </r>
  <r>
    <x v="40"/>
    <x v="342"/>
    <x v="1258"/>
    <x v="5"/>
    <x v="0"/>
    <x v="2"/>
    <x v="4"/>
    <x v="9"/>
    <n v="4005"/>
    <x v="0"/>
    <n v="4005"/>
    <n v="7"/>
    <x v="39"/>
    <x v="0"/>
    <x v="0"/>
    <n v="1682.1"/>
    <n v="2322.9"/>
    <n v="0"/>
    <n v="0"/>
    <n v="0"/>
    <x v="1214"/>
  </r>
  <r>
    <x v="7"/>
    <x v="343"/>
    <x v="1259"/>
    <x v="3"/>
    <x v="5"/>
    <x v="0"/>
    <x v="0"/>
    <x v="1"/>
    <n v="2191"/>
    <x v="109"/>
    <n v="1266.3979999999999"/>
    <n v="43"/>
    <x v="33"/>
    <x v="0"/>
    <x v="0"/>
    <n v="531.88715999999999"/>
    <n v="734.51083999999992"/>
    <n v="0"/>
    <n v="0"/>
    <n v="0"/>
    <x v="1215"/>
  </r>
  <r>
    <x v="41"/>
    <x v="343"/>
    <x v="1260"/>
    <x v="6"/>
    <x v="2"/>
    <x v="2"/>
    <x v="2"/>
    <x v="9"/>
    <n v="216"/>
    <x v="342"/>
    <n v="90.720000000000013"/>
    <n v="6"/>
    <x v="27"/>
    <x v="0"/>
    <x v="0"/>
    <n v="38.102400000000003"/>
    <n v="52.61760000000001"/>
    <n v="0"/>
    <n v="0"/>
    <n v="0"/>
    <x v="1216"/>
  </r>
  <r>
    <x v="12"/>
    <x v="343"/>
    <x v="1261"/>
    <x v="1"/>
    <x v="5"/>
    <x v="3"/>
    <x v="5"/>
    <x v="5"/>
    <n v="2742"/>
    <x v="343"/>
    <n v="2114.0819999999999"/>
    <n v="5"/>
    <x v="13"/>
    <x v="0"/>
    <x v="0"/>
    <n v="887.9144399999999"/>
    <n v="1226.1675599999999"/>
    <n v="0"/>
    <n v="0"/>
    <n v="0"/>
    <x v="1217"/>
  </r>
  <r>
    <x v="17"/>
    <x v="343"/>
    <x v="1262"/>
    <x v="2"/>
    <x v="0"/>
    <x v="3"/>
    <x v="6"/>
    <x v="4"/>
    <n v="3322"/>
    <x v="0"/>
    <n v="3322"/>
    <n v="41"/>
    <x v="11"/>
    <x v="0"/>
    <x v="0"/>
    <n v="1395.24"/>
    <n v="1926.76"/>
    <n v="0"/>
    <n v="0"/>
    <n v="0"/>
    <x v="1218"/>
  </r>
  <r>
    <x v="31"/>
    <x v="344"/>
    <x v="1263"/>
    <x v="2"/>
    <x v="2"/>
    <x v="1"/>
    <x v="2"/>
    <x v="1"/>
    <n v="210"/>
    <x v="0"/>
    <n v="210"/>
    <n v="39"/>
    <x v="6"/>
    <x v="1"/>
    <x v="3"/>
    <n v="88.2"/>
    <n v="121.8"/>
    <n v="150"/>
    <n v="21"/>
    <n v="210"/>
    <x v="1219"/>
  </r>
  <r>
    <x v="1"/>
    <x v="344"/>
    <x v="1264"/>
    <x v="1"/>
    <x v="1"/>
    <x v="1"/>
    <x v="4"/>
    <x v="8"/>
    <n v="1070"/>
    <x v="0"/>
    <n v="1070"/>
    <n v="24"/>
    <x v="3"/>
    <x v="0"/>
    <x v="0"/>
    <n v="449.4"/>
    <n v="620.6"/>
    <n v="0"/>
    <n v="0"/>
    <n v="0"/>
    <x v="1220"/>
  </r>
  <r>
    <x v="18"/>
    <x v="344"/>
    <x v="1265"/>
    <x v="3"/>
    <x v="4"/>
    <x v="1"/>
    <x v="1"/>
    <x v="0"/>
    <n v="2661"/>
    <x v="208"/>
    <n v="1958.4959999999999"/>
    <n v="7"/>
    <x v="4"/>
    <x v="1"/>
    <x v="3"/>
    <n v="822.56831999999986"/>
    <n v="1135.92768"/>
    <n v="150"/>
    <n v="195.84960000000001"/>
    <n v="1958.4959999999999"/>
    <x v="1221"/>
  </r>
  <r>
    <x v="0"/>
    <x v="345"/>
    <x v="1266"/>
    <x v="0"/>
    <x v="0"/>
    <x v="1"/>
    <x v="1"/>
    <x v="0"/>
    <n v="3650"/>
    <x v="0"/>
    <n v="3650"/>
    <n v="41"/>
    <x v="7"/>
    <x v="0"/>
    <x v="0"/>
    <n v="1533"/>
    <n v="2117"/>
    <n v="0"/>
    <n v="0"/>
    <n v="0"/>
    <x v="1222"/>
  </r>
  <r>
    <x v="22"/>
    <x v="345"/>
    <x v="1267"/>
    <x v="2"/>
    <x v="4"/>
    <x v="0"/>
    <x v="1"/>
    <x v="6"/>
    <n v="2891"/>
    <x v="0"/>
    <n v="2891"/>
    <n v="23"/>
    <x v="21"/>
    <x v="0"/>
    <x v="0"/>
    <n v="1214.22"/>
    <n v="1676.78"/>
    <n v="0"/>
    <n v="0"/>
    <n v="0"/>
    <x v="1223"/>
  </r>
  <r>
    <x v="21"/>
    <x v="345"/>
    <x v="1268"/>
    <x v="1"/>
    <x v="4"/>
    <x v="0"/>
    <x v="1"/>
    <x v="5"/>
    <n v="2715"/>
    <x v="0"/>
    <n v="2715"/>
    <n v="13"/>
    <x v="10"/>
    <x v="0"/>
    <x v="0"/>
    <n v="1140.3"/>
    <n v="1574.7"/>
    <n v="0"/>
    <n v="0"/>
    <n v="0"/>
    <x v="1224"/>
  </r>
  <r>
    <x v="20"/>
    <x v="345"/>
    <x v="1269"/>
    <x v="7"/>
    <x v="1"/>
    <x v="0"/>
    <x v="3"/>
    <x v="8"/>
    <n v="1442"/>
    <x v="0"/>
    <n v="1442"/>
    <n v="18"/>
    <x v="6"/>
    <x v="0"/>
    <x v="0"/>
    <n v="605.64"/>
    <n v="836.36"/>
    <n v="0"/>
    <n v="0"/>
    <n v="0"/>
    <x v="1225"/>
  </r>
  <r>
    <x v="43"/>
    <x v="346"/>
    <x v="1270"/>
    <x v="4"/>
    <x v="5"/>
    <x v="1"/>
    <x v="3"/>
    <x v="7"/>
    <n v="2528"/>
    <x v="0"/>
    <n v="2528"/>
    <n v="1"/>
    <x v="3"/>
    <x v="0"/>
    <x v="0"/>
    <n v="1061.76"/>
    <n v="1466.24"/>
    <n v="0"/>
    <n v="0"/>
    <n v="0"/>
    <x v="1226"/>
  </r>
  <r>
    <x v="47"/>
    <x v="346"/>
    <x v="1271"/>
    <x v="4"/>
    <x v="2"/>
    <x v="2"/>
    <x v="2"/>
    <x v="3"/>
    <n v="340"/>
    <x v="344"/>
    <n v="312.8"/>
    <n v="18"/>
    <x v="32"/>
    <x v="0"/>
    <x v="0"/>
    <n v="131.376"/>
    <n v="181.42400000000001"/>
    <n v="0"/>
    <n v="0"/>
    <n v="0"/>
    <x v="1227"/>
  </r>
  <r>
    <x v="16"/>
    <x v="346"/>
    <x v="1272"/>
    <x v="3"/>
    <x v="0"/>
    <x v="2"/>
    <x v="1"/>
    <x v="10"/>
    <n v="3769"/>
    <x v="0"/>
    <n v="3769"/>
    <n v="30"/>
    <x v="38"/>
    <x v="1"/>
    <x v="3"/>
    <n v="1582.98"/>
    <n v="2186.02"/>
    <n v="150"/>
    <n v="376.90000000000003"/>
    <n v="3769"/>
    <x v="1228"/>
  </r>
  <r>
    <x v="3"/>
    <x v="346"/>
    <x v="1273"/>
    <x v="1"/>
    <x v="3"/>
    <x v="3"/>
    <x v="5"/>
    <x v="5"/>
    <n v="4325"/>
    <x v="0"/>
    <n v="4325"/>
    <n v="31"/>
    <x v="3"/>
    <x v="1"/>
    <x v="7"/>
    <n v="1816.5"/>
    <n v="2508.5"/>
    <n v="150"/>
    <n v="432.5"/>
    <n v="4325"/>
    <x v="1229"/>
  </r>
  <r>
    <x v="32"/>
    <x v="347"/>
    <x v="1274"/>
    <x v="4"/>
    <x v="4"/>
    <x v="1"/>
    <x v="3"/>
    <x v="4"/>
    <n v="2073"/>
    <x v="0"/>
    <n v="2073"/>
    <n v="8"/>
    <x v="0"/>
    <x v="0"/>
    <x v="0"/>
    <n v="870.66"/>
    <n v="1202.3400000000001"/>
    <n v="0"/>
    <n v="0"/>
    <n v="0"/>
    <x v="1230"/>
  </r>
  <r>
    <x v="26"/>
    <x v="347"/>
    <x v="1275"/>
    <x v="0"/>
    <x v="3"/>
    <x v="3"/>
    <x v="5"/>
    <x v="2"/>
    <n v="3464"/>
    <x v="0"/>
    <n v="3464"/>
    <n v="10"/>
    <x v="31"/>
    <x v="0"/>
    <x v="0"/>
    <n v="1454.8799999999999"/>
    <n v="2009.1200000000001"/>
    <n v="0"/>
    <n v="0"/>
    <n v="0"/>
    <x v="1231"/>
  </r>
  <r>
    <x v="3"/>
    <x v="347"/>
    <x v="1276"/>
    <x v="1"/>
    <x v="3"/>
    <x v="3"/>
    <x v="5"/>
    <x v="7"/>
    <n v="3808"/>
    <x v="0"/>
    <n v="3808"/>
    <n v="25"/>
    <x v="0"/>
    <x v="1"/>
    <x v="3"/>
    <n v="1599.36"/>
    <n v="2208.6400000000003"/>
    <n v="150"/>
    <n v="380.8"/>
    <n v="3808"/>
    <x v="1232"/>
  </r>
  <r>
    <x v="38"/>
    <x v="347"/>
    <x v="1277"/>
    <x v="0"/>
    <x v="1"/>
    <x v="3"/>
    <x v="6"/>
    <x v="10"/>
    <n v="1584"/>
    <x v="0"/>
    <n v="1584"/>
    <n v="4"/>
    <x v="40"/>
    <x v="1"/>
    <x v="6"/>
    <n v="665.28"/>
    <n v="918.72"/>
    <n v="150"/>
    <n v="158.4"/>
    <n v="1584"/>
    <x v="1233"/>
  </r>
  <r>
    <x v="35"/>
    <x v="348"/>
    <x v="1278"/>
    <x v="4"/>
    <x v="1"/>
    <x v="0"/>
    <x v="0"/>
    <x v="9"/>
    <n v="1373"/>
    <x v="0"/>
    <n v="1373"/>
    <n v="50"/>
    <x v="38"/>
    <x v="0"/>
    <x v="0"/>
    <n v="576.66"/>
    <n v="796.34"/>
    <n v="0"/>
    <n v="0"/>
    <n v="0"/>
    <x v="1234"/>
  </r>
  <r>
    <x v="21"/>
    <x v="348"/>
    <x v="1279"/>
    <x v="1"/>
    <x v="4"/>
    <x v="3"/>
    <x v="3"/>
    <x v="7"/>
    <n v="2642"/>
    <x v="90"/>
    <n v="1540.2859999999998"/>
    <n v="20"/>
    <x v="33"/>
    <x v="1"/>
    <x v="4"/>
    <n v="646.92011999999988"/>
    <n v="893.36587999999995"/>
    <n v="150"/>
    <n v="154.02859999999998"/>
    <n v="1540.2859999999998"/>
    <x v="1235"/>
  </r>
  <r>
    <x v="36"/>
    <x v="348"/>
    <x v="1280"/>
    <x v="5"/>
    <x v="3"/>
    <x v="1"/>
    <x v="5"/>
    <x v="10"/>
    <n v="4151"/>
    <x v="0"/>
    <n v="4151"/>
    <n v="32"/>
    <x v="19"/>
    <x v="0"/>
    <x v="0"/>
    <n v="1743.4199999999998"/>
    <n v="2407.58"/>
    <n v="0"/>
    <n v="0"/>
    <n v="0"/>
    <x v="1236"/>
  </r>
  <r>
    <x v="6"/>
    <x v="348"/>
    <x v="1281"/>
    <x v="0"/>
    <x v="4"/>
    <x v="2"/>
    <x v="4"/>
    <x v="11"/>
    <n v="2813"/>
    <x v="201"/>
    <n v="1552.7760000000001"/>
    <n v="15"/>
    <x v="33"/>
    <x v="0"/>
    <x v="0"/>
    <n v="652.16592000000003"/>
    <n v="900.61008000000004"/>
    <n v="0"/>
    <n v="0"/>
    <n v="0"/>
    <x v="1237"/>
  </r>
  <r>
    <x v="35"/>
    <x v="349"/>
    <x v="1282"/>
    <x v="4"/>
    <x v="1"/>
    <x v="0"/>
    <x v="0"/>
    <x v="5"/>
    <n v="1208"/>
    <x v="117"/>
    <n v="763.45600000000002"/>
    <n v="19"/>
    <x v="31"/>
    <x v="0"/>
    <x v="0"/>
    <n v="320.65152"/>
    <n v="442.80448000000001"/>
    <n v="0"/>
    <n v="0"/>
    <n v="0"/>
    <x v="1238"/>
  </r>
  <r>
    <x v="23"/>
    <x v="349"/>
    <x v="1283"/>
    <x v="6"/>
    <x v="4"/>
    <x v="1"/>
    <x v="1"/>
    <x v="11"/>
    <n v="2492"/>
    <x v="0"/>
    <n v="2492"/>
    <n v="26"/>
    <x v="12"/>
    <x v="1"/>
    <x v="1"/>
    <n v="1046.6399999999999"/>
    <n v="1445.3600000000001"/>
    <n v="150"/>
    <n v="249.20000000000002"/>
    <n v="2492"/>
    <x v="1239"/>
  </r>
  <r>
    <x v="18"/>
    <x v="349"/>
    <x v="1284"/>
    <x v="3"/>
    <x v="4"/>
    <x v="2"/>
    <x v="4"/>
    <x v="6"/>
    <n v="2398"/>
    <x v="345"/>
    <n v="1160.6320000000001"/>
    <n v="12"/>
    <x v="4"/>
    <x v="1"/>
    <x v="4"/>
    <n v="487.46544"/>
    <n v="673.16656000000012"/>
    <n v="150"/>
    <n v="116.06320000000001"/>
    <n v="1160.6320000000001"/>
    <x v="1240"/>
  </r>
  <r>
    <x v="6"/>
    <x v="350"/>
    <x v="1285"/>
    <x v="0"/>
    <x v="4"/>
    <x v="3"/>
    <x v="5"/>
    <x v="10"/>
    <n v="2032"/>
    <x v="139"/>
    <n v="1160.2719999999999"/>
    <n v="36"/>
    <x v="3"/>
    <x v="0"/>
    <x v="0"/>
    <n v="487.31423999999993"/>
    <n v="672.95776000000001"/>
    <n v="0"/>
    <n v="0"/>
    <n v="0"/>
    <x v="1241"/>
  </r>
  <r>
    <x v="45"/>
    <x v="350"/>
    <x v="1286"/>
    <x v="7"/>
    <x v="3"/>
    <x v="2"/>
    <x v="2"/>
    <x v="8"/>
    <n v="3951"/>
    <x v="0"/>
    <n v="3951"/>
    <n v="40"/>
    <x v="20"/>
    <x v="1"/>
    <x v="4"/>
    <n v="1659.4199999999998"/>
    <n v="2291.58"/>
    <n v="150"/>
    <n v="395.1"/>
    <n v="3951"/>
    <x v="220"/>
  </r>
  <r>
    <x v="29"/>
    <x v="350"/>
    <x v="1287"/>
    <x v="5"/>
    <x v="2"/>
    <x v="1"/>
    <x v="2"/>
    <x v="0"/>
    <n v="213"/>
    <x v="0"/>
    <n v="213"/>
    <n v="35"/>
    <x v="0"/>
    <x v="0"/>
    <x v="0"/>
    <n v="89.46"/>
    <n v="123.54"/>
    <n v="0"/>
    <n v="0"/>
    <n v="0"/>
    <x v="1242"/>
  </r>
  <r>
    <x v="31"/>
    <x v="350"/>
    <x v="1288"/>
    <x v="2"/>
    <x v="2"/>
    <x v="1"/>
    <x v="2"/>
    <x v="3"/>
    <n v="471"/>
    <x v="11"/>
    <n v="356.07600000000002"/>
    <n v="31"/>
    <x v="6"/>
    <x v="0"/>
    <x v="0"/>
    <n v="149.55192"/>
    <n v="206.52408000000003"/>
    <n v="0"/>
    <n v="0"/>
    <n v="0"/>
    <x v="1243"/>
  </r>
  <r>
    <x v="9"/>
    <x v="351"/>
    <x v="1289"/>
    <x v="4"/>
    <x v="0"/>
    <x v="3"/>
    <x v="5"/>
    <x v="9"/>
    <n v="4032"/>
    <x v="0"/>
    <n v="4032"/>
    <n v="46"/>
    <x v="14"/>
    <x v="0"/>
    <x v="0"/>
    <n v="1693.4399999999998"/>
    <n v="2338.5600000000004"/>
    <n v="0"/>
    <n v="0"/>
    <n v="0"/>
    <x v="1244"/>
  </r>
  <r>
    <x v="8"/>
    <x v="351"/>
    <x v="1290"/>
    <x v="1"/>
    <x v="0"/>
    <x v="2"/>
    <x v="5"/>
    <x v="10"/>
    <n v="3809"/>
    <x v="346"/>
    <n v="3062.4360000000001"/>
    <n v="42"/>
    <x v="0"/>
    <x v="0"/>
    <x v="0"/>
    <n v="1286.2231200000001"/>
    <n v="1776.21288"/>
    <n v="0"/>
    <n v="0"/>
    <n v="0"/>
    <x v="1245"/>
  </r>
  <r>
    <x v="46"/>
    <x v="351"/>
    <x v="1291"/>
    <x v="2"/>
    <x v="3"/>
    <x v="2"/>
    <x v="1"/>
    <x v="6"/>
    <n v="3587"/>
    <x v="304"/>
    <n v="1567.5190000000002"/>
    <n v="41"/>
    <x v="41"/>
    <x v="0"/>
    <x v="0"/>
    <n v="658.35798000000011"/>
    <n v="909.16102000000012"/>
    <n v="0"/>
    <n v="0"/>
    <n v="0"/>
    <x v="1246"/>
  </r>
  <r>
    <x v="21"/>
    <x v="351"/>
    <x v="1292"/>
    <x v="1"/>
    <x v="4"/>
    <x v="2"/>
    <x v="1"/>
    <x v="6"/>
    <n v="2622"/>
    <x v="347"/>
    <n v="2118.576"/>
    <n v="9"/>
    <x v="1"/>
    <x v="0"/>
    <x v="0"/>
    <n v="889.80192"/>
    <n v="1228.7740800000001"/>
    <n v="0"/>
    <n v="0"/>
    <n v="0"/>
    <x v="1247"/>
  </r>
  <r>
    <x v="2"/>
    <x v="352"/>
    <x v="1293"/>
    <x v="1"/>
    <x v="2"/>
    <x v="2"/>
    <x v="2"/>
    <x v="8"/>
    <n v="346"/>
    <x v="348"/>
    <n v="302.75"/>
    <n v="3"/>
    <x v="17"/>
    <x v="0"/>
    <x v="0"/>
    <n v="127.155"/>
    <n v="175.595"/>
    <n v="0"/>
    <n v="0"/>
    <n v="0"/>
    <x v="1248"/>
  </r>
  <r>
    <x v="35"/>
    <x v="352"/>
    <x v="1294"/>
    <x v="4"/>
    <x v="1"/>
    <x v="3"/>
    <x v="4"/>
    <x v="9"/>
    <n v="1053"/>
    <x v="66"/>
    <n v="1035.0989999999999"/>
    <n v="34"/>
    <x v="11"/>
    <x v="1"/>
    <x v="5"/>
    <n v="434.74157999999994"/>
    <n v="600.35742000000005"/>
    <n v="150"/>
    <n v="103.5099"/>
    <n v="1035.0989999999999"/>
    <x v="1249"/>
  </r>
  <r>
    <x v="0"/>
    <x v="352"/>
    <x v="1295"/>
    <x v="0"/>
    <x v="0"/>
    <x v="3"/>
    <x v="2"/>
    <x v="9"/>
    <n v="4016"/>
    <x v="0"/>
    <n v="4016"/>
    <n v="3"/>
    <x v="25"/>
    <x v="0"/>
    <x v="0"/>
    <n v="1686.72"/>
    <n v="2329.2799999999997"/>
    <n v="0"/>
    <n v="0"/>
    <n v="0"/>
    <x v="1250"/>
  </r>
  <r>
    <x v="22"/>
    <x v="353"/>
    <x v="1296"/>
    <x v="2"/>
    <x v="4"/>
    <x v="1"/>
    <x v="5"/>
    <x v="2"/>
    <n v="2982"/>
    <x v="349"/>
    <n v="2215.6260000000002"/>
    <n v="2"/>
    <x v="37"/>
    <x v="0"/>
    <x v="0"/>
    <n v="930.56292000000008"/>
    <n v="1285.0630800000001"/>
    <n v="0"/>
    <n v="0"/>
    <n v="0"/>
    <x v="1251"/>
  </r>
  <r>
    <x v="14"/>
    <x v="353"/>
    <x v="1297"/>
    <x v="6"/>
    <x v="3"/>
    <x v="1"/>
    <x v="0"/>
    <x v="1"/>
    <n v="4287"/>
    <x v="350"/>
    <n v="3112.3620000000001"/>
    <n v="7"/>
    <x v="34"/>
    <x v="1"/>
    <x v="6"/>
    <n v="1307.1920399999999"/>
    <n v="1805.1699600000002"/>
    <n v="150"/>
    <n v="311.23620000000005"/>
    <n v="3112.3620000000001"/>
    <x v="1252"/>
  </r>
  <r>
    <x v="5"/>
    <x v="353"/>
    <x v="1298"/>
    <x v="0"/>
    <x v="2"/>
    <x v="1"/>
    <x v="2"/>
    <x v="5"/>
    <n v="479"/>
    <x v="341"/>
    <n v="367.39300000000003"/>
    <n v="22"/>
    <x v="30"/>
    <x v="0"/>
    <x v="0"/>
    <n v="154.30506"/>
    <n v="213.08794000000003"/>
    <n v="0"/>
    <n v="0"/>
    <n v="0"/>
    <x v="1253"/>
  </r>
  <r>
    <x v="9"/>
    <x v="353"/>
    <x v="1299"/>
    <x v="4"/>
    <x v="0"/>
    <x v="1"/>
    <x v="2"/>
    <x v="0"/>
    <n v="4319"/>
    <x v="0"/>
    <n v="4319"/>
    <n v="33"/>
    <x v="28"/>
    <x v="0"/>
    <x v="0"/>
    <n v="1813.98"/>
    <n v="2505.02"/>
    <n v="0"/>
    <n v="0"/>
    <n v="0"/>
    <x v="1254"/>
  </r>
  <r>
    <x v="13"/>
    <x v="354"/>
    <x v="1300"/>
    <x v="3"/>
    <x v="2"/>
    <x v="1"/>
    <x v="2"/>
    <x v="10"/>
    <n v="184"/>
    <x v="127"/>
    <n v="176.27199999999999"/>
    <n v="40"/>
    <x v="30"/>
    <x v="0"/>
    <x v="0"/>
    <n v="74.034239999999997"/>
    <n v="102.23775999999999"/>
    <n v="0"/>
    <n v="0"/>
    <n v="0"/>
    <x v="1255"/>
  </r>
  <r>
    <x v="13"/>
    <x v="354"/>
    <x v="1301"/>
    <x v="3"/>
    <x v="2"/>
    <x v="2"/>
    <x v="2"/>
    <x v="9"/>
    <n v="379"/>
    <x v="0"/>
    <n v="379"/>
    <n v="18"/>
    <x v="29"/>
    <x v="0"/>
    <x v="0"/>
    <n v="159.18"/>
    <n v="219.82"/>
    <n v="0"/>
    <n v="0"/>
    <n v="0"/>
    <x v="1256"/>
  </r>
  <r>
    <x v="7"/>
    <x v="354"/>
    <x v="1302"/>
    <x v="3"/>
    <x v="5"/>
    <x v="3"/>
    <x v="4"/>
    <x v="1"/>
    <n v="2095"/>
    <x v="99"/>
    <n v="1902.26"/>
    <n v="11"/>
    <x v="23"/>
    <x v="0"/>
    <x v="0"/>
    <n v="798.94920000000002"/>
    <n v="1103.3108"/>
    <n v="0"/>
    <n v="0"/>
    <n v="0"/>
    <x v="1257"/>
  </r>
  <r>
    <x v="15"/>
    <x v="354"/>
    <x v="1303"/>
    <x v="5"/>
    <x v="1"/>
    <x v="3"/>
    <x v="4"/>
    <x v="8"/>
    <n v="1428"/>
    <x v="351"/>
    <n v="1032.4440000000002"/>
    <n v="29"/>
    <x v="7"/>
    <x v="0"/>
    <x v="0"/>
    <n v="433.62648000000007"/>
    <n v="598.81752000000006"/>
    <n v="0"/>
    <n v="0"/>
    <n v="0"/>
    <x v="1258"/>
  </r>
  <r>
    <x v="25"/>
    <x v="355"/>
    <x v="1304"/>
    <x v="6"/>
    <x v="1"/>
    <x v="1"/>
    <x v="6"/>
    <x v="2"/>
    <n v="1197"/>
    <x v="352"/>
    <n v="827.12700000000007"/>
    <n v="21"/>
    <x v="8"/>
    <x v="1"/>
    <x v="3"/>
    <n v="347.39334000000002"/>
    <n v="479.73366000000004"/>
    <n v="150"/>
    <n v="82.712700000000012"/>
    <n v="827.12700000000007"/>
    <x v="1259"/>
  </r>
  <r>
    <x v="30"/>
    <x v="355"/>
    <x v="1305"/>
    <x v="7"/>
    <x v="4"/>
    <x v="3"/>
    <x v="1"/>
    <x v="11"/>
    <n v="2460"/>
    <x v="314"/>
    <n v="1126.6799999999998"/>
    <n v="25"/>
    <x v="9"/>
    <x v="0"/>
    <x v="0"/>
    <n v="473.20559999999989"/>
    <n v="653.47439999999995"/>
    <n v="0"/>
    <n v="0"/>
    <n v="0"/>
    <x v="1260"/>
  </r>
  <r>
    <x v="13"/>
    <x v="355"/>
    <x v="1306"/>
    <x v="3"/>
    <x v="2"/>
    <x v="3"/>
    <x v="2"/>
    <x v="0"/>
    <n v="478"/>
    <x v="353"/>
    <n v="460.31399999999996"/>
    <n v="14"/>
    <x v="37"/>
    <x v="0"/>
    <x v="0"/>
    <n v="193.33187999999998"/>
    <n v="266.98212000000001"/>
    <n v="0"/>
    <n v="0"/>
    <n v="0"/>
    <x v="1261"/>
  </r>
  <r>
    <x v="27"/>
    <x v="355"/>
    <x v="1307"/>
    <x v="7"/>
    <x v="2"/>
    <x v="0"/>
    <x v="2"/>
    <x v="7"/>
    <n v="236"/>
    <x v="85"/>
    <n v="192.57600000000002"/>
    <n v="10"/>
    <x v="18"/>
    <x v="0"/>
    <x v="0"/>
    <n v="80.881920000000008"/>
    <n v="111.69408000000001"/>
    <n v="0"/>
    <n v="0"/>
    <n v="0"/>
    <x v="1262"/>
  </r>
  <r>
    <x v="37"/>
    <x v="355"/>
    <x v="1308"/>
    <x v="4"/>
    <x v="3"/>
    <x v="2"/>
    <x v="0"/>
    <x v="3"/>
    <n v="3734"/>
    <x v="88"/>
    <n v="2117.1779999999999"/>
    <n v="26"/>
    <x v="0"/>
    <x v="0"/>
    <x v="0"/>
    <n v="889.21475999999996"/>
    <n v="1227.96324"/>
    <n v="0"/>
    <n v="0"/>
    <n v="0"/>
    <x v="1263"/>
  </r>
  <r>
    <x v="29"/>
    <x v="356"/>
    <x v="1309"/>
    <x v="5"/>
    <x v="2"/>
    <x v="3"/>
    <x v="2"/>
    <x v="3"/>
    <n v="378"/>
    <x v="57"/>
    <n v="318.27600000000001"/>
    <n v="31"/>
    <x v="25"/>
    <x v="0"/>
    <x v="0"/>
    <n v="133.67591999999999"/>
    <n v="184.60008000000002"/>
    <n v="0"/>
    <n v="0"/>
    <n v="0"/>
    <x v="1264"/>
  </r>
  <r>
    <x v="7"/>
    <x v="356"/>
    <x v="1310"/>
    <x v="3"/>
    <x v="5"/>
    <x v="0"/>
    <x v="5"/>
    <x v="8"/>
    <n v="1843"/>
    <x v="354"/>
    <n v="1411.7380000000001"/>
    <n v="1"/>
    <x v="3"/>
    <x v="0"/>
    <x v="0"/>
    <n v="592.92996000000005"/>
    <n v="818.80804000000001"/>
    <n v="0"/>
    <n v="0"/>
    <n v="0"/>
    <x v="1265"/>
  </r>
  <r>
    <x v="6"/>
    <x v="356"/>
    <x v="1311"/>
    <x v="0"/>
    <x v="4"/>
    <x v="0"/>
    <x v="3"/>
    <x v="4"/>
    <n v="2543"/>
    <x v="0"/>
    <n v="2543"/>
    <n v="47"/>
    <x v="30"/>
    <x v="0"/>
    <x v="0"/>
    <n v="1068.06"/>
    <n v="1474.94"/>
    <n v="0"/>
    <n v="0"/>
    <n v="0"/>
    <x v="754"/>
  </r>
  <r>
    <x v="3"/>
    <x v="357"/>
    <x v="1312"/>
    <x v="1"/>
    <x v="3"/>
    <x v="2"/>
    <x v="4"/>
    <x v="11"/>
    <n v="3581"/>
    <x v="0"/>
    <n v="3581"/>
    <n v="9"/>
    <x v="21"/>
    <x v="0"/>
    <x v="0"/>
    <n v="1504.02"/>
    <n v="2076.98"/>
    <n v="0"/>
    <n v="0"/>
    <n v="0"/>
    <x v="1266"/>
  </r>
  <r>
    <x v="19"/>
    <x v="357"/>
    <x v="1313"/>
    <x v="2"/>
    <x v="5"/>
    <x v="0"/>
    <x v="0"/>
    <x v="5"/>
    <n v="2823"/>
    <x v="25"/>
    <n v="2791.9470000000001"/>
    <n v="43"/>
    <x v="8"/>
    <x v="0"/>
    <x v="0"/>
    <n v="1172.6177399999999"/>
    <n v="1619.3292600000002"/>
    <n v="0"/>
    <n v="0"/>
    <n v="0"/>
    <x v="1267"/>
  </r>
  <r>
    <x v="32"/>
    <x v="357"/>
    <x v="1314"/>
    <x v="4"/>
    <x v="4"/>
    <x v="1"/>
    <x v="4"/>
    <x v="0"/>
    <n v="2763"/>
    <x v="355"/>
    <n v="1387.0260000000001"/>
    <n v="9"/>
    <x v="3"/>
    <x v="1"/>
    <x v="4"/>
    <n v="582.55092000000002"/>
    <n v="804.47508000000005"/>
    <n v="150"/>
    <n v="138.70260000000002"/>
    <n v="1387.0260000000001"/>
    <x v="1268"/>
  </r>
  <r>
    <x v="46"/>
    <x v="357"/>
    <x v="1315"/>
    <x v="2"/>
    <x v="3"/>
    <x v="0"/>
    <x v="6"/>
    <x v="6"/>
    <n v="3479"/>
    <x v="108"/>
    <n v="3291.134"/>
    <n v="33"/>
    <x v="3"/>
    <x v="1"/>
    <x v="6"/>
    <n v="1382.27628"/>
    <n v="1908.85772"/>
    <n v="150"/>
    <n v="329.11340000000001"/>
    <n v="3291.134"/>
    <x v="1269"/>
  </r>
  <r>
    <x v="23"/>
    <x v="358"/>
    <x v="1316"/>
    <x v="6"/>
    <x v="4"/>
    <x v="3"/>
    <x v="5"/>
    <x v="4"/>
    <n v="2699"/>
    <x v="0"/>
    <n v="2699"/>
    <n v="35"/>
    <x v="13"/>
    <x v="1"/>
    <x v="3"/>
    <n v="1133.58"/>
    <n v="1565.42"/>
    <n v="150"/>
    <n v="269.90000000000003"/>
    <n v="2699"/>
    <x v="1270"/>
  </r>
  <r>
    <x v="3"/>
    <x v="358"/>
    <x v="1317"/>
    <x v="1"/>
    <x v="3"/>
    <x v="3"/>
    <x v="1"/>
    <x v="6"/>
    <n v="4435"/>
    <x v="0"/>
    <n v="4435"/>
    <n v="30"/>
    <x v="15"/>
    <x v="1"/>
    <x v="3"/>
    <n v="1862.6999999999998"/>
    <n v="2572.3000000000002"/>
    <n v="150"/>
    <n v="443.5"/>
    <n v="4435"/>
    <x v="1271"/>
  </r>
  <r>
    <x v="25"/>
    <x v="358"/>
    <x v="1318"/>
    <x v="6"/>
    <x v="1"/>
    <x v="3"/>
    <x v="4"/>
    <x v="2"/>
    <n v="1001"/>
    <x v="199"/>
    <n v="596.59600000000012"/>
    <n v="31"/>
    <x v="26"/>
    <x v="0"/>
    <x v="0"/>
    <n v="250.57032000000004"/>
    <n v="346.02568000000008"/>
    <n v="0"/>
    <n v="0"/>
    <n v="0"/>
    <x v="1272"/>
  </r>
  <r>
    <x v="17"/>
    <x v="358"/>
    <x v="1319"/>
    <x v="2"/>
    <x v="0"/>
    <x v="0"/>
    <x v="1"/>
    <x v="11"/>
    <n v="3500"/>
    <x v="0"/>
    <n v="3500"/>
    <n v="21"/>
    <x v="13"/>
    <x v="0"/>
    <x v="0"/>
    <n v="1470"/>
    <n v="2030"/>
    <n v="0"/>
    <n v="0"/>
    <n v="0"/>
    <x v="1273"/>
  </r>
  <r>
    <x v="5"/>
    <x v="359"/>
    <x v="1320"/>
    <x v="0"/>
    <x v="2"/>
    <x v="0"/>
    <x v="2"/>
    <x v="10"/>
    <n v="237"/>
    <x v="123"/>
    <n v="149.547"/>
    <n v="9"/>
    <x v="25"/>
    <x v="0"/>
    <x v="0"/>
    <n v="62.809739999999998"/>
    <n v="86.737259999999992"/>
    <n v="0"/>
    <n v="0"/>
    <n v="0"/>
    <x v="1274"/>
  </r>
  <r>
    <x v="43"/>
    <x v="359"/>
    <x v="1321"/>
    <x v="4"/>
    <x v="5"/>
    <x v="0"/>
    <x v="3"/>
    <x v="1"/>
    <n v="2827"/>
    <x v="356"/>
    <n v="2728.0549999999998"/>
    <n v="14"/>
    <x v="38"/>
    <x v="0"/>
    <x v="0"/>
    <n v="1145.7830999999999"/>
    <n v="1582.2719"/>
    <n v="0"/>
    <n v="0"/>
    <n v="0"/>
    <x v="1275"/>
  </r>
  <r>
    <x v="28"/>
    <x v="359"/>
    <x v="1322"/>
    <x v="3"/>
    <x v="3"/>
    <x v="2"/>
    <x v="3"/>
    <x v="9"/>
    <n v="3649"/>
    <x v="61"/>
    <n v="3233.0140000000001"/>
    <n v="15"/>
    <x v="3"/>
    <x v="0"/>
    <x v="0"/>
    <n v="1357.8658800000001"/>
    <n v="1875.1481200000001"/>
    <n v="0"/>
    <n v="0"/>
    <n v="0"/>
    <x v="1276"/>
  </r>
  <r>
    <x v="21"/>
    <x v="359"/>
    <x v="1323"/>
    <x v="1"/>
    <x v="4"/>
    <x v="2"/>
    <x v="5"/>
    <x v="6"/>
    <n v="2616"/>
    <x v="0"/>
    <n v="2616"/>
    <n v="16"/>
    <x v="3"/>
    <x v="1"/>
    <x v="6"/>
    <n v="1098.72"/>
    <n v="1517.28"/>
    <n v="150"/>
    <n v="261.60000000000002"/>
    <n v="2616"/>
    <x v="1277"/>
  </r>
  <r>
    <x v="30"/>
    <x v="359"/>
    <x v="1324"/>
    <x v="7"/>
    <x v="4"/>
    <x v="1"/>
    <x v="6"/>
    <x v="8"/>
    <n v="2866"/>
    <x v="0"/>
    <n v="2866"/>
    <n v="38"/>
    <x v="22"/>
    <x v="0"/>
    <x v="0"/>
    <n v="1203.72"/>
    <n v="1662.28"/>
    <n v="0"/>
    <n v="0"/>
    <n v="0"/>
    <x v="1278"/>
  </r>
  <r>
    <x v="5"/>
    <x v="360"/>
    <x v="1325"/>
    <x v="0"/>
    <x v="2"/>
    <x v="3"/>
    <x v="2"/>
    <x v="7"/>
    <n v="175"/>
    <x v="0"/>
    <n v="175"/>
    <n v="25"/>
    <x v="1"/>
    <x v="0"/>
    <x v="0"/>
    <n v="73.5"/>
    <n v="101.5"/>
    <n v="0"/>
    <n v="0"/>
    <n v="0"/>
    <x v="1279"/>
  </r>
  <r>
    <x v="7"/>
    <x v="360"/>
    <x v="1326"/>
    <x v="3"/>
    <x v="5"/>
    <x v="2"/>
    <x v="3"/>
    <x v="6"/>
    <n v="2727"/>
    <x v="0"/>
    <n v="2727"/>
    <n v="43"/>
    <x v="3"/>
    <x v="1"/>
    <x v="1"/>
    <n v="1145.3399999999999"/>
    <n v="1581.66"/>
    <n v="150"/>
    <n v="272.7"/>
    <n v="2727"/>
    <x v="1280"/>
  </r>
  <r>
    <x v="10"/>
    <x v="360"/>
    <x v="1327"/>
    <x v="3"/>
    <x v="1"/>
    <x v="2"/>
    <x v="5"/>
    <x v="1"/>
    <n v="1159"/>
    <x v="0"/>
    <n v="1159"/>
    <n v="31"/>
    <x v="17"/>
    <x v="1"/>
    <x v="3"/>
    <n v="486.78"/>
    <n v="672.22"/>
    <n v="150"/>
    <n v="115.9"/>
    <n v="1159"/>
    <x v="1281"/>
  </r>
  <r>
    <x v="6"/>
    <x v="361"/>
    <x v="1328"/>
    <x v="0"/>
    <x v="4"/>
    <x v="1"/>
    <x v="5"/>
    <x v="10"/>
    <n v="2918"/>
    <x v="254"/>
    <n v="2243.942"/>
    <n v="15"/>
    <x v="39"/>
    <x v="0"/>
    <x v="0"/>
    <n v="942.45564000000002"/>
    <n v="1301.4863599999999"/>
    <n v="0"/>
    <n v="0"/>
    <n v="0"/>
    <x v="1282"/>
  </r>
  <r>
    <x v="25"/>
    <x v="361"/>
    <x v="1329"/>
    <x v="6"/>
    <x v="1"/>
    <x v="2"/>
    <x v="5"/>
    <x v="8"/>
    <n v="1686"/>
    <x v="0"/>
    <n v="1686"/>
    <n v="46"/>
    <x v="17"/>
    <x v="0"/>
    <x v="0"/>
    <n v="708.12"/>
    <n v="977.88"/>
    <n v="0"/>
    <n v="0"/>
    <n v="0"/>
    <x v="1283"/>
  </r>
  <r>
    <x v="35"/>
    <x v="361"/>
    <x v="1330"/>
    <x v="4"/>
    <x v="1"/>
    <x v="2"/>
    <x v="3"/>
    <x v="6"/>
    <n v="1134"/>
    <x v="272"/>
    <n v="865.24199999999996"/>
    <n v="3"/>
    <x v="12"/>
    <x v="0"/>
    <x v="0"/>
    <n v="363.40163999999999"/>
    <n v="501.84035999999998"/>
    <n v="0"/>
    <n v="0"/>
    <n v="0"/>
    <x v="1284"/>
  </r>
  <r>
    <x v="21"/>
    <x v="361"/>
    <x v="1331"/>
    <x v="1"/>
    <x v="4"/>
    <x v="2"/>
    <x v="1"/>
    <x v="5"/>
    <n v="2279"/>
    <x v="216"/>
    <n v="2098.9590000000003"/>
    <n v="39"/>
    <x v="7"/>
    <x v="0"/>
    <x v="0"/>
    <n v="881.56278000000009"/>
    <n v="1217.3962200000001"/>
    <n v="0"/>
    <n v="0"/>
    <n v="0"/>
    <x v="1285"/>
  </r>
  <r>
    <x v="47"/>
    <x v="362"/>
    <x v="1332"/>
    <x v="4"/>
    <x v="2"/>
    <x v="1"/>
    <x v="2"/>
    <x v="9"/>
    <n v="390"/>
    <x v="250"/>
    <n v="264.41999999999996"/>
    <n v="34"/>
    <x v="35"/>
    <x v="0"/>
    <x v="0"/>
    <n v="111.05639999999998"/>
    <n v="153.36359999999996"/>
    <n v="0"/>
    <n v="0"/>
    <n v="0"/>
    <x v="1286"/>
  </r>
  <r>
    <x v="17"/>
    <x v="362"/>
    <x v="1333"/>
    <x v="2"/>
    <x v="0"/>
    <x v="3"/>
    <x v="0"/>
    <x v="2"/>
    <n v="3152"/>
    <x v="335"/>
    <n v="2376.6080000000002"/>
    <n v="50"/>
    <x v="11"/>
    <x v="1"/>
    <x v="4"/>
    <n v="998.17536000000007"/>
    <n v="1378.43264"/>
    <n v="150"/>
    <n v="237.66080000000002"/>
    <n v="2376.6080000000002"/>
    <x v="1287"/>
  </r>
  <r>
    <x v="23"/>
    <x v="362"/>
    <x v="1334"/>
    <x v="6"/>
    <x v="4"/>
    <x v="3"/>
    <x v="1"/>
    <x v="0"/>
    <n v="2081"/>
    <x v="0"/>
    <n v="2081"/>
    <n v="29"/>
    <x v="29"/>
    <x v="0"/>
    <x v="0"/>
    <n v="874.02"/>
    <n v="1206.98"/>
    <n v="0"/>
    <n v="0"/>
    <n v="0"/>
    <x v="159"/>
  </r>
  <r>
    <x v="26"/>
    <x v="362"/>
    <x v="1335"/>
    <x v="0"/>
    <x v="3"/>
    <x v="3"/>
    <x v="2"/>
    <x v="7"/>
    <n v="3086"/>
    <x v="357"/>
    <n v="2755.7980000000002"/>
    <n v="37"/>
    <x v="3"/>
    <x v="1"/>
    <x v="5"/>
    <n v="1157.43516"/>
    <n v="1598.3628400000002"/>
    <n v="150"/>
    <n v="275.57980000000003"/>
    <n v="2755.7980000000002"/>
    <x v="1288"/>
  </r>
  <r>
    <x v="34"/>
    <x v="363"/>
    <x v="1336"/>
    <x v="6"/>
    <x v="0"/>
    <x v="2"/>
    <x v="5"/>
    <x v="10"/>
    <n v="3940"/>
    <x v="358"/>
    <n v="2592.5199999999995"/>
    <n v="14"/>
    <x v="3"/>
    <x v="0"/>
    <x v="0"/>
    <n v="1088.8583999999998"/>
    <n v="1503.6615999999997"/>
    <n v="0"/>
    <n v="0"/>
    <n v="0"/>
    <x v="1289"/>
  </r>
  <r>
    <x v="36"/>
    <x v="363"/>
    <x v="1337"/>
    <x v="5"/>
    <x v="3"/>
    <x v="3"/>
    <x v="4"/>
    <x v="9"/>
    <n v="3006"/>
    <x v="0"/>
    <n v="3006"/>
    <n v="39"/>
    <x v="12"/>
    <x v="1"/>
    <x v="3"/>
    <n v="1262.52"/>
    <n v="1743.48"/>
    <n v="150"/>
    <n v="300.60000000000002"/>
    <n v="3006"/>
    <x v="1290"/>
  </r>
  <r>
    <x v="27"/>
    <x v="363"/>
    <x v="1338"/>
    <x v="7"/>
    <x v="2"/>
    <x v="2"/>
    <x v="2"/>
    <x v="5"/>
    <n v="188"/>
    <x v="0"/>
    <n v="188"/>
    <n v="25"/>
    <x v="15"/>
    <x v="1"/>
    <x v="5"/>
    <n v="78.959999999999994"/>
    <n v="109.04"/>
    <n v="150"/>
    <n v="18.8"/>
    <n v="188"/>
    <x v="1291"/>
  </r>
  <r>
    <x v="46"/>
    <x v="364"/>
    <x v="1339"/>
    <x v="2"/>
    <x v="3"/>
    <x v="1"/>
    <x v="4"/>
    <x v="7"/>
    <n v="3020"/>
    <x v="0"/>
    <n v="3020"/>
    <n v="7"/>
    <x v="9"/>
    <x v="0"/>
    <x v="0"/>
    <n v="1268.3999999999999"/>
    <n v="1751.6000000000001"/>
    <n v="0"/>
    <n v="0"/>
    <n v="0"/>
    <x v="1292"/>
  </r>
  <r>
    <x v="14"/>
    <x v="364"/>
    <x v="1340"/>
    <x v="6"/>
    <x v="3"/>
    <x v="0"/>
    <x v="5"/>
    <x v="10"/>
    <n v="3233"/>
    <x v="0"/>
    <n v="3233"/>
    <n v="4"/>
    <x v="23"/>
    <x v="0"/>
    <x v="0"/>
    <n v="1357.86"/>
    <n v="1875.14"/>
    <n v="0"/>
    <n v="0"/>
    <n v="0"/>
    <x v="1293"/>
  </r>
  <r>
    <x v="21"/>
    <x v="364"/>
    <x v="1341"/>
    <x v="1"/>
    <x v="4"/>
    <x v="1"/>
    <x v="5"/>
    <x v="6"/>
    <n v="2369"/>
    <x v="0"/>
    <n v="2369"/>
    <n v="48"/>
    <x v="27"/>
    <x v="0"/>
    <x v="0"/>
    <n v="994.98"/>
    <n v="1374.02"/>
    <n v="0"/>
    <n v="0"/>
    <n v="0"/>
    <x v="276"/>
  </r>
  <r>
    <x v="17"/>
    <x v="364"/>
    <x v="1342"/>
    <x v="2"/>
    <x v="0"/>
    <x v="1"/>
    <x v="2"/>
    <x v="0"/>
    <n v="3032"/>
    <x v="0"/>
    <n v="3032"/>
    <n v="18"/>
    <x v="25"/>
    <x v="0"/>
    <x v="0"/>
    <n v="1273.44"/>
    <n v="1758.56"/>
    <n v="0"/>
    <n v="0"/>
    <n v="0"/>
    <x v="1294"/>
  </r>
  <r>
    <x v="25"/>
    <x v="365"/>
    <x v="1343"/>
    <x v="6"/>
    <x v="1"/>
    <x v="1"/>
    <x v="5"/>
    <x v="7"/>
    <n v="1399"/>
    <x v="11"/>
    <n v="1057.644"/>
    <n v="26"/>
    <x v="29"/>
    <x v="0"/>
    <x v="0"/>
    <n v="444.21047999999996"/>
    <n v="613.43352000000004"/>
    <n v="0"/>
    <n v="0"/>
    <n v="0"/>
    <x v="1295"/>
  </r>
  <r>
    <x v="43"/>
    <x v="365"/>
    <x v="1344"/>
    <x v="4"/>
    <x v="5"/>
    <x v="2"/>
    <x v="0"/>
    <x v="0"/>
    <n v="2397"/>
    <x v="359"/>
    <n v="1639.5479999999998"/>
    <n v="5"/>
    <x v="37"/>
    <x v="1"/>
    <x v="6"/>
    <n v="688.61015999999984"/>
    <n v="950.93783999999994"/>
    <n v="150"/>
    <n v="163.95479999999998"/>
    <n v="1639.5479999999998"/>
    <x v="1296"/>
  </r>
  <r>
    <x v="43"/>
    <x v="365"/>
    <x v="1345"/>
    <x v="4"/>
    <x v="5"/>
    <x v="1"/>
    <x v="1"/>
    <x v="8"/>
    <n v="1866"/>
    <x v="0"/>
    <n v="1866"/>
    <n v="23"/>
    <x v="21"/>
    <x v="0"/>
    <x v="0"/>
    <n v="783.72"/>
    <n v="1082.28"/>
    <n v="0"/>
    <n v="0"/>
    <n v="0"/>
    <x v="1297"/>
  </r>
  <r>
    <x v="20"/>
    <x v="365"/>
    <x v="1346"/>
    <x v="7"/>
    <x v="1"/>
    <x v="1"/>
    <x v="5"/>
    <x v="5"/>
    <n v="1413"/>
    <x v="0"/>
    <n v="1413"/>
    <n v="28"/>
    <x v="17"/>
    <x v="0"/>
    <x v="0"/>
    <n v="593.45999999999992"/>
    <n v="819.54000000000008"/>
    <n v="0"/>
    <n v="0"/>
    <n v="0"/>
    <x v="1298"/>
  </r>
  <r>
    <x v="7"/>
    <x v="366"/>
    <x v="1347"/>
    <x v="3"/>
    <x v="5"/>
    <x v="2"/>
    <x v="5"/>
    <x v="5"/>
    <n v="2282"/>
    <x v="0"/>
    <n v="2282"/>
    <n v="19"/>
    <x v="11"/>
    <x v="0"/>
    <x v="0"/>
    <n v="958.43999999999994"/>
    <n v="1323.56"/>
    <n v="0"/>
    <n v="0"/>
    <n v="0"/>
    <x v="1299"/>
  </r>
  <r>
    <x v="30"/>
    <x v="366"/>
    <x v="1348"/>
    <x v="7"/>
    <x v="4"/>
    <x v="0"/>
    <x v="0"/>
    <x v="2"/>
    <n v="2393"/>
    <x v="360"/>
    <n v="1411.8700000000001"/>
    <n v="21"/>
    <x v="26"/>
    <x v="1"/>
    <x v="3"/>
    <n v="592.98540000000003"/>
    <n v="818.88460000000009"/>
    <n v="150"/>
    <n v="141.18700000000001"/>
    <n v="1411.8700000000001"/>
    <x v="1300"/>
  </r>
  <r>
    <x v="16"/>
    <x v="366"/>
    <x v="1349"/>
    <x v="3"/>
    <x v="0"/>
    <x v="1"/>
    <x v="4"/>
    <x v="11"/>
    <n v="3911"/>
    <x v="361"/>
    <n v="3003.6480000000001"/>
    <n v="23"/>
    <x v="41"/>
    <x v="0"/>
    <x v="0"/>
    <n v="1261.53216"/>
    <n v="1742.1158400000002"/>
    <n v="0"/>
    <n v="0"/>
    <n v="0"/>
    <x v="1301"/>
  </r>
  <r>
    <x v="40"/>
    <x v="366"/>
    <x v="1350"/>
    <x v="5"/>
    <x v="0"/>
    <x v="3"/>
    <x v="6"/>
    <x v="1"/>
    <n v="3262"/>
    <x v="0"/>
    <n v="3262"/>
    <n v="34"/>
    <x v="32"/>
    <x v="0"/>
    <x v="0"/>
    <n v="1370.04"/>
    <n v="1891.96"/>
    <n v="0"/>
    <n v="0"/>
    <n v="0"/>
    <x v="1302"/>
  </r>
  <r>
    <x v="22"/>
    <x v="367"/>
    <x v="1351"/>
    <x v="2"/>
    <x v="4"/>
    <x v="0"/>
    <x v="6"/>
    <x v="3"/>
    <n v="2213"/>
    <x v="0"/>
    <n v="2213"/>
    <n v="13"/>
    <x v="3"/>
    <x v="1"/>
    <x v="4"/>
    <n v="929.45999999999992"/>
    <n v="1283.54"/>
    <n v="150"/>
    <n v="221.3"/>
    <n v="2213"/>
    <x v="1303"/>
  </r>
  <r>
    <x v="1"/>
    <x v="367"/>
    <x v="1352"/>
    <x v="1"/>
    <x v="1"/>
    <x v="2"/>
    <x v="4"/>
    <x v="10"/>
    <n v="1228"/>
    <x v="0"/>
    <n v="1228"/>
    <n v="13"/>
    <x v="3"/>
    <x v="1"/>
    <x v="2"/>
    <n v="515.76"/>
    <n v="712.24"/>
    <n v="150"/>
    <n v="122.80000000000001"/>
    <n v="1228"/>
    <x v="1304"/>
  </r>
  <r>
    <x v="5"/>
    <x v="367"/>
    <x v="1353"/>
    <x v="0"/>
    <x v="2"/>
    <x v="0"/>
    <x v="2"/>
    <x v="4"/>
    <n v="200"/>
    <x v="362"/>
    <n v="140.20000000000002"/>
    <n v="33"/>
    <x v="21"/>
    <x v="1"/>
    <x v="2"/>
    <n v="58.884000000000007"/>
    <n v="81.316000000000003"/>
    <n v="150"/>
    <n v="14.020000000000003"/>
    <n v="140.20000000000002"/>
    <x v="1305"/>
  </r>
  <r>
    <x v="4"/>
    <x v="367"/>
    <x v="1354"/>
    <x v="2"/>
    <x v="1"/>
    <x v="3"/>
    <x v="4"/>
    <x v="6"/>
    <n v="942"/>
    <x v="363"/>
    <n v="932.58"/>
    <n v="27"/>
    <x v="22"/>
    <x v="0"/>
    <x v="0"/>
    <n v="391.68360000000001"/>
    <n v="540.89640000000009"/>
    <n v="0"/>
    <n v="0"/>
    <n v="0"/>
    <x v="1306"/>
  </r>
  <r>
    <x v="16"/>
    <x v="368"/>
    <x v="1355"/>
    <x v="3"/>
    <x v="0"/>
    <x v="2"/>
    <x v="0"/>
    <x v="5"/>
    <n v="4332"/>
    <x v="63"/>
    <n v="3106.0439999999999"/>
    <n v="41"/>
    <x v="29"/>
    <x v="0"/>
    <x v="0"/>
    <n v="1304.5384799999999"/>
    <n v="1801.5055199999999"/>
    <n v="0"/>
    <n v="0"/>
    <n v="0"/>
    <x v="1307"/>
  </r>
  <r>
    <x v="1"/>
    <x v="368"/>
    <x v="1356"/>
    <x v="1"/>
    <x v="1"/>
    <x v="2"/>
    <x v="5"/>
    <x v="10"/>
    <n v="1102"/>
    <x v="0"/>
    <n v="1102"/>
    <n v="11"/>
    <x v="0"/>
    <x v="0"/>
    <x v="0"/>
    <n v="462.84"/>
    <n v="639.16000000000008"/>
    <n v="0"/>
    <n v="0"/>
    <n v="0"/>
    <x v="1308"/>
  </r>
  <r>
    <x v="17"/>
    <x v="368"/>
    <x v="1357"/>
    <x v="2"/>
    <x v="0"/>
    <x v="0"/>
    <x v="0"/>
    <x v="0"/>
    <n v="3992"/>
    <x v="0"/>
    <n v="3992"/>
    <n v="25"/>
    <x v="19"/>
    <x v="0"/>
    <x v="0"/>
    <n v="1676.6399999999999"/>
    <n v="2315.36"/>
    <n v="0"/>
    <n v="0"/>
    <n v="0"/>
    <x v="1309"/>
  </r>
  <r>
    <x v="47"/>
    <x v="368"/>
    <x v="1358"/>
    <x v="4"/>
    <x v="2"/>
    <x v="1"/>
    <x v="2"/>
    <x v="8"/>
    <n v="391"/>
    <x v="0"/>
    <n v="391"/>
    <n v="19"/>
    <x v="15"/>
    <x v="0"/>
    <x v="0"/>
    <n v="164.22"/>
    <n v="226.78"/>
    <n v="0"/>
    <n v="0"/>
    <n v="0"/>
    <x v="610"/>
  </r>
  <r>
    <x v="6"/>
    <x v="369"/>
    <x v="1359"/>
    <x v="0"/>
    <x v="4"/>
    <x v="1"/>
    <x v="2"/>
    <x v="11"/>
    <n v="2425"/>
    <x v="344"/>
    <n v="2231"/>
    <n v="7"/>
    <x v="3"/>
    <x v="0"/>
    <x v="0"/>
    <n v="937.02"/>
    <n v="1293.98"/>
    <n v="0"/>
    <n v="0"/>
    <n v="0"/>
    <x v="1310"/>
  </r>
  <r>
    <x v="39"/>
    <x v="369"/>
    <x v="1360"/>
    <x v="7"/>
    <x v="5"/>
    <x v="3"/>
    <x v="4"/>
    <x v="11"/>
    <n v="2447"/>
    <x v="284"/>
    <n v="2312.415"/>
    <n v="10"/>
    <x v="20"/>
    <x v="0"/>
    <x v="0"/>
    <n v="971.21429999999998"/>
    <n v="1341.2006999999999"/>
    <n v="0"/>
    <n v="0"/>
    <n v="0"/>
    <x v="1311"/>
  </r>
  <r>
    <x v="3"/>
    <x v="369"/>
    <x v="1361"/>
    <x v="1"/>
    <x v="3"/>
    <x v="0"/>
    <x v="3"/>
    <x v="6"/>
    <n v="3072"/>
    <x v="0"/>
    <n v="3072"/>
    <n v="40"/>
    <x v="3"/>
    <x v="1"/>
    <x v="5"/>
    <n v="1290.24"/>
    <n v="1781.76"/>
    <n v="150"/>
    <n v="307.20000000000005"/>
    <n v="3072"/>
    <x v="1312"/>
  </r>
  <r>
    <x v="4"/>
    <x v="369"/>
    <x v="1362"/>
    <x v="2"/>
    <x v="1"/>
    <x v="0"/>
    <x v="3"/>
    <x v="4"/>
    <n v="1072"/>
    <x v="364"/>
    <n v="695.72800000000007"/>
    <n v="16"/>
    <x v="3"/>
    <x v="0"/>
    <x v="0"/>
    <n v="292.20576"/>
    <n v="403.52224000000007"/>
    <n v="0"/>
    <n v="0"/>
    <n v="0"/>
    <x v="1313"/>
  </r>
  <r>
    <x v="25"/>
    <x v="370"/>
    <x v="1363"/>
    <x v="6"/>
    <x v="1"/>
    <x v="2"/>
    <x v="5"/>
    <x v="0"/>
    <n v="1316"/>
    <x v="0"/>
    <n v="1316"/>
    <n v="6"/>
    <x v="3"/>
    <x v="0"/>
    <x v="0"/>
    <n v="552.72"/>
    <n v="763.28"/>
    <n v="0"/>
    <n v="0"/>
    <n v="0"/>
    <x v="1314"/>
  </r>
  <r>
    <x v="14"/>
    <x v="370"/>
    <x v="1364"/>
    <x v="6"/>
    <x v="3"/>
    <x v="2"/>
    <x v="0"/>
    <x v="11"/>
    <n v="3149"/>
    <x v="0"/>
    <n v="3149"/>
    <n v="30"/>
    <x v="35"/>
    <x v="0"/>
    <x v="0"/>
    <n v="1322.58"/>
    <n v="1826.42"/>
    <n v="0"/>
    <n v="0"/>
    <n v="0"/>
    <x v="1315"/>
  </r>
  <r>
    <x v="33"/>
    <x v="370"/>
    <x v="1365"/>
    <x v="7"/>
    <x v="0"/>
    <x v="0"/>
    <x v="3"/>
    <x v="6"/>
    <n v="4091"/>
    <x v="281"/>
    <n v="2110.9560000000001"/>
    <n v="32"/>
    <x v="3"/>
    <x v="0"/>
    <x v="0"/>
    <n v="886.60152000000005"/>
    <n v="1224.35448"/>
    <n v="0"/>
    <n v="0"/>
    <n v="0"/>
    <x v="1316"/>
  </r>
  <r>
    <x v="36"/>
    <x v="371"/>
    <x v="1366"/>
    <x v="5"/>
    <x v="3"/>
    <x v="2"/>
    <x v="3"/>
    <x v="10"/>
    <n v="3236"/>
    <x v="0"/>
    <n v="3236"/>
    <n v="19"/>
    <x v="2"/>
    <x v="1"/>
    <x v="3"/>
    <n v="1359.12"/>
    <n v="1876.88"/>
    <n v="150"/>
    <n v="323.60000000000002"/>
    <n v="3236"/>
    <x v="1317"/>
  </r>
  <r>
    <x v="15"/>
    <x v="371"/>
    <x v="1367"/>
    <x v="5"/>
    <x v="1"/>
    <x v="3"/>
    <x v="1"/>
    <x v="5"/>
    <n v="1322"/>
    <x v="0"/>
    <n v="1322"/>
    <n v="25"/>
    <x v="3"/>
    <x v="1"/>
    <x v="4"/>
    <n v="555.24"/>
    <n v="766.76"/>
    <n v="150"/>
    <n v="132.20000000000002"/>
    <n v="1322"/>
    <x v="1318"/>
  </r>
  <r>
    <x v="37"/>
    <x v="371"/>
    <x v="1368"/>
    <x v="4"/>
    <x v="3"/>
    <x v="3"/>
    <x v="0"/>
    <x v="4"/>
    <n v="3603"/>
    <x v="365"/>
    <n v="2695.0439999999999"/>
    <n v="21"/>
    <x v="36"/>
    <x v="0"/>
    <x v="0"/>
    <n v="1131.9184799999998"/>
    <n v="1563.1255200000001"/>
    <n v="0"/>
    <n v="0"/>
    <n v="0"/>
    <x v="1319"/>
  </r>
  <r>
    <x v="28"/>
    <x v="371"/>
    <x v="1369"/>
    <x v="3"/>
    <x v="3"/>
    <x v="0"/>
    <x v="3"/>
    <x v="11"/>
    <n v="3237"/>
    <x v="0"/>
    <n v="3237"/>
    <n v="11"/>
    <x v="3"/>
    <x v="0"/>
    <x v="0"/>
    <n v="1359.54"/>
    <n v="1877.46"/>
    <n v="0"/>
    <n v="0"/>
    <n v="0"/>
    <x v="1320"/>
  </r>
  <r>
    <x v="11"/>
    <x v="372"/>
    <x v="1370"/>
    <x v="5"/>
    <x v="4"/>
    <x v="2"/>
    <x v="6"/>
    <x v="8"/>
    <n v="2836"/>
    <x v="0"/>
    <n v="2836"/>
    <n v="29"/>
    <x v="26"/>
    <x v="0"/>
    <x v="0"/>
    <n v="1191.1199999999999"/>
    <n v="1644.88"/>
    <n v="0"/>
    <n v="0"/>
    <n v="0"/>
    <x v="1321"/>
  </r>
  <r>
    <x v="2"/>
    <x v="372"/>
    <x v="1371"/>
    <x v="1"/>
    <x v="2"/>
    <x v="3"/>
    <x v="2"/>
    <x v="1"/>
    <n v="339"/>
    <x v="233"/>
    <n v="219.333"/>
    <n v="12"/>
    <x v="27"/>
    <x v="0"/>
    <x v="0"/>
    <n v="92.119860000000003"/>
    <n v="127.21314"/>
    <n v="0"/>
    <n v="0"/>
    <n v="0"/>
    <x v="1322"/>
  </r>
  <r>
    <x v="28"/>
    <x v="372"/>
    <x v="1372"/>
    <x v="3"/>
    <x v="3"/>
    <x v="2"/>
    <x v="3"/>
    <x v="1"/>
    <n v="3586"/>
    <x v="0"/>
    <n v="3586"/>
    <n v="18"/>
    <x v="3"/>
    <x v="0"/>
    <x v="0"/>
    <n v="1506.12"/>
    <n v="2079.88"/>
    <n v="0"/>
    <n v="0"/>
    <n v="0"/>
    <x v="1323"/>
  </r>
  <r>
    <x v="41"/>
    <x v="372"/>
    <x v="1373"/>
    <x v="6"/>
    <x v="2"/>
    <x v="1"/>
    <x v="2"/>
    <x v="5"/>
    <n v="396"/>
    <x v="366"/>
    <n v="221.76000000000002"/>
    <n v="25"/>
    <x v="0"/>
    <x v="0"/>
    <x v="0"/>
    <n v="93.139200000000002"/>
    <n v="128.62080000000003"/>
    <n v="0"/>
    <n v="0"/>
    <n v="0"/>
    <x v="1324"/>
  </r>
  <r>
    <x v="41"/>
    <x v="373"/>
    <x v="1374"/>
    <x v="6"/>
    <x v="2"/>
    <x v="1"/>
    <x v="2"/>
    <x v="10"/>
    <n v="233"/>
    <x v="0"/>
    <n v="233"/>
    <n v="2"/>
    <x v="22"/>
    <x v="0"/>
    <x v="0"/>
    <n v="97.86"/>
    <n v="135.13999999999999"/>
    <n v="0"/>
    <n v="0"/>
    <n v="0"/>
    <x v="1325"/>
  </r>
  <r>
    <x v="28"/>
    <x v="373"/>
    <x v="1375"/>
    <x v="3"/>
    <x v="3"/>
    <x v="2"/>
    <x v="6"/>
    <x v="8"/>
    <n v="4447"/>
    <x v="322"/>
    <n v="1787.6940000000002"/>
    <n v="33"/>
    <x v="21"/>
    <x v="0"/>
    <x v="0"/>
    <n v="750.83148000000006"/>
    <n v="1036.8625200000001"/>
    <n v="0"/>
    <n v="0"/>
    <n v="0"/>
    <x v="1326"/>
  </r>
  <r>
    <x v="30"/>
    <x v="373"/>
    <x v="1376"/>
    <x v="7"/>
    <x v="4"/>
    <x v="3"/>
    <x v="0"/>
    <x v="2"/>
    <n v="2651"/>
    <x v="0"/>
    <n v="2651"/>
    <n v="29"/>
    <x v="12"/>
    <x v="0"/>
    <x v="0"/>
    <n v="1113.4199999999998"/>
    <n v="1537.5800000000002"/>
    <n v="0"/>
    <n v="0"/>
    <n v="0"/>
    <x v="1327"/>
  </r>
  <r>
    <x v="21"/>
    <x v="373"/>
    <x v="1377"/>
    <x v="1"/>
    <x v="4"/>
    <x v="1"/>
    <x v="1"/>
    <x v="7"/>
    <n v="2311"/>
    <x v="0"/>
    <n v="2311"/>
    <n v="27"/>
    <x v="3"/>
    <x v="0"/>
    <x v="0"/>
    <n v="970.62"/>
    <n v="1340.38"/>
    <n v="0"/>
    <n v="0"/>
    <n v="0"/>
    <x v="1328"/>
  </r>
  <r>
    <x v="41"/>
    <x v="374"/>
    <x v="1378"/>
    <x v="6"/>
    <x v="2"/>
    <x v="1"/>
    <x v="2"/>
    <x v="4"/>
    <n v="218"/>
    <x v="360"/>
    <n v="128.62"/>
    <n v="43"/>
    <x v="10"/>
    <x v="0"/>
    <x v="0"/>
    <n v="54.020400000000002"/>
    <n v="74.599600000000009"/>
    <n v="0"/>
    <n v="0"/>
    <n v="0"/>
    <x v="1329"/>
  </r>
  <r>
    <x v="18"/>
    <x v="374"/>
    <x v="1379"/>
    <x v="3"/>
    <x v="4"/>
    <x v="3"/>
    <x v="0"/>
    <x v="6"/>
    <n v="2409"/>
    <x v="80"/>
    <n v="1999.4699999999998"/>
    <n v="24"/>
    <x v="18"/>
    <x v="0"/>
    <x v="0"/>
    <n v="839.77739999999983"/>
    <n v="1159.6925999999999"/>
    <n v="0"/>
    <n v="0"/>
    <n v="0"/>
    <x v="1330"/>
  </r>
  <r>
    <x v="40"/>
    <x v="374"/>
    <x v="1380"/>
    <x v="5"/>
    <x v="0"/>
    <x v="0"/>
    <x v="5"/>
    <x v="8"/>
    <n v="3051"/>
    <x v="0"/>
    <n v="3051"/>
    <n v="37"/>
    <x v="32"/>
    <x v="0"/>
    <x v="0"/>
    <n v="1281.4199999999998"/>
    <n v="1769.5800000000002"/>
    <n v="0"/>
    <n v="0"/>
    <n v="0"/>
    <x v="1331"/>
  </r>
  <r>
    <x v="42"/>
    <x v="374"/>
    <x v="1381"/>
    <x v="0"/>
    <x v="5"/>
    <x v="3"/>
    <x v="3"/>
    <x v="8"/>
    <n v="2258"/>
    <x v="229"/>
    <n v="1065.7759999999998"/>
    <n v="22"/>
    <x v="3"/>
    <x v="0"/>
    <x v="0"/>
    <n v="447.62591999999989"/>
    <n v="618.15007999999989"/>
    <n v="0"/>
    <n v="0"/>
    <n v="0"/>
    <x v="1332"/>
  </r>
  <r>
    <x v="16"/>
    <x v="375"/>
    <x v="1382"/>
    <x v="3"/>
    <x v="0"/>
    <x v="2"/>
    <x v="3"/>
    <x v="7"/>
    <n v="3327"/>
    <x v="126"/>
    <n v="3297.0569999999998"/>
    <n v="11"/>
    <x v="15"/>
    <x v="0"/>
    <x v="0"/>
    <n v="1384.7639399999998"/>
    <n v="1912.29306"/>
    <n v="0"/>
    <n v="0"/>
    <n v="0"/>
    <x v="1333"/>
  </r>
  <r>
    <x v="19"/>
    <x v="375"/>
    <x v="1383"/>
    <x v="2"/>
    <x v="5"/>
    <x v="3"/>
    <x v="6"/>
    <x v="5"/>
    <n v="1843"/>
    <x v="0"/>
    <n v="1843"/>
    <n v="39"/>
    <x v="4"/>
    <x v="0"/>
    <x v="0"/>
    <n v="774.06"/>
    <n v="1068.94"/>
    <n v="0"/>
    <n v="0"/>
    <n v="0"/>
    <x v="1334"/>
  </r>
  <r>
    <x v="7"/>
    <x v="375"/>
    <x v="1384"/>
    <x v="3"/>
    <x v="5"/>
    <x v="2"/>
    <x v="5"/>
    <x v="11"/>
    <n v="2861"/>
    <x v="273"/>
    <n v="1802.43"/>
    <n v="25"/>
    <x v="3"/>
    <x v="0"/>
    <x v="0"/>
    <n v="757.02059999999994"/>
    <n v="1045.4094"/>
    <n v="0"/>
    <n v="0"/>
    <n v="0"/>
    <x v="1335"/>
  </r>
  <r>
    <x v="3"/>
    <x v="375"/>
    <x v="1385"/>
    <x v="1"/>
    <x v="3"/>
    <x v="1"/>
    <x v="3"/>
    <x v="5"/>
    <n v="3457"/>
    <x v="0"/>
    <n v="3457"/>
    <n v="14"/>
    <x v="40"/>
    <x v="0"/>
    <x v="0"/>
    <n v="1451.94"/>
    <n v="2005.06"/>
    <n v="0"/>
    <n v="0"/>
    <n v="0"/>
    <x v="1336"/>
  </r>
  <r>
    <x v="6"/>
    <x v="376"/>
    <x v="1386"/>
    <x v="0"/>
    <x v="4"/>
    <x v="3"/>
    <x v="3"/>
    <x v="11"/>
    <n v="2613"/>
    <x v="367"/>
    <n v="2492.8019999999997"/>
    <n v="19"/>
    <x v="36"/>
    <x v="0"/>
    <x v="0"/>
    <n v="1046.9768399999998"/>
    <n v="1445.8251599999999"/>
    <n v="0"/>
    <n v="0"/>
    <n v="0"/>
    <x v="1337"/>
  </r>
  <r>
    <x v="30"/>
    <x v="376"/>
    <x v="1387"/>
    <x v="7"/>
    <x v="4"/>
    <x v="1"/>
    <x v="1"/>
    <x v="11"/>
    <n v="2403"/>
    <x v="256"/>
    <n v="1343.2769999999998"/>
    <n v="6"/>
    <x v="23"/>
    <x v="0"/>
    <x v="0"/>
    <n v="564.17633999999987"/>
    <n v="779.10065999999995"/>
    <n v="0"/>
    <n v="0"/>
    <n v="0"/>
    <x v="1338"/>
  </r>
  <r>
    <x v="37"/>
    <x v="376"/>
    <x v="1388"/>
    <x v="4"/>
    <x v="3"/>
    <x v="0"/>
    <x v="6"/>
    <x v="6"/>
    <n v="4037"/>
    <x v="0"/>
    <n v="4037"/>
    <n v="41"/>
    <x v="21"/>
    <x v="1"/>
    <x v="3"/>
    <n v="1695.54"/>
    <n v="2341.46"/>
    <n v="150"/>
    <n v="403.70000000000005"/>
    <n v="4037"/>
    <x v="1339"/>
  </r>
  <r>
    <x v="4"/>
    <x v="376"/>
    <x v="1389"/>
    <x v="2"/>
    <x v="1"/>
    <x v="2"/>
    <x v="3"/>
    <x v="4"/>
    <n v="1450"/>
    <x v="0"/>
    <n v="1450"/>
    <n v="49"/>
    <x v="17"/>
    <x v="1"/>
    <x v="4"/>
    <n v="609"/>
    <n v="841"/>
    <n v="150"/>
    <n v="145"/>
    <n v="1450"/>
    <x v="1340"/>
  </r>
  <r>
    <x v="44"/>
    <x v="377"/>
    <x v="1390"/>
    <x v="6"/>
    <x v="5"/>
    <x v="1"/>
    <x v="4"/>
    <x v="6"/>
    <n v="2155"/>
    <x v="0"/>
    <n v="2155"/>
    <n v="35"/>
    <x v="25"/>
    <x v="0"/>
    <x v="0"/>
    <n v="905.1"/>
    <n v="1249.9000000000001"/>
    <n v="0"/>
    <n v="0"/>
    <n v="0"/>
    <x v="1341"/>
  </r>
  <r>
    <x v="40"/>
    <x v="377"/>
    <x v="1391"/>
    <x v="5"/>
    <x v="0"/>
    <x v="1"/>
    <x v="5"/>
    <x v="1"/>
    <n v="4426"/>
    <x v="0"/>
    <n v="4426"/>
    <n v="1"/>
    <x v="34"/>
    <x v="0"/>
    <x v="0"/>
    <n v="1858.9199999999998"/>
    <n v="2567.08"/>
    <n v="0"/>
    <n v="0"/>
    <n v="0"/>
    <x v="1342"/>
  </r>
  <r>
    <x v="25"/>
    <x v="377"/>
    <x v="1392"/>
    <x v="6"/>
    <x v="1"/>
    <x v="0"/>
    <x v="3"/>
    <x v="0"/>
    <n v="1540"/>
    <x v="0"/>
    <n v="1540"/>
    <n v="25"/>
    <x v="28"/>
    <x v="0"/>
    <x v="0"/>
    <n v="646.79999999999995"/>
    <n v="893.2"/>
    <n v="0"/>
    <n v="0"/>
    <n v="0"/>
    <x v="1343"/>
  </r>
  <r>
    <x v="22"/>
    <x v="377"/>
    <x v="1393"/>
    <x v="2"/>
    <x v="4"/>
    <x v="3"/>
    <x v="5"/>
    <x v="2"/>
    <n v="2403"/>
    <x v="0"/>
    <n v="2403"/>
    <n v="27"/>
    <x v="24"/>
    <x v="0"/>
    <x v="0"/>
    <n v="1009.26"/>
    <n v="1393.74"/>
    <n v="0"/>
    <n v="0"/>
    <n v="0"/>
    <x v="748"/>
  </r>
  <r>
    <x v="25"/>
    <x v="378"/>
    <x v="1394"/>
    <x v="6"/>
    <x v="1"/>
    <x v="3"/>
    <x v="0"/>
    <x v="5"/>
    <n v="1456"/>
    <x v="32"/>
    <n v="652.2879999999999"/>
    <n v="26"/>
    <x v="0"/>
    <x v="0"/>
    <x v="0"/>
    <n v="273.96095999999994"/>
    <n v="378.32703999999995"/>
    <n v="0"/>
    <n v="0"/>
    <n v="0"/>
    <x v="1344"/>
  </r>
  <r>
    <x v="14"/>
    <x v="378"/>
    <x v="1395"/>
    <x v="6"/>
    <x v="3"/>
    <x v="3"/>
    <x v="3"/>
    <x v="6"/>
    <n v="4233"/>
    <x v="242"/>
    <n v="1760.9280000000001"/>
    <n v="45"/>
    <x v="15"/>
    <x v="0"/>
    <x v="0"/>
    <n v="739.58976000000007"/>
    <n v="1021.33824"/>
    <n v="0"/>
    <n v="0"/>
    <n v="0"/>
    <x v="1345"/>
  </r>
  <r>
    <x v="36"/>
    <x v="378"/>
    <x v="1396"/>
    <x v="5"/>
    <x v="3"/>
    <x v="3"/>
    <x v="1"/>
    <x v="4"/>
    <n v="3684"/>
    <x v="55"/>
    <n v="1517.8080000000002"/>
    <n v="37"/>
    <x v="9"/>
    <x v="0"/>
    <x v="0"/>
    <n v="637.47936000000004"/>
    <n v="880.32864000000018"/>
    <n v="0"/>
    <n v="0"/>
    <n v="0"/>
    <x v="1346"/>
  </r>
  <r>
    <x v="45"/>
    <x v="379"/>
    <x v="1397"/>
    <x v="7"/>
    <x v="3"/>
    <x v="1"/>
    <x v="5"/>
    <x v="7"/>
    <n v="3360"/>
    <x v="0"/>
    <n v="3360"/>
    <n v="47"/>
    <x v="11"/>
    <x v="0"/>
    <x v="0"/>
    <n v="1411.2"/>
    <n v="1948.8"/>
    <n v="0"/>
    <n v="0"/>
    <n v="0"/>
    <x v="1161"/>
  </r>
  <r>
    <x v="15"/>
    <x v="379"/>
    <x v="1398"/>
    <x v="5"/>
    <x v="1"/>
    <x v="3"/>
    <x v="6"/>
    <x v="11"/>
    <n v="1749"/>
    <x v="0"/>
    <n v="1749"/>
    <n v="25"/>
    <x v="36"/>
    <x v="0"/>
    <x v="0"/>
    <n v="734.57999999999993"/>
    <n v="1014.4200000000001"/>
    <n v="0"/>
    <n v="0"/>
    <n v="0"/>
    <x v="1347"/>
  </r>
  <r>
    <x v="0"/>
    <x v="379"/>
    <x v="1399"/>
    <x v="0"/>
    <x v="0"/>
    <x v="1"/>
    <x v="6"/>
    <x v="7"/>
    <n v="4348"/>
    <x v="0"/>
    <n v="4348"/>
    <n v="45"/>
    <x v="19"/>
    <x v="1"/>
    <x v="7"/>
    <n v="1826.1599999999999"/>
    <n v="2521.84"/>
    <n v="150"/>
    <n v="434.8"/>
    <n v="4348"/>
    <x v="1348"/>
  </r>
  <r>
    <x v="46"/>
    <x v="379"/>
    <x v="1400"/>
    <x v="2"/>
    <x v="3"/>
    <x v="0"/>
    <x v="6"/>
    <x v="5"/>
    <n v="3745"/>
    <x v="0"/>
    <n v="3745"/>
    <n v="24"/>
    <x v="20"/>
    <x v="1"/>
    <x v="4"/>
    <n v="1572.8999999999999"/>
    <n v="2172.1000000000004"/>
    <n v="150"/>
    <n v="374.5"/>
    <n v="3745"/>
    <x v="1349"/>
  </r>
  <r>
    <x v="4"/>
    <x v="380"/>
    <x v="1401"/>
    <x v="2"/>
    <x v="1"/>
    <x v="2"/>
    <x v="4"/>
    <x v="11"/>
    <n v="1146"/>
    <x v="0"/>
    <n v="1146"/>
    <n v="46"/>
    <x v="26"/>
    <x v="0"/>
    <x v="0"/>
    <n v="481.32"/>
    <n v="664.68000000000006"/>
    <n v="0"/>
    <n v="0"/>
    <n v="0"/>
    <x v="1350"/>
  </r>
  <r>
    <x v="35"/>
    <x v="380"/>
    <x v="1402"/>
    <x v="4"/>
    <x v="1"/>
    <x v="3"/>
    <x v="1"/>
    <x v="9"/>
    <n v="948"/>
    <x v="0"/>
    <n v="948"/>
    <n v="17"/>
    <x v="5"/>
    <x v="0"/>
    <x v="0"/>
    <n v="398.15999999999997"/>
    <n v="549.84"/>
    <n v="0"/>
    <n v="0"/>
    <n v="0"/>
    <x v="658"/>
  </r>
  <r>
    <x v="35"/>
    <x v="380"/>
    <x v="1403"/>
    <x v="4"/>
    <x v="1"/>
    <x v="0"/>
    <x v="3"/>
    <x v="6"/>
    <n v="1563"/>
    <x v="368"/>
    <n v="881.53200000000004"/>
    <n v="21"/>
    <x v="6"/>
    <x v="0"/>
    <x v="0"/>
    <n v="370.24344000000002"/>
    <n v="511.28856000000002"/>
    <n v="0"/>
    <n v="0"/>
    <n v="0"/>
    <x v="1351"/>
  </r>
  <r>
    <x v="5"/>
    <x v="380"/>
    <x v="1404"/>
    <x v="0"/>
    <x v="2"/>
    <x v="2"/>
    <x v="2"/>
    <x v="6"/>
    <n v="166"/>
    <x v="0"/>
    <n v="166"/>
    <n v="22"/>
    <x v="15"/>
    <x v="0"/>
    <x v="0"/>
    <n v="69.72"/>
    <n v="96.28"/>
    <n v="0"/>
    <n v="0"/>
    <n v="0"/>
    <x v="328"/>
  </r>
  <r>
    <x v="28"/>
    <x v="380"/>
    <x v="1405"/>
    <x v="3"/>
    <x v="3"/>
    <x v="3"/>
    <x v="2"/>
    <x v="1"/>
    <n v="3699"/>
    <x v="0"/>
    <n v="3699"/>
    <n v="14"/>
    <x v="3"/>
    <x v="0"/>
    <x v="0"/>
    <n v="1553.58"/>
    <n v="2145.42"/>
    <n v="0"/>
    <n v="0"/>
    <n v="0"/>
    <x v="1352"/>
  </r>
  <r>
    <x v="47"/>
    <x v="381"/>
    <x v="1406"/>
    <x v="4"/>
    <x v="2"/>
    <x v="0"/>
    <x v="2"/>
    <x v="6"/>
    <n v="261"/>
    <x v="0"/>
    <n v="261"/>
    <n v="28"/>
    <x v="36"/>
    <x v="0"/>
    <x v="0"/>
    <n v="109.61999999999999"/>
    <n v="151.38"/>
    <n v="0"/>
    <n v="0"/>
    <n v="0"/>
    <x v="601"/>
  </r>
  <r>
    <x v="10"/>
    <x v="381"/>
    <x v="1407"/>
    <x v="3"/>
    <x v="1"/>
    <x v="2"/>
    <x v="1"/>
    <x v="7"/>
    <n v="1669"/>
    <x v="0"/>
    <n v="1669"/>
    <n v="26"/>
    <x v="3"/>
    <x v="0"/>
    <x v="0"/>
    <n v="700.98"/>
    <n v="968.02"/>
    <n v="0"/>
    <n v="0"/>
    <n v="0"/>
    <x v="1353"/>
  </r>
  <r>
    <x v="24"/>
    <x v="381"/>
    <x v="1408"/>
    <x v="5"/>
    <x v="5"/>
    <x v="0"/>
    <x v="1"/>
    <x v="4"/>
    <n v="2532"/>
    <x v="128"/>
    <n v="1792.6559999999999"/>
    <n v="25"/>
    <x v="15"/>
    <x v="0"/>
    <x v="0"/>
    <n v="752.9155199999999"/>
    <n v="1039.7404799999999"/>
    <n v="0"/>
    <n v="0"/>
    <n v="0"/>
    <x v="1354"/>
  </r>
  <r>
    <x v="28"/>
    <x v="382"/>
    <x v="1409"/>
    <x v="3"/>
    <x v="3"/>
    <x v="2"/>
    <x v="3"/>
    <x v="3"/>
    <n v="3425"/>
    <x v="0"/>
    <n v="3425"/>
    <n v="2"/>
    <x v="32"/>
    <x v="1"/>
    <x v="3"/>
    <n v="1438.5"/>
    <n v="1986.5"/>
    <n v="150"/>
    <n v="342.5"/>
    <n v="3425"/>
    <x v="872"/>
  </r>
  <r>
    <x v="7"/>
    <x v="382"/>
    <x v="1410"/>
    <x v="3"/>
    <x v="5"/>
    <x v="1"/>
    <x v="6"/>
    <x v="8"/>
    <n v="2431"/>
    <x v="369"/>
    <n v="2071.212"/>
    <n v="21"/>
    <x v="3"/>
    <x v="0"/>
    <x v="0"/>
    <n v="869.90904"/>
    <n v="1201.30296"/>
    <n v="0"/>
    <n v="0"/>
    <n v="0"/>
    <x v="1355"/>
  </r>
  <r>
    <x v="18"/>
    <x v="382"/>
    <x v="1411"/>
    <x v="3"/>
    <x v="4"/>
    <x v="2"/>
    <x v="0"/>
    <x v="1"/>
    <n v="2453"/>
    <x v="331"/>
    <n v="1940.3230000000001"/>
    <n v="6"/>
    <x v="29"/>
    <x v="1"/>
    <x v="5"/>
    <n v="814.93565999999998"/>
    <n v="1125.3873400000002"/>
    <n v="150"/>
    <n v="194.03230000000002"/>
    <n v="1940.3230000000001"/>
    <x v="1356"/>
  </r>
  <r>
    <x v="35"/>
    <x v="382"/>
    <x v="1412"/>
    <x v="4"/>
    <x v="1"/>
    <x v="0"/>
    <x v="1"/>
    <x v="6"/>
    <n v="998"/>
    <x v="0"/>
    <n v="998"/>
    <n v="14"/>
    <x v="40"/>
    <x v="1"/>
    <x v="3"/>
    <n v="419.15999999999997"/>
    <n v="578.84"/>
    <n v="150"/>
    <n v="99.800000000000011"/>
    <n v="998"/>
    <x v="1357"/>
  </r>
  <r>
    <x v="27"/>
    <x v="383"/>
    <x v="1413"/>
    <x v="7"/>
    <x v="2"/>
    <x v="1"/>
    <x v="2"/>
    <x v="2"/>
    <n v="470"/>
    <x v="0"/>
    <n v="470"/>
    <n v="28"/>
    <x v="3"/>
    <x v="0"/>
    <x v="0"/>
    <n v="197.4"/>
    <n v="272.60000000000002"/>
    <n v="0"/>
    <n v="0"/>
    <n v="0"/>
    <x v="1358"/>
  </r>
  <r>
    <x v="8"/>
    <x v="383"/>
    <x v="1414"/>
    <x v="1"/>
    <x v="0"/>
    <x v="0"/>
    <x v="6"/>
    <x v="2"/>
    <n v="3499"/>
    <x v="0"/>
    <n v="3499"/>
    <n v="17"/>
    <x v="9"/>
    <x v="0"/>
    <x v="0"/>
    <n v="1469.58"/>
    <n v="2029.42"/>
    <n v="0"/>
    <n v="0"/>
    <n v="0"/>
    <x v="1359"/>
  </r>
  <r>
    <x v="6"/>
    <x v="383"/>
    <x v="1415"/>
    <x v="0"/>
    <x v="4"/>
    <x v="2"/>
    <x v="3"/>
    <x v="4"/>
    <n v="2679"/>
    <x v="64"/>
    <n v="1591.326"/>
    <n v="9"/>
    <x v="33"/>
    <x v="0"/>
    <x v="0"/>
    <n v="668.35691999999995"/>
    <n v="922.96908000000008"/>
    <n v="0"/>
    <n v="0"/>
    <n v="0"/>
    <x v="1360"/>
  </r>
  <r>
    <x v="33"/>
    <x v="383"/>
    <x v="1416"/>
    <x v="7"/>
    <x v="0"/>
    <x v="3"/>
    <x v="0"/>
    <x v="8"/>
    <n v="3238"/>
    <x v="0"/>
    <n v="3238"/>
    <n v="33"/>
    <x v="39"/>
    <x v="0"/>
    <x v="0"/>
    <n v="1359.96"/>
    <n v="1878.04"/>
    <n v="0"/>
    <n v="0"/>
    <n v="0"/>
    <x v="1361"/>
  </r>
  <r>
    <x v="5"/>
    <x v="384"/>
    <x v="1417"/>
    <x v="0"/>
    <x v="2"/>
    <x v="0"/>
    <x v="2"/>
    <x v="11"/>
    <n v="159"/>
    <x v="370"/>
    <n v="156.13800000000001"/>
    <n v="4"/>
    <x v="29"/>
    <x v="0"/>
    <x v="0"/>
    <n v="65.577960000000004"/>
    <n v="90.560040000000001"/>
    <n v="0"/>
    <n v="0"/>
    <n v="0"/>
    <x v="1362"/>
  </r>
  <r>
    <x v="21"/>
    <x v="384"/>
    <x v="1418"/>
    <x v="1"/>
    <x v="4"/>
    <x v="2"/>
    <x v="6"/>
    <x v="4"/>
    <n v="2881"/>
    <x v="0"/>
    <n v="2881"/>
    <n v="33"/>
    <x v="3"/>
    <x v="1"/>
    <x v="4"/>
    <n v="1210.02"/>
    <n v="1670.98"/>
    <n v="150"/>
    <n v="288.10000000000002"/>
    <n v="2881"/>
    <x v="1363"/>
  </r>
  <r>
    <x v="38"/>
    <x v="384"/>
    <x v="1419"/>
    <x v="0"/>
    <x v="1"/>
    <x v="0"/>
    <x v="0"/>
    <x v="5"/>
    <n v="1443"/>
    <x v="0"/>
    <n v="1443"/>
    <n v="40"/>
    <x v="35"/>
    <x v="0"/>
    <x v="0"/>
    <n v="606.05999999999995"/>
    <n v="836.94"/>
    <n v="0"/>
    <n v="0"/>
    <n v="0"/>
    <x v="1364"/>
  </r>
  <r>
    <x v="44"/>
    <x v="384"/>
    <x v="1420"/>
    <x v="6"/>
    <x v="5"/>
    <x v="2"/>
    <x v="6"/>
    <x v="9"/>
    <n v="2800"/>
    <x v="0"/>
    <n v="2800"/>
    <n v="2"/>
    <x v="3"/>
    <x v="0"/>
    <x v="0"/>
    <n v="1176"/>
    <n v="1624"/>
    <n v="0"/>
    <n v="0"/>
    <n v="0"/>
    <x v="1365"/>
  </r>
  <r>
    <x v="27"/>
    <x v="385"/>
    <x v="1421"/>
    <x v="7"/>
    <x v="2"/>
    <x v="2"/>
    <x v="2"/>
    <x v="2"/>
    <n v="315"/>
    <x v="0"/>
    <n v="315"/>
    <n v="42"/>
    <x v="3"/>
    <x v="0"/>
    <x v="0"/>
    <n v="132.29999999999998"/>
    <n v="182.70000000000002"/>
    <n v="0"/>
    <n v="0"/>
    <n v="0"/>
    <x v="1156"/>
  </r>
  <r>
    <x v="21"/>
    <x v="385"/>
    <x v="1422"/>
    <x v="1"/>
    <x v="4"/>
    <x v="2"/>
    <x v="5"/>
    <x v="10"/>
    <n v="2078"/>
    <x v="0"/>
    <n v="2078"/>
    <n v="9"/>
    <x v="37"/>
    <x v="1"/>
    <x v="3"/>
    <n v="872.76"/>
    <n v="1205.24"/>
    <n v="150"/>
    <n v="207.8"/>
    <n v="2078"/>
    <x v="1366"/>
  </r>
  <r>
    <x v="3"/>
    <x v="385"/>
    <x v="1423"/>
    <x v="1"/>
    <x v="3"/>
    <x v="2"/>
    <x v="0"/>
    <x v="4"/>
    <n v="3101"/>
    <x v="371"/>
    <n v="2300.942"/>
    <n v="17"/>
    <x v="37"/>
    <x v="0"/>
    <x v="0"/>
    <n v="966.39563999999996"/>
    <n v="1334.54636"/>
    <n v="0"/>
    <n v="0"/>
    <n v="0"/>
    <x v="1367"/>
  </r>
  <r>
    <x v="15"/>
    <x v="385"/>
    <x v="1424"/>
    <x v="5"/>
    <x v="1"/>
    <x v="0"/>
    <x v="0"/>
    <x v="5"/>
    <n v="961"/>
    <x v="0"/>
    <n v="961"/>
    <n v="39"/>
    <x v="17"/>
    <x v="0"/>
    <x v="0"/>
    <n v="403.62"/>
    <n v="557.38"/>
    <n v="0"/>
    <n v="0"/>
    <n v="0"/>
    <x v="212"/>
  </r>
  <r>
    <x v="28"/>
    <x v="385"/>
    <x v="1425"/>
    <x v="3"/>
    <x v="3"/>
    <x v="1"/>
    <x v="1"/>
    <x v="10"/>
    <n v="3353"/>
    <x v="0"/>
    <n v="3353"/>
    <n v="32"/>
    <x v="26"/>
    <x v="0"/>
    <x v="0"/>
    <n v="1408.26"/>
    <n v="1944.74"/>
    <n v="0"/>
    <n v="0"/>
    <n v="0"/>
    <x v="1368"/>
  </r>
  <r>
    <x v="18"/>
    <x v="386"/>
    <x v="1426"/>
    <x v="3"/>
    <x v="4"/>
    <x v="1"/>
    <x v="3"/>
    <x v="6"/>
    <n v="2685"/>
    <x v="334"/>
    <n v="1159.92"/>
    <n v="15"/>
    <x v="21"/>
    <x v="1"/>
    <x v="3"/>
    <n v="487.16640000000001"/>
    <n v="672.75360000000001"/>
    <n v="150"/>
    <n v="115.99200000000002"/>
    <n v="1159.92"/>
    <x v="1369"/>
  </r>
  <r>
    <x v="38"/>
    <x v="386"/>
    <x v="1427"/>
    <x v="0"/>
    <x v="1"/>
    <x v="3"/>
    <x v="0"/>
    <x v="1"/>
    <n v="1152"/>
    <x v="122"/>
    <n v="1024.1279999999999"/>
    <n v="39"/>
    <x v="15"/>
    <x v="0"/>
    <x v="0"/>
    <n v="430.13375999999994"/>
    <n v="593.99423999999999"/>
    <n v="0"/>
    <n v="0"/>
    <n v="0"/>
    <x v="1370"/>
  </r>
  <r>
    <x v="47"/>
    <x v="386"/>
    <x v="1428"/>
    <x v="4"/>
    <x v="2"/>
    <x v="0"/>
    <x v="2"/>
    <x v="5"/>
    <n v="216"/>
    <x v="199"/>
    <n v="128.73600000000002"/>
    <n v="20"/>
    <x v="20"/>
    <x v="1"/>
    <x v="5"/>
    <n v="54.069120000000005"/>
    <n v="74.66688000000002"/>
    <n v="150"/>
    <n v="12.873600000000003"/>
    <n v="128.73600000000002"/>
    <x v="1371"/>
  </r>
  <r>
    <x v="10"/>
    <x v="387"/>
    <x v="1429"/>
    <x v="3"/>
    <x v="1"/>
    <x v="0"/>
    <x v="0"/>
    <x v="11"/>
    <n v="1099"/>
    <x v="0"/>
    <n v="1099"/>
    <n v="8"/>
    <x v="11"/>
    <x v="0"/>
    <x v="0"/>
    <n v="461.58"/>
    <n v="637.42000000000007"/>
    <n v="0"/>
    <n v="0"/>
    <n v="0"/>
    <x v="1372"/>
  </r>
  <r>
    <x v="7"/>
    <x v="387"/>
    <x v="1430"/>
    <x v="3"/>
    <x v="5"/>
    <x v="1"/>
    <x v="6"/>
    <x v="9"/>
    <n v="1979"/>
    <x v="0"/>
    <n v="1979"/>
    <n v="1"/>
    <x v="2"/>
    <x v="0"/>
    <x v="0"/>
    <n v="831.18"/>
    <n v="1147.8200000000002"/>
    <n v="0"/>
    <n v="0"/>
    <n v="0"/>
    <x v="1373"/>
  </r>
  <r>
    <x v="13"/>
    <x v="387"/>
    <x v="1431"/>
    <x v="3"/>
    <x v="2"/>
    <x v="3"/>
    <x v="2"/>
    <x v="10"/>
    <n v="256"/>
    <x v="0"/>
    <n v="256"/>
    <n v="35"/>
    <x v="41"/>
    <x v="1"/>
    <x v="4"/>
    <n v="107.52"/>
    <n v="148.48000000000002"/>
    <n v="150"/>
    <n v="25.6"/>
    <n v="256"/>
    <x v="1374"/>
  </r>
  <r>
    <x v="15"/>
    <x v="387"/>
    <x v="1432"/>
    <x v="5"/>
    <x v="1"/>
    <x v="2"/>
    <x v="5"/>
    <x v="0"/>
    <n v="1322"/>
    <x v="0"/>
    <n v="1322"/>
    <n v="5"/>
    <x v="29"/>
    <x v="0"/>
    <x v="0"/>
    <n v="555.24"/>
    <n v="766.76"/>
    <n v="0"/>
    <n v="0"/>
    <n v="0"/>
    <x v="1375"/>
  </r>
  <r>
    <x v="37"/>
    <x v="388"/>
    <x v="1433"/>
    <x v="4"/>
    <x v="3"/>
    <x v="3"/>
    <x v="5"/>
    <x v="7"/>
    <n v="4063"/>
    <x v="83"/>
    <n v="3705.4560000000001"/>
    <n v="1"/>
    <x v="7"/>
    <x v="1"/>
    <x v="7"/>
    <n v="1556.29152"/>
    <n v="2149.1644800000004"/>
    <n v="150"/>
    <n v="370.54560000000004"/>
    <n v="3705.4560000000001"/>
    <x v="1376"/>
  </r>
  <r>
    <x v="24"/>
    <x v="388"/>
    <x v="1434"/>
    <x v="5"/>
    <x v="5"/>
    <x v="1"/>
    <x v="1"/>
    <x v="0"/>
    <n v="1842"/>
    <x v="0"/>
    <n v="1842"/>
    <n v="45"/>
    <x v="20"/>
    <x v="0"/>
    <x v="0"/>
    <n v="773.64"/>
    <n v="1068.3600000000001"/>
    <n v="0"/>
    <n v="0"/>
    <n v="0"/>
    <x v="1377"/>
  </r>
  <r>
    <x v="28"/>
    <x v="388"/>
    <x v="1435"/>
    <x v="3"/>
    <x v="3"/>
    <x v="2"/>
    <x v="0"/>
    <x v="1"/>
    <n v="4459"/>
    <x v="0"/>
    <n v="4459"/>
    <n v="1"/>
    <x v="10"/>
    <x v="0"/>
    <x v="0"/>
    <n v="1872.78"/>
    <n v="2586.2200000000003"/>
    <n v="0"/>
    <n v="0"/>
    <n v="0"/>
    <x v="1378"/>
  </r>
  <r>
    <x v="19"/>
    <x v="388"/>
    <x v="1436"/>
    <x v="2"/>
    <x v="5"/>
    <x v="0"/>
    <x v="0"/>
    <x v="5"/>
    <n v="2652"/>
    <x v="0"/>
    <n v="2652"/>
    <n v="20"/>
    <x v="37"/>
    <x v="0"/>
    <x v="0"/>
    <n v="1113.8399999999999"/>
    <n v="1538.16"/>
    <n v="0"/>
    <n v="0"/>
    <n v="0"/>
    <x v="1379"/>
  </r>
  <r>
    <x v="20"/>
    <x v="389"/>
    <x v="1437"/>
    <x v="7"/>
    <x v="1"/>
    <x v="0"/>
    <x v="5"/>
    <x v="9"/>
    <n v="1504"/>
    <x v="0"/>
    <n v="1504"/>
    <n v="7"/>
    <x v="14"/>
    <x v="0"/>
    <x v="0"/>
    <n v="631.67999999999995"/>
    <n v="872.32"/>
    <n v="0"/>
    <n v="0"/>
    <n v="0"/>
    <x v="1380"/>
  </r>
  <r>
    <x v="1"/>
    <x v="389"/>
    <x v="1438"/>
    <x v="1"/>
    <x v="1"/>
    <x v="0"/>
    <x v="5"/>
    <x v="5"/>
    <n v="959"/>
    <x v="0"/>
    <n v="959"/>
    <n v="9"/>
    <x v="1"/>
    <x v="0"/>
    <x v="0"/>
    <n v="402.78"/>
    <n v="556.22"/>
    <n v="0"/>
    <n v="0"/>
    <n v="0"/>
    <x v="44"/>
  </r>
  <r>
    <x v="41"/>
    <x v="389"/>
    <x v="1439"/>
    <x v="6"/>
    <x v="2"/>
    <x v="3"/>
    <x v="2"/>
    <x v="4"/>
    <n v="251"/>
    <x v="372"/>
    <n v="125.751"/>
    <n v="26"/>
    <x v="21"/>
    <x v="0"/>
    <x v="0"/>
    <n v="52.815420000000003"/>
    <n v="72.935580000000002"/>
    <n v="0"/>
    <n v="0"/>
    <n v="0"/>
    <x v="1381"/>
  </r>
  <r>
    <x v="22"/>
    <x v="390"/>
    <x v="1440"/>
    <x v="2"/>
    <x v="4"/>
    <x v="2"/>
    <x v="0"/>
    <x v="0"/>
    <n v="2934"/>
    <x v="0"/>
    <n v="2934"/>
    <n v="11"/>
    <x v="10"/>
    <x v="0"/>
    <x v="0"/>
    <n v="1232.28"/>
    <n v="1701.72"/>
    <n v="0"/>
    <n v="0"/>
    <n v="0"/>
    <x v="1382"/>
  </r>
  <r>
    <x v="9"/>
    <x v="390"/>
    <x v="1441"/>
    <x v="4"/>
    <x v="0"/>
    <x v="3"/>
    <x v="2"/>
    <x v="2"/>
    <n v="3868"/>
    <x v="0"/>
    <n v="3868"/>
    <n v="29"/>
    <x v="31"/>
    <x v="0"/>
    <x v="0"/>
    <n v="1624.56"/>
    <n v="2243.44"/>
    <n v="0"/>
    <n v="0"/>
    <n v="0"/>
    <x v="1383"/>
  </r>
  <r>
    <x v="40"/>
    <x v="390"/>
    <x v="1442"/>
    <x v="5"/>
    <x v="0"/>
    <x v="0"/>
    <x v="2"/>
    <x v="7"/>
    <n v="3818"/>
    <x v="14"/>
    <n v="3275.8440000000001"/>
    <n v="29"/>
    <x v="3"/>
    <x v="0"/>
    <x v="0"/>
    <n v="1375.85448"/>
    <n v="1899.9895200000001"/>
    <n v="0"/>
    <n v="0"/>
    <n v="0"/>
    <x v="1384"/>
  </r>
  <r>
    <x v="25"/>
    <x v="390"/>
    <x v="1443"/>
    <x v="6"/>
    <x v="1"/>
    <x v="3"/>
    <x v="4"/>
    <x v="1"/>
    <n v="1153"/>
    <x v="0"/>
    <n v="1153"/>
    <n v="24"/>
    <x v="23"/>
    <x v="0"/>
    <x v="0"/>
    <n v="484.26"/>
    <n v="668.74"/>
    <n v="0"/>
    <n v="0"/>
    <n v="0"/>
    <x v="1385"/>
  </r>
  <r>
    <x v="2"/>
    <x v="391"/>
    <x v="1444"/>
    <x v="1"/>
    <x v="2"/>
    <x v="2"/>
    <x v="2"/>
    <x v="2"/>
    <n v="260"/>
    <x v="0"/>
    <n v="260"/>
    <n v="0"/>
    <x v="36"/>
    <x v="0"/>
    <x v="0"/>
    <n v="109.2"/>
    <n v="150.80000000000001"/>
    <n v="0"/>
    <n v="0"/>
    <n v="0"/>
    <x v="853"/>
  </r>
  <r>
    <x v="0"/>
    <x v="391"/>
    <x v="1445"/>
    <x v="0"/>
    <x v="0"/>
    <x v="0"/>
    <x v="3"/>
    <x v="11"/>
    <n v="4439"/>
    <x v="373"/>
    <n v="3777.5889999999999"/>
    <n v="35"/>
    <x v="11"/>
    <x v="1"/>
    <x v="7"/>
    <n v="1586.5873799999999"/>
    <n v="2191.00162"/>
    <n v="150"/>
    <n v="377.75890000000004"/>
    <n v="3777.5889999999999"/>
    <x v="1386"/>
  </r>
  <r>
    <x v="22"/>
    <x v="391"/>
    <x v="1446"/>
    <x v="2"/>
    <x v="4"/>
    <x v="2"/>
    <x v="5"/>
    <x v="0"/>
    <n v="2251"/>
    <x v="0"/>
    <n v="2251"/>
    <n v="6"/>
    <x v="33"/>
    <x v="0"/>
    <x v="0"/>
    <n v="945.42"/>
    <n v="1305.58"/>
    <n v="0"/>
    <n v="0"/>
    <n v="0"/>
    <x v="1387"/>
  </r>
  <r>
    <x v="0"/>
    <x v="391"/>
    <x v="1447"/>
    <x v="0"/>
    <x v="0"/>
    <x v="2"/>
    <x v="2"/>
    <x v="8"/>
    <n v="3804"/>
    <x v="374"/>
    <n v="2643.78"/>
    <n v="10"/>
    <x v="3"/>
    <x v="0"/>
    <x v="0"/>
    <n v="1110.3876"/>
    <n v="1533.3924000000002"/>
    <n v="0"/>
    <n v="0"/>
    <n v="0"/>
    <x v="1388"/>
  </r>
  <r>
    <x v="13"/>
    <x v="392"/>
    <x v="1448"/>
    <x v="3"/>
    <x v="2"/>
    <x v="1"/>
    <x v="2"/>
    <x v="10"/>
    <n v="377"/>
    <x v="0"/>
    <n v="377"/>
    <n v="22"/>
    <x v="31"/>
    <x v="1"/>
    <x v="3"/>
    <n v="158.34"/>
    <n v="218.66"/>
    <n v="150"/>
    <n v="37.700000000000003"/>
    <n v="377"/>
    <x v="1389"/>
  </r>
  <r>
    <x v="32"/>
    <x v="392"/>
    <x v="1449"/>
    <x v="4"/>
    <x v="4"/>
    <x v="3"/>
    <x v="5"/>
    <x v="9"/>
    <n v="2157"/>
    <x v="0"/>
    <n v="2157"/>
    <n v="9"/>
    <x v="3"/>
    <x v="0"/>
    <x v="0"/>
    <n v="905.93999999999994"/>
    <n v="1251.06"/>
    <n v="0"/>
    <n v="0"/>
    <n v="0"/>
    <x v="1390"/>
  </r>
  <r>
    <x v="29"/>
    <x v="392"/>
    <x v="1450"/>
    <x v="5"/>
    <x v="2"/>
    <x v="0"/>
    <x v="2"/>
    <x v="2"/>
    <n v="371"/>
    <x v="375"/>
    <n v="347.99799999999999"/>
    <n v="26"/>
    <x v="12"/>
    <x v="0"/>
    <x v="0"/>
    <n v="146.15915999999999"/>
    <n v="201.83884"/>
    <n v="0"/>
    <n v="0"/>
    <n v="0"/>
    <x v="1391"/>
  </r>
  <r>
    <x v="28"/>
    <x v="393"/>
    <x v="1451"/>
    <x v="3"/>
    <x v="3"/>
    <x v="3"/>
    <x v="4"/>
    <x v="2"/>
    <n v="3995"/>
    <x v="0"/>
    <n v="3995"/>
    <n v="39"/>
    <x v="4"/>
    <x v="0"/>
    <x v="0"/>
    <n v="1677.8999999999999"/>
    <n v="2317.1000000000004"/>
    <n v="0"/>
    <n v="0"/>
    <n v="0"/>
    <x v="153"/>
  </r>
  <r>
    <x v="15"/>
    <x v="393"/>
    <x v="1452"/>
    <x v="5"/>
    <x v="1"/>
    <x v="2"/>
    <x v="0"/>
    <x v="10"/>
    <n v="1550"/>
    <x v="0"/>
    <n v="1550"/>
    <n v="50"/>
    <x v="1"/>
    <x v="0"/>
    <x v="0"/>
    <n v="651"/>
    <n v="899"/>
    <n v="0"/>
    <n v="0"/>
    <n v="0"/>
    <x v="1392"/>
  </r>
  <r>
    <x v="37"/>
    <x v="393"/>
    <x v="1453"/>
    <x v="4"/>
    <x v="3"/>
    <x v="2"/>
    <x v="3"/>
    <x v="3"/>
    <n v="4247"/>
    <x v="376"/>
    <n v="4191.7889999999998"/>
    <n v="39"/>
    <x v="13"/>
    <x v="0"/>
    <x v="0"/>
    <n v="1760.5513799999999"/>
    <n v="2431.2376199999999"/>
    <n v="0"/>
    <n v="0"/>
    <n v="0"/>
    <x v="1393"/>
  </r>
  <r>
    <x v="2"/>
    <x v="393"/>
    <x v="1454"/>
    <x v="1"/>
    <x v="2"/>
    <x v="0"/>
    <x v="2"/>
    <x v="10"/>
    <n v="487"/>
    <x v="0"/>
    <n v="487"/>
    <n v="19"/>
    <x v="4"/>
    <x v="1"/>
    <x v="4"/>
    <n v="204.54"/>
    <n v="282.46000000000004"/>
    <n v="150"/>
    <n v="48.7"/>
    <n v="487"/>
    <x v="1394"/>
  </r>
  <r>
    <x v="15"/>
    <x v="394"/>
    <x v="1455"/>
    <x v="5"/>
    <x v="1"/>
    <x v="1"/>
    <x v="4"/>
    <x v="8"/>
    <n v="992"/>
    <x v="0"/>
    <n v="992"/>
    <n v="47"/>
    <x v="29"/>
    <x v="0"/>
    <x v="0"/>
    <n v="416.64"/>
    <n v="575.36"/>
    <n v="0"/>
    <n v="0"/>
    <n v="0"/>
    <x v="1395"/>
  </r>
  <r>
    <x v="41"/>
    <x v="394"/>
    <x v="1456"/>
    <x v="6"/>
    <x v="2"/>
    <x v="0"/>
    <x v="2"/>
    <x v="6"/>
    <n v="442"/>
    <x v="0"/>
    <n v="442"/>
    <n v="36"/>
    <x v="14"/>
    <x v="1"/>
    <x v="4"/>
    <n v="185.64"/>
    <n v="256.36"/>
    <n v="150"/>
    <n v="44.2"/>
    <n v="442"/>
    <x v="1396"/>
  </r>
  <r>
    <x v="26"/>
    <x v="394"/>
    <x v="1457"/>
    <x v="0"/>
    <x v="3"/>
    <x v="0"/>
    <x v="5"/>
    <x v="7"/>
    <n v="4208"/>
    <x v="377"/>
    <n v="2381.7280000000001"/>
    <n v="42"/>
    <x v="1"/>
    <x v="0"/>
    <x v="0"/>
    <n v="1000.3257599999999"/>
    <n v="1381.4022400000001"/>
    <n v="0"/>
    <n v="0"/>
    <n v="0"/>
    <x v="1397"/>
  </r>
  <r>
    <x v="35"/>
    <x v="394"/>
    <x v="1458"/>
    <x v="4"/>
    <x v="1"/>
    <x v="3"/>
    <x v="1"/>
    <x v="2"/>
    <n v="1308"/>
    <x v="300"/>
    <n v="583.36800000000005"/>
    <n v="15"/>
    <x v="3"/>
    <x v="1"/>
    <x v="4"/>
    <n v="245.01456000000002"/>
    <n v="338.35344000000003"/>
    <n v="150"/>
    <n v="58.336800000000011"/>
    <n v="583.36800000000005"/>
    <x v="1398"/>
  </r>
  <r>
    <x v="47"/>
    <x v="395"/>
    <x v="1459"/>
    <x v="4"/>
    <x v="2"/>
    <x v="1"/>
    <x v="2"/>
    <x v="2"/>
    <n v="406"/>
    <x v="0"/>
    <n v="406"/>
    <n v="7"/>
    <x v="3"/>
    <x v="0"/>
    <x v="0"/>
    <n v="170.51999999999998"/>
    <n v="235.48000000000002"/>
    <n v="0"/>
    <n v="0"/>
    <n v="0"/>
    <x v="1399"/>
  </r>
  <r>
    <x v="41"/>
    <x v="395"/>
    <x v="1460"/>
    <x v="6"/>
    <x v="2"/>
    <x v="1"/>
    <x v="2"/>
    <x v="9"/>
    <n v="474"/>
    <x v="0"/>
    <n v="474"/>
    <n v="17"/>
    <x v="38"/>
    <x v="0"/>
    <x v="0"/>
    <n v="199.07999999999998"/>
    <n v="274.92"/>
    <n v="0"/>
    <n v="0"/>
    <n v="0"/>
    <x v="1400"/>
  </r>
  <r>
    <x v="30"/>
    <x v="395"/>
    <x v="1461"/>
    <x v="7"/>
    <x v="4"/>
    <x v="1"/>
    <x v="0"/>
    <x v="6"/>
    <n v="2613"/>
    <x v="0"/>
    <n v="2613"/>
    <n v="42"/>
    <x v="3"/>
    <x v="0"/>
    <x v="0"/>
    <n v="1097.46"/>
    <n v="1515.54"/>
    <n v="0"/>
    <n v="0"/>
    <n v="0"/>
    <x v="1401"/>
  </r>
  <r>
    <x v="5"/>
    <x v="395"/>
    <x v="1462"/>
    <x v="0"/>
    <x v="2"/>
    <x v="3"/>
    <x v="2"/>
    <x v="2"/>
    <n v="421"/>
    <x v="0"/>
    <n v="421"/>
    <n v="25"/>
    <x v="13"/>
    <x v="0"/>
    <x v="0"/>
    <n v="176.82"/>
    <n v="244.18"/>
    <n v="0"/>
    <n v="0"/>
    <n v="0"/>
    <x v="1402"/>
  </r>
  <r>
    <x v="32"/>
    <x v="396"/>
    <x v="1463"/>
    <x v="4"/>
    <x v="4"/>
    <x v="1"/>
    <x v="4"/>
    <x v="6"/>
    <n v="2697"/>
    <x v="0"/>
    <n v="2697"/>
    <n v="17"/>
    <x v="3"/>
    <x v="0"/>
    <x v="0"/>
    <n v="1132.74"/>
    <n v="1564.26"/>
    <n v="0"/>
    <n v="0"/>
    <n v="0"/>
    <x v="1403"/>
  </r>
  <r>
    <x v="8"/>
    <x v="396"/>
    <x v="1464"/>
    <x v="1"/>
    <x v="0"/>
    <x v="2"/>
    <x v="1"/>
    <x v="11"/>
    <n v="4297"/>
    <x v="0"/>
    <n v="4297"/>
    <n v="3"/>
    <x v="19"/>
    <x v="1"/>
    <x v="3"/>
    <n v="1804.74"/>
    <n v="2492.2600000000002"/>
    <n v="150"/>
    <n v="429.70000000000005"/>
    <n v="4297"/>
    <x v="1404"/>
  </r>
  <r>
    <x v="22"/>
    <x v="396"/>
    <x v="1465"/>
    <x v="2"/>
    <x v="4"/>
    <x v="0"/>
    <x v="2"/>
    <x v="11"/>
    <n v="2883"/>
    <x v="0"/>
    <n v="2883"/>
    <n v="34"/>
    <x v="12"/>
    <x v="0"/>
    <x v="0"/>
    <n v="1210.8599999999999"/>
    <n v="1672.14"/>
    <n v="0"/>
    <n v="0"/>
    <n v="0"/>
    <x v="1405"/>
  </r>
  <r>
    <x v="22"/>
    <x v="397"/>
    <x v="1466"/>
    <x v="2"/>
    <x v="4"/>
    <x v="1"/>
    <x v="0"/>
    <x v="7"/>
    <n v="2486"/>
    <x v="0"/>
    <n v="2486"/>
    <n v="29"/>
    <x v="3"/>
    <x v="0"/>
    <x v="0"/>
    <n v="1044.1199999999999"/>
    <n v="1441.88"/>
    <n v="0"/>
    <n v="0"/>
    <n v="0"/>
    <x v="1406"/>
  </r>
  <r>
    <x v="46"/>
    <x v="397"/>
    <x v="1467"/>
    <x v="2"/>
    <x v="3"/>
    <x v="2"/>
    <x v="4"/>
    <x v="9"/>
    <n v="3643"/>
    <x v="0"/>
    <n v="3643"/>
    <n v="7"/>
    <x v="33"/>
    <x v="0"/>
    <x v="0"/>
    <n v="1530.06"/>
    <n v="2112.94"/>
    <n v="0"/>
    <n v="0"/>
    <n v="0"/>
    <x v="1407"/>
  </r>
  <r>
    <x v="34"/>
    <x v="397"/>
    <x v="1468"/>
    <x v="6"/>
    <x v="0"/>
    <x v="3"/>
    <x v="3"/>
    <x v="0"/>
    <n v="3788"/>
    <x v="0"/>
    <n v="3788"/>
    <n v="10"/>
    <x v="5"/>
    <x v="1"/>
    <x v="4"/>
    <n v="1590.96"/>
    <n v="2197.04"/>
    <n v="150"/>
    <n v="378.8"/>
    <n v="3788"/>
    <x v="645"/>
  </r>
  <r>
    <x v="32"/>
    <x v="397"/>
    <x v="1469"/>
    <x v="4"/>
    <x v="4"/>
    <x v="1"/>
    <x v="3"/>
    <x v="0"/>
    <n v="2634"/>
    <x v="0"/>
    <n v="2634"/>
    <n v="17"/>
    <x v="5"/>
    <x v="0"/>
    <x v="0"/>
    <n v="1106.28"/>
    <n v="1527.72"/>
    <n v="0"/>
    <n v="0"/>
    <n v="0"/>
    <x v="1408"/>
  </r>
  <r>
    <x v="46"/>
    <x v="398"/>
    <x v="1470"/>
    <x v="2"/>
    <x v="3"/>
    <x v="1"/>
    <x v="4"/>
    <x v="1"/>
    <n v="4120"/>
    <x v="378"/>
    <n v="3283.64"/>
    <n v="15"/>
    <x v="16"/>
    <x v="1"/>
    <x v="7"/>
    <n v="1379.1288"/>
    <n v="1904.5111999999999"/>
    <n v="150"/>
    <n v="328.36400000000003"/>
    <n v="3283.64"/>
    <x v="1409"/>
  </r>
  <r>
    <x v="47"/>
    <x v="398"/>
    <x v="1471"/>
    <x v="4"/>
    <x v="2"/>
    <x v="2"/>
    <x v="2"/>
    <x v="0"/>
    <n v="499"/>
    <x v="314"/>
    <n v="228.54199999999997"/>
    <n v="37"/>
    <x v="11"/>
    <x v="0"/>
    <x v="0"/>
    <n v="95.987639999999985"/>
    <n v="132.55435999999997"/>
    <n v="0"/>
    <n v="0"/>
    <n v="0"/>
    <x v="1410"/>
  </r>
  <r>
    <x v="6"/>
    <x v="398"/>
    <x v="1472"/>
    <x v="0"/>
    <x v="4"/>
    <x v="2"/>
    <x v="1"/>
    <x v="2"/>
    <n v="2651"/>
    <x v="0"/>
    <n v="2651"/>
    <n v="26"/>
    <x v="23"/>
    <x v="1"/>
    <x v="4"/>
    <n v="1113.4199999999998"/>
    <n v="1537.5800000000002"/>
    <n v="150"/>
    <n v="265.10000000000002"/>
    <n v="2651"/>
    <x v="1411"/>
  </r>
  <r>
    <x v="28"/>
    <x v="398"/>
    <x v="1473"/>
    <x v="3"/>
    <x v="3"/>
    <x v="3"/>
    <x v="1"/>
    <x v="0"/>
    <n v="3971"/>
    <x v="0"/>
    <n v="3971"/>
    <n v="31"/>
    <x v="2"/>
    <x v="0"/>
    <x v="0"/>
    <n v="1667.82"/>
    <n v="2303.1800000000003"/>
    <n v="0"/>
    <n v="0"/>
    <n v="0"/>
    <x v="1412"/>
  </r>
  <r>
    <x v="5"/>
    <x v="399"/>
    <x v="1474"/>
    <x v="0"/>
    <x v="2"/>
    <x v="3"/>
    <x v="2"/>
    <x v="0"/>
    <n v="448"/>
    <x v="0"/>
    <n v="448"/>
    <n v="13"/>
    <x v="3"/>
    <x v="1"/>
    <x v="7"/>
    <n v="188.16"/>
    <n v="259.84000000000003"/>
    <n v="150"/>
    <n v="44.800000000000004"/>
    <n v="448"/>
    <x v="1413"/>
  </r>
  <r>
    <x v="13"/>
    <x v="399"/>
    <x v="1475"/>
    <x v="3"/>
    <x v="2"/>
    <x v="1"/>
    <x v="2"/>
    <x v="9"/>
    <n v="425"/>
    <x v="0"/>
    <n v="425"/>
    <n v="28"/>
    <x v="29"/>
    <x v="1"/>
    <x v="4"/>
    <n v="178.5"/>
    <n v="246.5"/>
    <n v="150"/>
    <n v="42.5"/>
    <n v="425"/>
    <x v="1414"/>
  </r>
  <r>
    <x v="45"/>
    <x v="399"/>
    <x v="1476"/>
    <x v="7"/>
    <x v="3"/>
    <x v="1"/>
    <x v="0"/>
    <x v="6"/>
    <n v="3819"/>
    <x v="233"/>
    <n v="2470.893"/>
    <n v="10"/>
    <x v="22"/>
    <x v="0"/>
    <x v="0"/>
    <n v="1037.7750599999999"/>
    <n v="1433.1179400000001"/>
    <n v="0"/>
    <n v="0"/>
    <n v="0"/>
    <x v="1415"/>
  </r>
  <r>
    <x v="15"/>
    <x v="400"/>
    <x v="1477"/>
    <x v="5"/>
    <x v="1"/>
    <x v="1"/>
    <x v="1"/>
    <x v="9"/>
    <n v="1303"/>
    <x v="0"/>
    <n v="1303"/>
    <n v="26"/>
    <x v="3"/>
    <x v="0"/>
    <x v="0"/>
    <n v="547.26"/>
    <n v="755.74"/>
    <n v="0"/>
    <n v="0"/>
    <n v="0"/>
    <x v="1416"/>
  </r>
  <r>
    <x v="41"/>
    <x v="400"/>
    <x v="1478"/>
    <x v="6"/>
    <x v="2"/>
    <x v="3"/>
    <x v="2"/>
    <x v="11"/>
    <n v="226"/>
    <x v="379"/>
    <n v="158.65199999999999"/>
    <n v="13"/>
    <x v="36"/>
    <x v="0"/>
    <x v="0"/>
    <n v="66.633839999999992"/>
    <n v="92.018159999999995"/>
    <n v="0"/>
    <n v="0"/>
    <n v="0"/>
    <x v="1417"/>
  </r>
  <r>
    <x v="25"/>
    <x v="400"/>
    <x v="1479"/>
    <x v="6"/>
    <x v="1"/>
    <x v="2"/>
    <x v="6"/>
    <x v="1"/>
    <n v="1237"/>
    <x v="0"/>
    <n v="1237"/>
    <n v="24"/>
    <x v="41"/>
    <x v="0"/>
    <x v="0"/>
    <n v="519.54"/>
    <n v="717.46"/>
    <n v="0"/>
    <n v="0"/>
    <n v="0"/>
    <x v="1418"/>
  </r>
  <r>
    <x v="19"/>
    <x v="400"/>
    <x v="1480"/>
    <x v="2"/>
    <x v="5"/>
    <x v="3"/>
    <x v="6"/>
    <x v="6"/>
    <n v="1954"/>
    <x v="0"/>
    <n v="1954"/>
    <n v="5"/>
    <x v="7"/>
    <x v="0"/>
    <x v="0"/>
    <n v="820.68"/>
    <n v="1133.3200000000002"/>
    <n v="0"/>
    <n v="0"/>
    <n v="0"/>
    <x v="1419"/>
  </r>
  <r>
    <x v="39"/>
    <x v="401"/>
    <x v="1481"/>
    <x v="7"/>
    <x v="5"/>
    <x v="3"/>
    <x v="5"/>
    <x v="1"/>
    <n v="2139"/>
    <x v="380"/>
    <n v="1208.5349999999999"/>
    <n v="46"/>
    <x v="3"/>
    <x v="0"/>
    <x v="0"/>
    <n v="507.58469999999994"/>
    <n v="700.95029999999997"/>
    <n v="0"/>
    <n v="0"/>
    <n v="0"/>
    <x v="1420"/>
  </r>
  <r>
    <x v="25"/>
    <x v="401"/>
    <x v="1482"/>
    <x v="6"/>
    <x v="1"/>
    <x v="0"/>
    <x v="5"/>
    <x v="11"/>
    <n v="1718"/>
    <x v="282"/>
    <n v="1391.5800000000002"/>
    <n v="48"/>
    <x v="0"/>
    <x v="0"/>
    <x v="0"/>
    <n v="584.46360000000004"/>
    <n v="807.11640000000011"/>
    <n v="0"/>
    <n v="0"/>
    <n v="0"/>
    <x v="1421"/>
  </r>
  <r>
    <x v="5"/>
    <x v="401"/>
    <x v="1483"/>
    <x v="0"/>
    <x v="2"/>
    <x v="2"/>
    <x v="2"/>
    <x v="3"/>
    <n v="308"/>
    <x v="0"/>
    <n v="308"/>
    <n v="24"/>
    <x v="4"/>
    <x v="0"/>
    <x v="0"/>
    <n v="129.35999999999999"/>
    <n v="178.64000000000001"/>
    <n v="0"/>
    <n v="0"/>
    <n v="0"/>
    <x v="1422"/>
  </r>
  <r>
    <x v="19"/>
    <x v="401"/>
    <x v="1484"/>
    <x v="2"/>
    <x v="5"/>
    <x v="2"/>
    <x v="0"/>
    <x v="7"/>
    <n v="2222"/>
    <x v="53"/>
    <n v="1744.27"/>
    <n v="42"/>
    <x v="32"/>
    <x v="0"/>
    <x v="0"/>
    <n v="732.59339999999997"/>
    <n v="1011.6766"/>
    <n v="0"/>
    <n v="0"/>
    <n v="0"/>
    <x v="1423"/>
  </r>
  <r>
    <x v="38"/>
    <x v="402"/>
    <x v="1485"/>
    <x v="0"/>
    <x v="1"/>
    <x v="0"/>
    <x v="4"/>
    <x v="10"/>
    <n v="1255"/>
    <x v="0"/>
    <n v="1255"/>
    <n v="24"/>
    <x v="6"/>
    <x v="0"/>
    <x v="0"/>
    <n v="527.1"/>
    <n v="727.9"/>
    <n v="0"/>
    <n v="0"/>
    <n v="0"/>
    <x v="1424"/>
  </r>
  <r>
    <x v="46"/>
    <x v="402"/>
    <x v="1486"/>
    <x v="2"/>
    <x v="3"/>
    <x v="3"/>
    <x v="0"/>
    <x v="8"/>
    <n v="4109"/>
    <x v="297"/>
    <n v="2157.2249999999999"/>
    <n v="40"/>
    <x v="24"/>
    <x v="0"/>
    <x v="0"/>
    <n v="906.03449999999998"/>
    <n v="1251.1904999999999"/>
    <n v="0"/>
    <n v="0"/>
    <n v="0"/>
    <x v="1425"/>
  </r>
  <r>
    <x v="2"/>
    <x v="402"/>
    <x v="1487"/>
    <x v="1"/>
    <x v="2"/>
    <x v="3"/>
    <x v="2"/>
    <x v="0"/>
    <n v="397"/>
    <x v="381"/>
    <n v="387.07499999999999"/>
    <n v="16"/>
    <x v="24"/>
    <x v="1"/>
    <x v="3"/>
    <n v="162.57149999999999"/>
    <n v="224.5035"/>
    <n v="150"/>
    <n v="38.707500000000003"/>
    <n v="387.07499999999999"/>
    <x v="1426"/>
  </r>
  <r>
    <x v="26"/>
    <x v="402"/>
    <x v="1488"/>
    <x v="0"/>
    <x v="3"/>
    <x v="1"/>
    <x v="3"/>
    <x v="7"/>
    <n v="3576"/>
    <x v="0"/>
    <n v="3576"/>
    <n v="5"/>
    <x v="5"/>
    <x v="0"/>
    <x v="0"/>
    <n v="1501.9199999999998"/>
    <n v="2074.08"/>
    <n v="0"/>
    <n v="0"/>
    <n v="0"/>
    <x v="1427"/>
  </r>
  <r>
    <x v="15"/>
    <x v="403"/>
    <x v="1489"/>
    <x v="5"/>
    <x v="1"/>
    <x v="1"/>
    <x v="1"/>
    <x v="7"/>
    <n v="1467"/>
    <x v="0"/>
    <n v="1467"/>
    <n v="26"/>
    <x v="18"/>
    <x v="1"/>
    <x v="5"/>
    <n v="616.14"/>
    <n v="850.86"/>
    <n v="150"/>
    <n v="146.70000000000002"/>
    <n v="1467"/>
    <x v="1428"/>
  </r>
  <r>
    <x v="14"/>
    <x v="403"/>
    <x v="1490"/>
    <x v="6"/>
    <x v="3"/>
    <x v="1"/>
    <x v="5"/>
    <x v="11"/>
    <n v="4381"/>
    <x v="45"/>
    <n v="3526.7049999999999"/>
    <n v="49"/>
    <x v="33"/>
    <x v="0"/>
    <x v="0"/>
    <n v="1481.2160999999999"/>
    <n v="2045.4889000000001"/>
    <n v="0"/>
    <n v="0"/>
    <n v="0"/>
    <x v="1429"/>
  </r>
  <r>
    <x v="8"/>
    <x v="403"/>
    <x v="1491"/>
    <x v="1"/>
    <x v="0"/>
    <x v="2"/>
    <x v="1"/>
    <x v="6"/>
    <n v="4126"/>
    <x v="0"/>
    <n v="4126"/>
    <n v="13"/>
    <x v="35"/>
    <x v="0"/>
    <x v="0"/>
    <n v="1732.9199999999998"/>
    <n v="2393.08"/>
    <n v="0"/>
    <n v="0"/>
    <n v="0"/>
    <x v="1430"/>
  </r>
  <r>
    <x v="37"/>
    <x v="403"/>
    <x v="1492"/>
    <x v="4"/>
    <x v="3"/>
    <x v="3"/>
    <x v="6"/>
    <x v="5"/>
    <n v="3336"/>
    <x v="0"/>
    <n v="3336"/>
    <n v="27"/>
    <x v="36"/>
    <x v="0"/>
    <x v="0"/>
    <n v="1401.12"/>
    <n v="1934.88"/>
    <n v="0"/>
    <n v="0"/>
    <n v="0"/>
    <x v="1431"/>
  </r>
  <r>
    <x v="18"/>
    <x v="404"/>
    <x v="1493"/>
    <x v="3"/>
    <x v="4"/>
    <x v="0"/>
    <x v="3"/>
    <x v="7"/>
    <n v="2497"/>
    <x v="0"/>
    <n v="2497"/>
    <n v="28"/>
    <x v="25"/>
    <x v="0"/>
    <x v="0"/>
    <n v="1048.74"/>
    <n v="1448.26"/>
    <n v="0"/>
    <n v="0"/>
    <n v="0"/>
    <x v="877"/>
  </r>
  <r>
    <x v="40"/>
    <x v="404"/>
    <x v="1494"/>
    <x v="5"/>
    <x v="0"/>
    <x v="2"/>
    <x v="3"/>
    <x v="10"/>
    <n v="3597"/>
    <x v="0"/>
    <n v="3597"/>
    <n v="7"/>
    <x v="8"/>
    <x v="0"/>
    <x v="0"/>
    <n v="1510.74"/>
    <n v="2086.2600000000002"/>
    <n v="0"/>
    <n v="0"/>
    <n v="0"/>
    <x v="1432"/>
  </r>
  <r>
    <x v="43"/>
    <x v="404"/>
    <x v="1495"/>
    <x v="4"/>
    <x v="5"/>
    <x v="3"/>
    <x v="2"/>
    <x v="10"/>
    <n v="1892"/>
    <x v="0"/>
    <n v="1892"/>
    <n v="17"/>
    <x v="33"/>
    <x v="0"/>
    <x v="0"/>
    <n v="794.64"/>
    <n v="1097.3600000000001"/>
    <n v="0"/>
    <n v="0"/>
    <n v="0"/>
    <x v="1433"/>
  </r>
  <r>
    <x v="26"/>
    <x v="405"/>
    <x v="1496"/>
    <x v="0"/>
    <x v="3"/>
    <x v="1"/>
    <x v="0"/>
    <x v="7"/>
    <n v="3166"/>
    <x v="0"/>
    <n v="3166"/>
    <n v="0"/>
    <x v="3"/>
    <x v="1"/>
    <x v="1"/>
    <n v="1329.72"/>
    <n v="1836.28"/>
    <n v="150"/>
    <n v="316.60000000000002"/>
    <n v="3166"/>
    <x v="926"/>
  </r>
  <r>
    <x v="33"/>
    <x v="405"/>
    <x v="1497"/>
    <x v="7"/>
    <x v="0"/>
    <x v="1"/>
    <x v="5"/>
    <x v="10"/>
    <n v="4453"/>
    <x v="102"/>
    <n v="3998.7939999999999"/>
    <n v="10"/>
    <x v="14"/>
    <x v="0"/>
    <x v="0"/>
    <n v="1679.4934799999999"/>
    <n v="2319.3005199999998"/>
    <n v="0"/>
    <n v="0"/>
    <n v="0"/>
    <x v="1434"/>
  </r>
  <r>
    <x v="20"/>
    <x v="405"/>
    <x v="1498"/>
    <x v="7"/>
    <x v="1"/>
    <x v="3"/>
    <x v="3"/>
    <x v="0"/>
    <n v="1470"/>
    <x v="0"/>
    <n v="1470"/>
    <n v="15"/>
    <x v="40"/>
    <x v="0"/>
    <x v="0"/>
    <n v="617.4"/>
    <n v="852.6"/>
    <n v="0"/>
    <n v="0"/>
    <n v="0"/>
    <x v="1435"/>
  </r>
  <r>
    <x v="46"/>
    <x v="405"/>
    <x v="1499"/>
    <x v="2"/>
    <x v="3"/>
    <x v="1"/>
    <x v="1"/>
    <x v="10"/>
    <n v="3641"/>
    <x v="0"/>
    <n v="3641"/>
    <n v="5"/>
    <x v="26"/>
    <x v="0"/>
    <x v="0"/>
    <n v="1529.22"/>
    <n v="2111.7799999999997"/>
    <n v="0"/>
    <n v="0"/>
    <n v="0"/>
    <x v="1436"/>
  </r>
  <r>
    <x v="9"/>
    <x v="406"/>
    <x v="1500"/>
    <x v="4"/>
    <x v="0"/>
    <x v="0"/>
    <x v="1"/>
    <x v="8"/>
    <n v="3478"/>
    <x v="0"/>
    <n v="3478"/>
    <n v="22"/>
    <x v="36"/>
    <x v="0"/>
    <x v="0"/>
    <n v="1460.76"/>
    <n v="2017.24"/>
    <n v="0"/>
    <n v="0"/>
    <n v="0"/>
    <x v="283"/>
  </r>
  <r>
    <x v="5"/>
    <x v="406"/>
    <x v="1501"/>
    <x v="0"/>
    <x v="2"/>
    <x v="1"/>
    <x v="2"/>
    <x v="11"/>
    <n v="288"/>
    <x v="0"/>
    <n v="288"/>
    <n v="18"/>
    <x v="6"/>
    <x v="0"/>
    <x v="0"/>
    <n v="120.96"/>
    <n v="167.04000000000002"/>
    <n v="0"/>
    <n v="0"/>
    <n v="0"/>
    <x v="1437"/>
  </r>
  <r>
    <x v="43"/>
    <x v="406"/>
    <x v="1502"/>
    <x v="4"/>
    <x v="5"/>
    <x v="3"/>
    <x v="5"/>
    <x v="10"/>
    <n v="2963"/>
    <x v="0"/>
    <n v="2963"/>
    <n v="23"/>
    <x v="35"/>
    <x v="0"/>
    <x v="0"/>
    <n v="1244.46"/>
    <n v="1718.54"/>
    <n v="0"/>
    <n v="0"/>
    <n v="0"/>
    <x v="1438"/>
  </r>
  <r>
    <x v="12"/>
    <x v="406"/>
    <x v="1503"/>
    <x v="1"/>
    <x v="5"/>
    <x v="2"/>
    <x v="1"/>
    <x v="7"/>
    <n v="1847"/>
    <x v="0"/>
    <n v="1847"/>
    <n v="44"/>
    <x v="28"/>
    <x v="1"/>
    <x v="3"/>
    <n v="775.74"/>
    <n v="1071.26"/>
    <n v="150"/>
    <n v="184.70000000000002"/>
    <n v="1847"/>
    <x v="1439"/>
  </r>
  <r>
    <x v="11"/>
    <x v="406"/>
    <x v="1504"/>
    <x v="5"/>
    <x v="4"/>
    <x v="2"/>
    <x v="0"/>
    <x v="2"/>
    <n v="2423"/>
    <x v="0"/>
    <n v="2423"/>
    <n v="2"/>
    <x v="12"/>
    <x v="0"/>
    <x v="0"/>
    <n v="1017.66"/>
    <n v="1405.3400000000001"/>
    <n v="0"/>
    <n v="0"/>
    <n v="0"/>
    <x v="1440"/>
  </r>
  <r>
    <x v="3"/>
    <x v="407"/>
    <x v="1505"/>
    <x v="1"/>
    <x v="3"/>
    <x v="0"/>
    <x v="1"/>
    <x v="11"/>
    <n v="3475"/>
    <x v="258"/>
    <n v="1935.5750000000003"/>
    <n v="19"/>
    <x v="25"/>
    <x v="0"/>
    <x v="0"/>
    <n v="812.94150000000013"/>
    <n v="1122.6335000000001"/>
    <n v="0"/>
    <n v="0"/>
    <n v="0"/>
    <x v="1441"/>
  </r>
  <r>
    <x v="30"/>
    <x v="407"/>
    <x v="1506"/>
    <x v="7"/>
    <x v="4"/>
    <x v="3"/>
    <x v="4"/>
    <x v="2"/>
    <n v="2888"/>
    <x v="0"/>
    <n v="2888"/>
    <n v="5"/>
    <x v="32"/>
    <x v="0"/>
    <x v="0"/>
    <n v="1212.96"/>
    <n v="1675.04"/>
    <n v="0"/>
    <n v="0"/>
    <n v="0"/>
    <x v="1442"/>
  </r>
  <r>
    <x v="45"/>
    <x v="407"/>
    <x v="1507"/>
    <x v="7"/>
    <x v="3"/>
    <x v="1"/>
    <x v="6"/>
    <x v="9"/>
    <n v="3390"/>
    <x v="0"/>
    <n v="3390"/>
    <n v="31"/>
    <x v="6"/>
    <x v="0"/>
    <x v="0"/>
    <n v="1423.8"/>
    <n v="1966.2"/>
    <n v="0"/>
    <n v="0"/>
    <n v="0"/>
    <x v="1443"/>
  </r>
  <r>
    <x v="45"/>
    <x v="408"/>
    <x v="1508"/>
    <x v="7"/>
    <x v="3"/>
    <x v="0"/>
    <x v="1"/>
    <x v="6"/>
    <n v="3980"/>
    <x v="382"/>
    <n v="2145.2199999999998"/>
    <n v="8"/>
    <x v="37"/>
    <x v="0"/>
    <x v="0"/>
    <n v="900.99239999999986"/>
    <n v="1244.2275999999999"/>
    <n v="0"/>
    <n v="0"/>
    <n v="0"/>
    <x v="1444"/>
  </r>
  <r>
    <x v="12"/>
    <x v="408"/>
    <x v="1509"/>
    <x v="1"/>
    <x v="5"/>
    <x v="3"/>
    <x v="2"/>
    <x v="9"/>
    <n v="2937"/>
    <x v="383"/>
    <n v="2781.3389999999999"/>
    <n v="33"/>
    <x v="12"/>
    <x v="1"/>
    <x v="3"/>
    <n v="1168.16238"/>
    <n v="1613.17662"/>
    <n v="150"/>
    <n v="278.13389999999998"/>
    <n v="2781.3389999999999"/>
    <x v="1445"/>
  </r>
  <r>
    <x v="6"/>
    <x v="408"/>
    <x v="1510"/>
    <x v="0"/>
    <x v="4"/>
    <x v="0"/>
    <x v="6"/>
    <x v="3"/>
    <n v="2312"/>
    <x v="0"/>
    <n v="2312"/>
    <n v="31"/>
    <x v="13"/>
    <x v="0"/>
    <x v="0"/>
    <n v="971.04"/>
    <n v="1340.96"/>
    <n v="0"/>
    <n v="0"/>
    <n v="0"/>
    <x v="1446"/>
  </r>
  <r>
    <x v="20"/>
    <x v="408"/>
    <x v="1511"/>
    <x v="7"/>
    <x v="1"/>
    <x v="3"/>
    <x v="1"/>
    <x v="8"/>
    <n v="1509"/>
    <x v="384"/>
    <n v="906.90899999999999"/>
    <n v="44"/>
    <x v="0"/>
    <x v="0"/>
    <x v="0"/>
    <n v="380.90177999999997"/>
    <n v="526.00721999999996"/>
    <n v="0"/>
    <n v="0"/>
    <n v="0"/>
    <x v="1447"/>
  </r>
  <r>
    <x v="2"/>
    <x v="409"/>
    <x v="1512"/>
    <x v="1"/>
    <x v="2"/>
    <x v="3"/>
    <x v="2"/>
    <x v="1"/>
    <n v="182"/>
    <x v="5"/>
    <n v="162.16200000000001"/>
    <n v="12"/>
    <x v="13"/>
    <x v="0"/>
    <x v="0"/>
    <n v="68.108040000000003"/>
    <n v="94.053960000000004"/>
    <n v="0"/>
    <n v="0"/>
    <n v="0"/>
    <x v="1448"/>
  </r>
  <r>
    <x v="29"/>
    <x v="409"/>
    <x v="1513"/>
    <x v="5"/>
    <x v="2"/>
    <x v="1"/>
    <x v="2"/>
    <x v="8"/>
    <n v="201"/>
    <x v="0"/>
    <n v="201"/>
    <n v="9"/>
    <x v="3"/>
    <x v="1"/>
    <x v="4"/>
    <n v="84.42"/>
    <n v="116.58"/>
    <n v="150"/>
    <n v="20.100000000000001"/>
    <n v="201"/>
    <x v="1449"/>
  </r>
  <r>
    <x v="46"/>
    <x v="409"/>
    <x v="1514"/>
    <x v="2"/>
    <x v="3"/>
    <x v="3"/>
    <x v="5"/>
    <x v="10"/>
    <n v="3115"/>
    <x v="73"/>
    <n v="2731.855"/>
    <n v="39"/>
    <x v="22"/>
    <x v="0"/>
    <x v="0"/>
    <n v="1147.3790999999999"/>
    <n v="1584.4759000000001"/>
    <n v="0"/>
    <n v="0"/>
    <n v="0"/>
    <x v="1450"/>
  </r>
  <r>
    <x v="43"/>
    <x v="409"/>
    <x v="1515"/>
    <x v="4"/>
    <x v="5"/>
    <x v="2"/>
    <x v="0"/>
    <x v="6"/>
    <n v="2849"/>
    <x v="0"/>
    <n v="2849"/>
    <n v="26"/>
    <x v="15"/>
    <x v="0"/>
    <x v="0"/>
    <n v="1196.58"/>
    <n v="1652.42"/>
    <n v="0"/>
    <n v="0"/>
    <n v="0"/>
    <x v="1451"/>
  </r>
  <r>
    <x v="37"/>
    <x v="410"/>
    <x v="1516"/>
    <x v="4"/>
    <x v="3"/>
    <x v="1"/>
    <x v="1"/>
    <x v="5"/>
    <n v="3378"/>
    <x v="0"/>
    <n v="3378"/>
    <n v="16"/>
    <x v="3"/>
    <x v="1"/>
    <x v="3"/>
    <n v="1418.76"/>
    <n v="1959.24"/>
    <n v="150"/>
    <n v="337.8"/>
    <n v="3378"/>
    <x v="1452"/>
  </r>
  <r>
    <x v="11"/>
    <x v="410"/>
    <x v="1517"/>
    <x v="5"/>
    <x v="4"/>
    <x v="0"/>
    <x v="0"/>
    <x v="1"/>
    <n v="2736"/>
    <x v="385"/>
    <n v="1699.056"/>
    <n v="44"/>
    <x v="3"/>
    <x v="0"/>
    <x v="0"/>
    <n v="713.60352"/>
    <n v="985.45248000000004"/>
    <n v="0"/>
    <n v="0"/>
    <n v="0"/>
    <x v="1453"/>
  </r>
  <r>
    <x v="2"/>
    <x v="410"/>
    <x v="1518"/>
    <x v="1"/>
    <x v="2"/>
    <x v="2"/>
    <x v="2"/>
    <x v="11"/>
    <n v="277"/>
    <x v="386"/>
    <n v="145.97900000000001"/>
    <n v="20"/>
    <x v="21"/>
    <x v="1"/>
    <x v="5"/>
    <n v="61.31118"/>
    <n v="84.667820000000006"/>
    <n v="150"/>
    <n v="14.597900000000003"/>
    <n v="145.97900000000001"/>
    <x v="1454"/>
  </r>
  <r>
    <x v="22"/>
    <x v="410"/>
    <x v="1519"/>
    <x v="2"/>
    <x v="4"/>
    <x v="0"/>
    <x v="0"/>
    <x v="9"/>
    <n v="2450"/>
    <x v="268"/>
    <n v="2058"/>
    <n v="35"/>
    <x v="3"/>
    <x v="1"/>
    <x v="3"/>
    <n v="864.36"/>
    <n v="1193.6399999999999"/>
    <n v="150"/>
    <n v="205.8"/>
    <n v="2058"/>
    <x v="1455"/>
  </r>
  <r>
    <x v="29"/>
    <x v="411"/>
    <x v="1520"/>
    <x v="5"/>
    <x v="2"/>
    <x v="0"/>
    <x v="2"/>
    <x v="2"/>
    <n v="237"/>
    <x v="0"/>
    <n v="237"/>
    <n v="36"/>
    <x v="9"/>
    <x v="0"/>
    <x v="0"/>
    <n v="99.539999999999992"/>
    <n v="137.46"/>
    <n v="0"/>
    <n v="0"/>
    <n v="0"/>
    <x v="1456"/>
  </r>
  <r>
    <x v="13"/>
    <x v="411"/>
    <x v="1521"/>
    <x v="3"/>
    <x v="2"/>
    <x v="1"/>
    <x v="2"/>
    <x v="5"/>
    <n v="253"/>
    <x v="0"/>
    <n v="253"/>
    <n v="17"/>
    <x v="19"/>
    <x v="0"/>
    <x v="0"/>
    <n v="106.25999999999999"/>
    <n v="146.74"/>
    <n v="0"/>
    <n v="0"/>
    <n v="0"/>
    <x v="1457"/>
  </r>
  <r>
    <x v="17"/>
    <x v="411"/>
    <x v="1522"/>
    <x v="2"/>
    <x v="0"/>
    <x v="3"/>
    <x v="1"/>
    <x v="4"/>
    <n v="3273"/>
    <x v="0"/>
    <n v="3273"/>
    <n v="9"/>
    <x v="15"/>
    <x v="1"/>
    <x v="3"/>
    <n v="1374.6599999999999"/>
    <n v="1898.3400000000001"/>
    <n v="150"/>
    <n v="327.3"/>
    <n v="3273"/>
    <x v="1458"/>
  </r>
  <r>
    <x v="46"/>
    <x v="411"/>
    <x v="1523"/>
    <x v="2"/>
    <x v="3"/>
    <x v="1"/>
    <x v="1"/>
    <x v="1"/>
    <n v="4069"/>
    <x v="0"/>
    <n v="4069"/>
    <n v="28"/>
    <x v="34"/>
    <x v="0"/>
    <x v="0"/>
    <n v="1708.98"/>
    <n v="2360.02"/>
    <n v="0"/>
    <n v="0"/>
    <n v="0"/>
    <x v="1459"/>
  </r>
  <r>
    <x v="6"/>
    <x v="412"/>
    <x v="1524"/>
    <x v="0"/>
    <x v="4"/>
    <x v="0"/>
    <x v="5"/>
    <x v="5"/>
    <n v="2065"/>
    <x v="0"/>
    <n v="2065"/>
    <n v="41"/>
    <x v="18"/>
    <x v="1"/>
    <x v="5"/>
    <n v="867.3"/>
    <n v="1197.7"/>
    <n v="150"/>
    <n v="206.5"/>
    <n v="2065"/>
    <x v="1460"/>
  </r>
  <r>
    <x v="27"/>
    <x v="412"/>
    <x v="1525"/>
    <x v="7"/>
    <x v="2"/>
    <x v="2"/>
    <x v="2"/>
    <x v="4"/>
    <n v="210"/>
    <x v="355"/>
    <n v="105.42"/>
    <n v="32"/>
    <x v="18"/>
    <x v="1"/>
    <x v="3"/>
    <n v="44.276400000000002"/>
    <n v="61.143599999999999"/>
    <n v="150"/>
    <n v="10.542000000000002"/>
    <n v="105.42"/>
    <x v="1461"/>
  </r>
  <r>
    <x v="8"/>
    <x v="412"/>
    <x v="1526"/>
    <x v="1"/>
    <x v="0"/>
    <x v="1"/>
    <x v="6"/>
    <x v="9"/>
    <n v="4295"/>
    <x v="0"/>
    <n v="4295"/>
    <n v="43"/>
    <x v="25"/>
    <x v="0"/>
    <x v="0"/>
    <n v="1803.8999999999999"/>
    <n v="2491.1000000000004"/>
    <n v="0"/>
    <n v="0"/>
    <n v="0"/>
    <x v="1462"/>
  </r>
  <r>
    <x v="2"/>
    <x v="412"/>
    <x v="1527"/>
    <x v="1"/>
    <x v="2"/>
    <x v="1"/>
    <x v="2"/>
    <x v="0"/>
    <n v="356"/>
    <x v="0"/>
    <n v="356"/>
    <n v="32"/>
    <x v="23"/>
    <x v="1"/>
    <x v="1"/>
    <n v="149.51999999999998"/>
    <n v="206.48000000000002"/>
    <n v="150"/>
    <n v="35.6"/>
    <n v="356"/>
    <x v="1463"/>
  </r>
  <r>
    <x v="17"/>
    <x v="412"/>
    <x v="1528"/>
    <x v="2"/>
    <x v="0"/>
    <x v="2"/>
    <x v="3"/>
    <x v="7"/>
    <n v="3970"/>
    <x v="0"/>
    <n v="3970"/>
    <n v="32"/>
    <x v="21"/>
    <x v="0"/>
    <x v="0"/>
    <n v="1667.3999999999999"/>
    <n v="2302.6000000000004"/>
    <n v="0"/>
    <n v="0"/>
    <n v="0"/>
    <x v="1464"/>
  </r>
  <r>
    <x v="23"/>
    <x v="413"/>
    <x v="1529"/>
    <x v="6"/>
    <x v="4"/>
    <x v="3"/>
    <x v="5"/>
    <x v="7"/>
    <n v="2440"/>
    <x v="7"/>
    <n v="1908.0800000000002"/>
    <n v="25"/>
    <x v="10"/>
    <x v="1"/>
    <x v="5"/>
    <n v="801.39359999999999"/>
    <n v="1106.6864"/>
    <n v="150"/>
    <n v="190.80800000000002"/>
    <n v="1908.0800000000002"/>
    <x v="1465"/>
  </r>
  <r>
    <x v="40"/>
    <x v="413"/>
    <x v="1530"/>
    <x v="5"/>
    <x v="0"/>
    <x v="2"/>
    <x v="3"/>
    <x v="4"/>
    <n v="3268"/>
    <x v="319"/>
    <n v="1931.3879999999999"/>
    <n v="9"/>
    <x v="11"/>
    <x v="0"/>
    <x v="0"/>
    <n v="811.18295999999998"/>
    <n v="1120.2050399999998"/>
    <n v="0"/>
    <n v="0"/>
    <n v="0"/>
    <x v="1466"/>
  </r>
  <r>
    <x v="10"/>
    <x v="413"/>
    <x v="1531"/>
    <x v="3"/>
    <x v="1"/>
    <x v="3"/>
    <x v="3"/>
    <x v="1"/>
    <n v="933"/>
    <x v="175"/>
    <n v="483.29400000000004"/>
    <n v="20"/>
    <x v="26"/>
    <x v="0"/>
    <x v="0"/>
    <n v="202.98348000000001"/>
    <n v="280.31052"/>
    <n v="0"/>
    <n v="0"/>
    <n v="0"/>
    <x v="1467"/>
  </r>
  <r>
    <x v="5"/>
    <x v="414"/>
    <x v="1532"/>
    <x v="0"/>
    <x v="2"/>
    <x v="3"/>
    <x v="2"/>
    <x v="10"/>
    <n v="172"/>
    <x v="17"/>
    <n v="79.291999999999987"/>
    <n v="15"/>
    <x v="17"/>
    <x v="1"/>
    <x v="6"/>
    <n v="33.302639999999997"/>
    <n v="45.989359999999991"/>
    <n v="150"/>
    <n v="7.9291999999999989"/>
    <n v="79.291999999999987"/>
    <x v="1468"/>
  </r>
  <r>
    <x v="6"/>
    <x v="414"/>
    <x v="1533"/>
    <x v="0"/>
    <x v="4"/>
    <x v="1"/>
    <x v="6"/>
    <x v="5"/>
    <n v="2089"/>
    <x v="0"/>
    <n v="2089"/>
    <n v="0"/>
    <x v="15"/>
    <x v="0"/>
    <x v="0"/>
    <n v="877.38"/>
    <n v="1211.6199999999999"/>
    <n v="0"/>
    <n v="0"/>
    <n v="0"/>
    <x v="1469"/>
  </r>
  <r>
    <x v="46"/>
    <x v="414"/>
    <x v="1534"/>
    <x v="2"/>
    <x v="3"/>
    <x v="2"/>
    <x v="5"/>
    <x v="9"/>
    <n v="4257"/>
    <x v="387"/>
    <n v="3056.5259999999998"/>
    <n v="1"/>
    <x v="3"/>
    <x v="1"/>
    <x v="2"/>
    <n v="1283.74092"/>
    <n v="1772.7850799999999"/>
    <n v="150"/>
    <n v="305.65260000000001"/>
    <n v="3056.5259999999998"/>
    <x v="1470"/>
  </r>
  <r>
    <x v="42"/>
    <x v="414"/>
    <x v="1535"/>
    <x v="0"/>
    <x v="5"/>
    <x v="3"/>
    <x v="4"/>
    <x v="3"/>
    <n v="2745"/>
    <x v="388"/>
    <n v="1309.365"/>
    <n v="28"/>
    <x v="41"/>
    <x v="0"/>
    <x v="0"/>
    <n v="549.93330000000003"/>
    <n v="759.43169999999998"/>
    <n v="0"/>
    <n v="0"/>
    <n v="0"/>
    <x v="1471"/>
  </r>
  <r>
    <x v="38"/>
    <x v="415"/>
    <x v="1536"/>
    <x v="0"/>
    <x v="1"/>
    <x v="3"/>
    <x v="5"/>
    <x v="11"/>
    <n v="1574"/>
    <x v="0"/>
    <n v="1574"/>
    <n v="11"/>
    <x v="3"/>
    <x v="0"/>
    <x v="0"/>
    <n v="661.07999999999993"/>
    <n v="912.92000000000007"/>
    <n v="0"/>
    <n v="0"/>
    <n v="0"/>
    <x v="1472"/>
  </r>
  <r>
    <x v="4"/>
    <x v="415"/>
    <x v="1537"/>
    <x v="2"/>
    <x v="1"/>
    <x v="0"/>
    <x v="4"/>
    <x v="1"/>
    <n v="1646"/>
    <x v="0"/>
    <n v="1646"/>
    <n v="22"/>
    <x v="13"/>
    <x v="0"/>
    <x v="0"/>
    <n v="691.31999999999994"/>
    <n v="954.68000000000006"/>
    <n v="0"/>
    <n v="0"/>
    <n v="0"/>
    <x v="1473"/>
  </r>
  <r>
    <x v="17"/>
    <x v="415"/>
    <x v="1538"/>
    <x v="2"/>
    <x v="0"/>
    <x v="0"/>
    <x v="3"/>
    <x v="11"/>
    <n v="3198"/>
    <x v="0"/>
    <n v="3198"/>
    <n v="23"/>
    <x v="10"/>
    <x v="0"/>
    <x v="0"/>
    <n v="1343.1599999999999"/>
    <n v="1854.8400000000001"/>
    <n v="0"/>
    <n v="0"/>
    <n v="0"/>
    <x v="1474"/>
  </r>
  <r>
    <x v="24"/>
    <x v="415"/>
    <x v="1539"/>
    <x v="5"/>
    <x v="5"/>
    <x v="2"/>
    <x v="4"/>
    <x v="1"/>
    <n v="2530"/>
    <x v="305"/>
    <n v="2246.64"/>
    <n v="4"/>
    <x v="16"/>
    <x v="0"/>
    <x v="0"/>
    <n v="943.58879999999988"/>
    <n v="1303.0511999999999"/>
    <n v="0"/>
    <n v="0"/>
    <n v="0"/>
    <x v="1475"/>
  </r>
  <r>
    <x v="13"/>
    <x v="416"/>
    <x v="1540"/>
    <x v="3"/>
    <x v="2"/>
    <x v="0"/>
    <x v="2"/>
    <x v="1"/>
    <n v="374"/>
    <x v="355"/>
    <n v="187.74799999999999"/>
    <n v="12"/>
    <x v="2"/>
    <x v="0"/>
    <x v="0"/>
    <n v="78.854159999999993"/>
    <n v="108.89384"/>
    <n v="0"/>
    <n v="0"/>
    <n v="0"/>
    <x v="1476"/>
  </r>
  <r>
    <x v="47"/>
    <x v="416"/>
    <x v="1541"/>
    <x v="4"/>
    <x v="2"/>
    <x v="1"/>
    <x v="2"/>
    <x v="9"/>
    <n v="299"/>
    <x v="0"/>
    <n v="299"/>
    <n v="44"/>
    <x v="5"/>
    <x v="0"/>
    <x v="0"/>
    <n v="125.58"/>
    <n v="173.42000000000002"/>
    <n v="0"/>
    <n v="0"/>
    <n v="0"/>
    <x v="1477"/>
  </r>
  <r>
    <x v="30"/>
    <x v="416"/>
    <x v="1542"/>
    <x v="7"/>
    <x v="4"/>
    <x v="2"/>
    <x v="3"/>
    <x v="11"/>
    <n v="2160"/>
    <x v="0"/>
    <n v="2160"/>
    <n v="19"/>
    <x v="31"/>
    <x v="0"/>
    <x v="0"/>
    <n v="907.19999999999993"/>
    <n v="1252.8000000000002"/>
    <n v="0"/>
    <n v="0"/>
    <n v="0"/>
    <x v="1478"/>
  </r>
  <r>
    <x v="37"/>
    <x v="417"/>
    <x v="1543"/>
    <x v="4"/>
    <x v="3"/>
    <x v="2"/>
    <x v="2"/>
    <x v="11"/>
    <n v="3750"/>
    <x v="373"/>
    <n v="3191.25"/>
    <n v="8"/>
    <x v="12"/>
    <x v="0"/>
    <x v="0"/>
    <n v="1340.325"/>
    <n v="1850.925"/>
    <n v="0"/>
    <n v="0"/>
    <n v="0"/>
    <x v="1479"/>
  </r>
  <r>
    <x v="5"/>
    <x v="417"/>
    <x v="1544"/>
    <x v="0"/>
    <x v="2"/>
    <x v="1"/>
    <x v="2"/>
    <x v="2"/>
    <n v="357"/>
    <x v="0"/>
    <n v="357"/>
    <n v="27"/>
    <x v="0"/>
    <x v="0"/>
    <x v="0"/>
    <n v="149.94"/>
    <n v="207.06"/>
    <n v="0"/>
    <n v="0"/>
    <n v="0"/>
    <x v="1480"/>
  </r>
  <r>
    <x v="42"/>
    <x v="417"/>
    <x v="1545"/>
    <x v="0"/>
    <x v="5"/>
    <x v="0"/>
    <x v="3"/>
    <x v="8"/>
    <n v="2430"/>
    <x v="0"/>
    <n v="2430"/>
    <n v="32"/>
    <x v="19"/>
    <x v="0"/>
    <x v="0"/>
    <n v="1020.5999999999999"/>
    <n v="1409.4"/>
    <n v="0"/>
    <n v="0"/>
    <n v="0"/>
    <x v="1481"/>
  </r>
  <r>
    <x v="29"/>
    <x v="417"/>
    <x v="1546"/>
    <x v="5"/>
    <x v="2"/>
    <x v="3"/>
    <x v="2"/>
    <x v="4"/>
    <n v="312"/>
    <x v="0"/>
    <n v="312"/>
    <n v="34"/>
    <x v="27"/>
    <x v="0"/>
    <x v="0"/>
    <n v="131.04"/>
    <n v="180.96"/>
    <n v="0"/>
    <n v="0"/>
    <n v="0"/>
    <x v="1482"/>
  </r>
  <r>
    <x v="34"/>
    <x v="418"/>
    <x v="1547"/>
    <x v="6"/>
    <x v="0"/>
    <x v="2"/>
    <x v="6"/>
    <x v="10"/>
    <n v="3566"/>
    <x v="69"/>
    <n v="2146.7320000000004"/>
    <n v="47"/>
    <x v="10"/>
    <x v="0"/>
    <x v="0"/>
    <n v="901.62744000000009"/>
    <n v="1245.1045600000002"/>
    <n v="0"/>
    <n v="0"/>
    <n v="0"/>
    <x v="1483"/>
  </r>
  <r>
    <x v="44"/>
    <x v="418"/>
    <x v="1548"/>
    <x v="6"/>
    <x v="5"/>
    <x v="0"/>
    <x v="0"/>
    <x v="4"/>
    <n v="2000"/>
    <x v="11"/>
    <n v="1512"/>
    <n v="42"/>
    <x v="24"/>
    <x v="0"/>
    <x v="0"/>
    <n v="635.04"/>
    <n v="876.96"/>
    <n v="0"/>
    <n v="0"/>
    <n v="0"/>
    <x v="1484"/>
  </r>
  <r>
    <x v="23"/>
    <x v="418"/>
    <x v="1549"/>
    <x v="6"/>
    <x v="4"/>
    <x v="1"/>
    <x v="5"/>
    <x v="9"/>
    <n v="2861"/>
    <x v="165"/>
    <n v="2680.7570000000001"/>
    <n v="46"/>
    <x v="3"/>
    <x v="1"/>
    <x v="4"/>
    <n v="1125.91794"/>
    <n v="1554.83906"/>
    <n v="150"/>
    <n v="268.07570000000004"/>
    <n v="2680.7570000000001"/>
    <x v="1485"/>
  </r>
  <r>
    <x v="25"/>
    <x v="418"/>
    <x v="1550"/>
    <x v="6"/>
    <x v="1"/>
    <x v="0"/>
    <x v="2"/>
    <x v="7"/>
    <n v="1068"/>
    <x v="0"/>
    <n v="1068"/>
    <n v="23"/>
    <x v="3"/>
    <x v="0"/>
    <x v="0"/>
    <n v="448.56"/>
    <n v="619.44000000000005"/>
    <n v="0"/>
    <n v="0"/>
    <n v="0"/>
    <x v="1486"/>
  </r>
  <r>
    <x v="42"/>
    <x v="419"/>
    <x v="1551"/>
    <x v="0"/>
    <x v="5"/>
    <x v="2"/>
    <x v="0"/>
    <x v="10"/>
    <n v="2112"/>
    <x v="389"/>
    <n v="2006.3999999999999"/>
    <n v="39"/>
    <x v="3"/>
    <x v="1"/>
    <x v="6"/>
    <n v="842.68799999999987"/>
    <n v="1163.712"/>
    <n v="150"/>
    <n v="200.64"/>
    <n v="2006.3999999999999"/>
    <x v="1487"/>
  </r>
  <r>
    <x v="17"/>
    <x v="419"/>
    <x v="1552"/>
    <x v="2"/>
    <x v="0"/>
    <x v="3"/>
    <x v="5"/>
    <x v="6"/>
    <n v="3997"/>
    <x v="0"/>
    <n v="3997"/>
    <n v="1"/>
    <x v="0"/>
    <x v="0"/>
    <x v="0"/>
    <n v="1678.74"/>
    <n v="2318.2600000000002"/>
    <n v="0"/>
    <n v="0"/>
    <n v="0"/>
    <x v="1488"/>
  </r>
  <r>
    <x v="43"/>
    <x v="419"/>
    <x v="1553"/>
    <x v="4"/>
    <x v="5"/>
    <x v="1"/>
    <x v="3"/>
    <x v="9"/>
    <n v="2699"/>
    <x v="0"/>
    <n v="2699"/>
    <n v="24"/>
    <x v="41"/>
    <x v="0"/>
    <x v="0"/>
    <n v="1133.58"/>
    <n v="1565.42"/>
    <n v="0"/>
    <n v="0"/>
    <n v="0"/>
    <x v="268"/>
  </r>
  <r>
    <x v="25"/>
    <x v="420"/>
    <x v="1554"/>
    <x v="6"/>
    <x v="1"/>
    <x v="1"/>
    <x v="1"/>
    <x v="9"/>
    <n v="1582"/>
    <x v="0"/>
    <n v="1582"/>
    <n v="48"/>
    <x v="20"/>
    <x v="1"/>
    <x v="3"/>
    <n v="664.43999999999994"/>
    <n v="917.56000000000006"/>
    <n v="150"/>
    <n v="158.20000000000002"/>
    <n v="1582"/>
    <x v="1489"/>
  </r>
  <r>
    <x v="40"/>
    <x v="420"/>
    <x v="1555"/>
    <x v="5"/>
    <x v="0"/>
    <x v="1"/>
    <x v="2"/>
    <x v="7"/>
    <n v="4346"/>
    <x v="0"/>
    <n v="4346"/>
    <n v="13"/>
    <x v="29"/>
    <x v="0"/>
    <x v="0"/>
    <n v="1825.32"/>
    <n v="2520.6800000000003"/>
    <n v="0"/>
    <n v="0"/>
    <n v="0"/>
    <x v="1490"/>
  </r>
  <r>
    <x v="23"/>
    <x v="420"/>
    <x v="1556"/>
    <x v="6"/>
    <x v="4"/>
    <x v="2"/>
    <x v="2"/>
    <x v="9"/>
    <n v="2947"/>
    <x v="0"/>
    <n v="2947"/>
    <n v="34"/>
    <x v="40"/>
    <x v="0"/>
    <x v="0"/>
    <n v="1237.74"/>
    <n v="1709.26"/>
    <n v="0"/>
    <n v="0"/>
    <n v="0"/>
    <x v="254"/>
  </r>
  <r>
    <x v="24"/>
    <x v="420"/>
    <x v="1557"/>
    <x v="5"/>
    <x v="5"/>
    <x v="2"/>
    <x v="0"/>
    <x v="7"/>
    <n v="2824"/>
    <x v="0"/>
    <n v="2824"/>
    <n v="35"/>
    <x v="3"/>
    <x v="0"/>
    <x v="0"/>
    <n v="1186.08"/>
    <n v="1637.92"/>
    <n v="0"/>
    <n v="0"/>
    <n v="0"/>
    <x v="1491"/>
  </r>
  <r>
    <x v="35"/>
    <x v="421"/>
    <x v="1558"/>
    <x v="4"/>
    <x v="1"/>
    <x v="0"/>
    <x v="1"/>
    <x v="11"/>
    <n v="1669"/>
    <x v="0"/>
    <n v="1669"/>
    <n v="50"/>
    <x v="41"/>
    <x v="0"/>
    <x v="0"/>
    <n v="700.98"/>
    <n v="968.02"/>
    <n v="0"/>
    <n v="0"/>
    <n v="0"/>
    <x v="1353"/>
  </r>
  <r>
    <x v="41"/>
    <x v="421"/>
    <x v="1559"/>
    <x v="6"/>
    <x v="2"/>
    <x v="2"/>
    <x v="2"/>
    <x v="2"/>
    <n v="417"/>
    <x v="0"/>
    <n v="417"/>
    <n v="8"/>
    <x v="8"/>
    <x v="0"/>
    <x v="0"/>
    <n v="175.14"/>
    <n v="241.86"/>
    <n v="0"/>
    <n v="0"/>
    <n v="0"/>
    <x v="763"/>
  </r>
  <r>
    <x v="35"/>
    <x v="421"/>
    <x v="1560"/>
    <x v="4"/>
    <x v="1"/>
    <x v="3"/>
    <x v="1"/>
    <x v="8"/>
    <n v="1687"/>
    <x v="0"/>
    <n v="1687"/>
    <n v="30"/>
    <x v="3"/>
    <x v="1"/>
    <x v="5"/>
    <n v="708.54"/>
    <n v="978.46"/>
    <n v="150"/>
    <n v="168.70000000000002"/>
    <n v="1687"/>
    <x v="1492"/>
  </r>
  <r>
    <x v="14"/>
    <x v="421"/>
    <x v="1561"/>
    <x v="6"/>
    <x v="3"/>
    <x v="1"/>
    <x v="0"/>
    <x v="8"/>
    <n v="3115"/>
    <x v="200"/>
    <n v="1707.0200000000002"/>
    <n v="2"/>
    <x v="15"/>
    <x v="1"/>
    <x v="6"/>
    <n v="716.94840000000011"/>
    <n v="990.0716000000001"/>
    <n v="150"/>
    <n v="170.70200000000003"/>
    <n v="1707.0200000000002"/>
    <x v="1493"/>
  </r>
  <r>
    <x v="6"/>
    <x v="422"/>
    <x v="1562"/>
    <x v="0"/>
    <x v="4"/>
    <x v="3"/>
    <x v="6"/>
    <x v="1"/>
    <n v="2491"/>
    <x v="390"/>
    <n v="2234.4270000000001"/>
    <n v="4"/>
    <x v="3"/>
    <x v="1"/>
    <x v="4"/>
    <n v="938.45934"/>
    <n v="1295.9676600000003"/>
    <n v="150"/>
    <n v="223.44270000000003"/>
    <n v="2234.4270000000001"/>
    <x v="1494"/>
  </r>
  <r>
    <x v="46"/>
    <x v="422"/>
    <x v="1563"/>
    <x v="2"/>
    <x v="3"/>
    <x v="3"/>
    <x v="2"/>
    <x v="7"/>
    <n v="3429"/>
    <x v="391"/>
    <n v="3123.819"/>
    <n v="16"/>
    <x v="9"/>
    <x v="0"/>
    <x v="0"/>
    <n v="1312.00398"/>
    <n v="1811.81502"/>
    <n v="0"/>
    <n v="0"/>
    <n v="0"/>
    <x v="1495"/>
  </r>
  <r>
    <x v="18"/>
    <x v="422"/>
    <x v="1564"/>
    <x v="3"/>
    <x v="4"/>
    <x v="0"/>
    <x v="4"/>
    <x v="4"/>
    <n v="2482"/>
    <x v="0"/>
    <n v="2482"/>
    <n v="46"/>
    <x v="9"/>
    <x v="0"/>
    <x v="0"/>
    <n v="1042.44"/>
    <n v="1439.56"/>
    <n v="0"/>
    <n v="0"/>
    <n v="0"/>
    <x v="595"/>
  </r>
  <r>
    <x v="30"/>
    <x v="422"/>
    <x v="1565"/>
    <x v="7"/>
    <x v="4"/>
    <x v="2"/>
    <x v="6"/>
    <x v="2"/>
    <n v="2586"/>
    <x v="0"/>
    <n v="2586"/>
    <n v="41"/>
    <x v="3"/>
    <x v="1"/>
    <x v="4"/>
    <n v="1086.1199999999999"/>
    <n v="1499.88"/>
    <n v="150"/>
    <n v="258.60000000000002"/>
    <n v="2586"/>
    <x v="778"/>
  </r>
  <r>
    <x v="17"/>
    <x v="423"/>
    <x v="1566"/>
    <x v="2"/>
    <x v="0"/>
    <x v="0"/>
    <x v="5"/>
    <x v="9"/>
    <n v="4283"/>
    <x v="0"/>
    <n v="4283"/>
    <n v="37"/>
    <x v="8"/>
    <x v="0"/>
    <x v="0"/>
    <n v="1798.86"/>
    <n v="2484.1400000000003"/>
    <n v="0"/>
    <n v="0"/>
    <n v="0"/>
    <x v="1496"/>
  </r>
  <r>
    <x v="19"/>
    <x v="423"/>
    <x v="1567"/>
    <x v="2"/>
    <x v="5"/>
    <x v="1"/>
    <x v="1"/>
    <x v="7"/>
    <n v="2804"/>
    <x v="0"/>
    <n v="2804"/>
    <n v="40"/>
    <x v="6"/>
    <x v="1"/>
    <x v="3"/>
    <n v="1177.68"/>
    <n v="1626.32"/>
    <n v="150"/>
    <n v="280.40000000000003"/>
    <n v="2804"/>
    <x v="1497"/>
  </r>
  <r>
    <x v="0"/>
    <x v="423"/>
    <x v="1568"/>
    <x v="0"/>
    <x v="0"/>
    <x v="0"/>
    <x v="5"/>
    <x v="8"/>
    <n v="4279"/>
    <x v="0"/>
    <n v="4279"/>
    <n v="7"/>
    <x v="1"/>
    <x v="1"/>
    <x v="4"/>
    <n v="1797.1799999999998"/>
    <n v="2481.8200000000002"/>
    <n v="150"/>
    <n v="427.90000000000003"/>
    <n v="4279"/>
    <x v="1498"/>
  </r>
  <r>
    <x v="5"/>
    <x v="423"/>
    <x v="1569"/>
    <x v="0"/>
    <x v="2"/>
    <x v="3"/>
    <x v="2"/>
    <x v="3"/>
    <n v="301"/>
    <x v="128"/>
    <n v="213.10799999999998"/>
    <n v="20"/>
    <x v="18"/>
    <x v="0"/>
    <x v="0"/>
    <n v="89.505359999999982"/>
    <n v="123.60263999999999"/>
    <n v="0"/>
    <n v="0"/>
    <n v="0"/>
    <x v="1499"/>
  </r>
  <r>
    <x v="21"/>
    <x v="424"/>
    <x v="1570"/>
    <x v="1"/>
    <x v="4"/>
    <x v="0"/>
    <x v="2"/>
    <x v="4"/>
    <n v="2738"/>
    <x v="392"/>
    <n v="1240.3139999999999"/>
    <n v="2"/>
    <x v="6"/>
    <x v="0"/>
    <x v="0"/>
    <n v="520.93187999999986"/>
    <n v="719.38211999999999"/>
    <n v="0"/>
    <n v="0"/>
    <n v="0"/>
    <x v="1500"/>
  </r>
  <r>
    <x v="16"/>
    <x v="424"/>
    <x v="1571"/>
    <x v="3"/>
    <x v="0"/>
    <x v="0"/>
    <x v="4"/>
    <x v="0"/>
    <n v="3125"/>
    <x v="240"/>
    <n v="1981.25"/>
    <n v="11"/>
    <x v="26"/>
    <x v="0"/>
    <x v="0"/>
    <n v="832.125"/>
    <n v="1149.125"/>
    <n v="0"/>
    <n v="0"/>
    <n v="0"/>
    <x v="1501"/>
  </r>
  <r>
    <x v="5"/>
    <x v="424"/>
    <x v="1572"/>
    <x v="0"/>
    <x v="2"/>
    <x v="0"/>
    <x v="2"/>
    <x v="11"/>
    <n v="463"/>
    <x v="393"/>
    <n v="407.44"/>
    <n v="0"/>
    <x v="32"/>
    <x v="1"/>
    <x v="3"/>
    <n v="171.12479999999999"/>
    <n v="236.3152"/>
    <n v="150"/>
    <n v="40.744"/>
    <n v="407.44"/>
    <x v="1502"/>
  </r>
  <r>
    <x v="15"/>
    <x v="424"/>
    <x v="1573"/>
    <x v="5"/>
    <x v="1"/>
    <x v="0"/>
    <x v="3"/>
    <x v="5"/>
    <n v="902"/>
    <x v="267"/>
    <n v="791.95600000000002"/>
    <n v="39"/>
    <x v="29"/>
    <x v="1"/>
    <x v="5"/>
    <n v="332.62151999999998"/>
    <n v="459.33448000000004"/>
    <n v="150"/>
    <n v="79.195600000000013"/>
    <n v="791.95600000000002"/>
    <x v="1503"/>
  </r>
  <r>
    <x v="23"/>
    <x v="425"/>
    <x v="1574"/>
    <x v="6"/>
    <x v="4"/>
    <x v="0"/>
    <x v="3"/>
    <x v="0"/>
    <n v="2595"/>
    <x v="394"/>
    <n v="1702.3200000000002"/>
    <n v="28"/>
    <x v="32"/>
    <x v="0"/>
    <x v="0"/>
    <n v="714.97440000000006"/>
    <n v="987.3456000000001"/>
    <n v="0"/>
    <n v="0"/>
    <n v="0"/>
    <x v="1504"/>
  </r>
  <r>
    <x v="33"/>
    <x v="425"/>
    <x v="1575"/>
    <x v="7"/>
    <x v="0"/>
    <x v="3"/>
    <x v="3"/>
    <x v="8"/>
    <n v="4179"/>
    <x v="0"/>
    <n v="4179"/>
    <n v="13"/>
    <x v="24"/>
    <x v="0"/>
    <x v="0"/>
    <n v="1755.1799999999998"/>
    <n v="2423.8200000000002"/>
    <n v="0"/>
    <n v="0"/>
    <n v="0"/>
    <x v="1505"/>
  </r>
  <r>
    <x v="16"/>
    <x v="425"/>
    <x v="1576"/>
    <x v="3"/>
    <x v="0"/>
    <x v="3"/>
    <x v="1"/>
    <x v="9"/>
    <n v="3162"/>
    <x v="303"/>
    <n v="2640.27"/>
    <n v="9"/>
    <x v="23"/>
    <x v="1"/>
    <x v="3"/>
    <n v="1108.9133999999999"/>
    <n v="1531.3566000000001"/>
    <n v="150"/>
    <n v="264.02699999999999"/>
    <n v="2640.27"/>
    <x v="1506"/>
  </r>
  <r>
    <x v="34"/>
    <x v="425"/>
    <x v="1577"/>
    <x v="6"/>
    <x v="0"/>
    <x v="3"/>
    <x v="5"/>
    <x v="5"/>
    <n v="3413"/>
    <x v="395"/>
    <n v="3389.1089999999999"/>
    <n v="24"/>
    <x v="3"/>
    <x v="1"/>
    <x v="4"/>
    <n v="1423.4257799999998"/>
    <n v="1965.6832200000001"/>
    <n v="150"/>
    <n v="338.91090000000003"/>
    <n v="3389.1089999999999"/>
    <x v="1507"/>
  </r>
  <r>
    <x v="25"/>
    <x v="426"/>
    <x v="1578"/>
    <x v="6"/>
    <x v="1"/>
    <x v="1"/>
    <x v="0"/>
    <x v="10"/>
    <n v="1049"/>
    <x v="0"/>
    <n v="1049"/>
    <n v="36"/>
    <x v="14"/>
    <x v="0"/>
    <x v="0"/>
    <n v="440.58"/>
    <n v="608.42000000000007"/>
    <n v="0"/>
    <n v="0"/>
    <n v="0"/>
    <x v="1508"/>
  </r>
  <r>
    <x v="22"/>
    <x v="426"/>
    <x v="1579"/>
    <x v="2"/>
    <x v="4"/>
    <x v="0"/>
    <x v="1"/>
    <x v="4"/>
    <n v="2829"/>
    <x v="17"/>
    <n v="1304.1689999999999"/>
    <n v="48"/>
    <x v="16"/>
    <x v="1"/>
    <x v="6"/>
    <n v="547.75097999999991"/>
    <n v="756.41801999999996"/>
    <n v="150"/>
    <n v="130.4169"/>
    <n v="1304.1689999999999"/>
    <x v="1509"/>
  </r>
  <r>
    <x v="18"/>
    <x v="426"/>
    <x v="1580"/>
    <x v="3"/>
    <x v="4"/>
    <x v="1"/>
    <x v="2"/>
    <x v="3"/>
    <n v="2164"/>
    <x v="396"/>
    <n v="1105.8040000000001"/>
    <n v="5"/>
    <x v="13"/>
    <x v="0"/>
    <x v="0"/>
    <n v="464.43768"/>
    <n v="641.36632000000009"/>
    <n v="0"/>
    <n v="0"/>
    <n v="0"/>
    <x v="1510"/>
  </r>
  <r>
    <x v="9"/>
    <x v="426"/>
    <x v="1581"/>
    <x v="4"/>
    <x v="0"/>
    <x v="1"/>
    <x v="3"/>
    <x v="8"/>
    <n v="3123"/>
    <x v="0"/>
    <n v="3123"/>
    <n v="24"/>
    <x v="14"/>
    <x v="1"/>
    <x v="3"/>
    <n v="1311.6599999999999"/>
    <n v="1811.3400000000001"/>
    <n v="150"/>
    <n v="312.3"/>
    <n v="3123"/>
    <x v="1511"/>
  </r>
  <r>
    <x v="44"/>
    <x v="427"/>
    <x v="1582"/>
    <x v="6"/>
    <x v="5"/>
    <x v="0"/>
    <x v="0"/>
    <x v="0"/>
    <n v="2102"/>
    <x v="57"/>
    <n v="1769.884"/>
    <n v="49"/>
    <x v="30"/>
    <x v="1"/>
    <x v="2"/>
    <n v="743.35127999999997"/>
    <n v="1026.5327200000002"/>
    <n v="150"/>
    <n v="176.98840000000001"/>
    <n v="1769.884"/>
    <x v="1512"/>
  </r>
  <r>
    <x v="18"/>
    <x v="427"/>
    <x v="1583"/>
    <x v="3"/>
    <x v="4"/>
    <x v="3"/>
    <x v="4"/>
    <x v="5"/>
    <n v="2993"/>
    <x v="0"/>
    <n v="2993"/>
    <n v="14"/>
    <x v="37"/>
    <x v="0"/>
    <x v="0"/>
    <n v="1257.06"/>
    <n v="1735.94"/>
    <n v="0"/>
    <n v="0"/>
    <n v="0"/>
    <x v="514"/>
  </r>
  <r>
    <x v="13"/>
    <x v="427"/>
    <x v="1584"/>
    <x v="3"/>
    <x v="2"/>
    <x v="3"/>
    <x v="2"/>
    <x v="6"/>
    <n v="250"/>
    <x v="95"/>
    <n v="128"/>
    <n v="13"/>
    <x v="14"/>
    <x v="1"/>
    <x v="3"/>
    <n v="53.76"/>
    <n v="74.240000000000009"/>
    <n v="150"/>
    <n v="12.8"/>
    <n v="128"/>
    <x v="1513"/>
  </r>
  <r>
    <x v="27"/>
    <x v="427"/>
    <x v="1585"/>
    <x v="7"/>
    <x v="2"/>
    <x v="3"/>
    <x v="2"/>
    <x v="0"/>
    <n v="401"/>
    <x v="0"/>
    <n v="401"/>
    <n v="24"/>
    <x v="6"/>
    <x v="1"/>
    <x v="4"/>
    <n v="168.42"/>
    <n v="232.58"/>
    <n v="150"/>
    <n v="40.1"/>
    <n v="401"/>
    <x v="1514"/>
  </r>
  <r>
    <x v="6"/>
    <x v="428"/>
    <x v="1586"/>
    <x v="0"/>
    <x v="4"/>
    <x v="2"/>
    <x v="1"/>
    <x v="1"/>
    <n v="2158"/>
    <x v="397"/>
    <n v="1329.328"/>
    <n v="11"/>
    <x v="4"/>
    <x v="0"/>
    <x v="0"/>
    <n v="558.31776000000002"/>
    <n v="771.01023999999995"/>
    <n v="0"/>
    <n v="0"/>
    <n v="0"/>
    <x v="1515"/>
  </r>
  <r>
    <x v="2"/>
    <x v="428"/>
    <x v="1587"/>
    <x v="1"/>
    <x v="2"/>
    <x v="1"/>
    <x v="2"/>
    <x v="9"/>
    <n v="419"/>
    <x v="317"/>
    <n v="390.50799999999998"/>
    <n v="41"/>
    <x v="20"/>
    <x v="0"/>
    <x v="0"/>
    <n v="164.01335999999998"/>
    <n v="226.49464"/>
    <n v="0"/>
    <n v="0"/>
    <n v="0"/>
    <x v="1516"/>
  </r>
  <r>
    <x v="35"/>
    <x v="428"/>
    <x v="1588"/>
    <x v="4"/>
    <x v="1"/>
    <x v="0"/>
    <x v="1"/>
    <x v="6"/>
    <n v="1005"/>
    <x v="294"/>
    <n v="713.55"/>
    <n v="38"/>
    <x v="39"/>
    <x v="0"/>
    <x v="0"/>
    <n v="299.69099999999997"/>
    <n v="413.85899999999998"/>
    <n v="0"/>
    <n v="0"/>
    <n v="0"/>
    <x v="1517"/>
  </r>
  <r>
    <x v="20"/>
    <x v="428"/>
    <x v="1589"/>
    <x v="7"/>
    <x v="1"/>
    <x v="0"/>
    <x v="5"/>
    <x v="6"/>
    <n v="1576"/>
    <x v="0"/>
    <n v="1576"/>
    <n v="39"/>
    <x v="21"/>
    <x v="0"/>
    <x v="0"/>
    <n v="661.92"/>
    <n v="914.08"/>
    <n v="0"/>
    <n v="0"/>
    <n v="0"/>
    <x v="1518"/>
  </r>
  <r>
    <x v="30"/>
    <x v="429"/>
    <x v="1590"/>
    <x v="7"/>
    <x v="4"/>
    <x v="3"/>
    <x v="4"/>
    <x v="7"/>
    <n v="2291"/>
    <x v="0"/>
    <n v="2291"/>
    <n v="2"/>
    <x v="3"/>
    <x v="1"/>
    <x v="3"/>
    <n v="962.21999999999991"/>
    <n v="1328.7800000000002"/>
    <n v="150"/>
    <n v="229.10000000000002"/>
    <n v="2291"/>
    <x v="1519"/>
  </r>
  <r>
    <x v="22"/>
    <x v="429"/>
    <x v="1591"/>
    <x v="2"/>
    <x v="4"/>
    <x v="1"/>
    <x v="4"/>
    <x v="11"/>
    <n v="2853"/>
    <x v="0"/>
    <n v="2853"/>
    <n v="3"/>
    <x v="24"/>
    <x v="0"/>
    <x v="0"/>
    <n v="1198.26"/>
    <n v="1654.74"/>
    <n v="0"/>
    <n v="0"/>
    <n v="0"/>
    <x v="1520"/>
  </r>
  <r>
    <x v="31"/>
    <x v="429"/>
    <x v="1592"/>
    <x v="2"/>
    <x v="2"/>
    <x v="1"/>
    <x v="2"/>
    <x v="6"/>
    <n v="344"/>
    <x v="302"/>
    <n v="316.13600000000002"/>
    <n v="12"/>
    <x v="16"/>
    <x v="0"/>
    <x v="0"/>
    <n v="132.77712"/>
    <n v="183.35888000000003"/>
    <n v="0"/>
    <n v="0"/>
    <n v="0"/>
    <x v="1521"/>
  </r>
  <r>
    <x v="1"/>
    <x v="429"/>
    <x v="1593"/>
    <x v="1"/>
    <x v="1"/>
    <x v="3"/>
    <x v="4"/>
    <x v="8"/>
    <n v="1092"/>
    <x v="0"/>
    <n v="1092"/>
    <n v="14"/>
    <x v="36"/>
    <x v="0"/>
    <x v="0"/>
    <n v="458.64"/>
    <n v="633.36"/>
    <n v="0"/>
    <n v="0"/>
    <n v="0"/>
    <x v="1522"/>
  </r>
  <r>
    <x v="46"/>
    <x v="430"/>
    <x v="1594"/>
    <x v="2"/>
    <x v="3"/>
    <x v="1"/>
    <x v="6"/>
    <x v="10"/>
    <n v="4235"/>
    <x v="0"/>
    <n v="4235"/>
    <n v="26"/>
    <x v="16"/>
    <x v="1"/>
    <x v="3"/>
    <n v="1778.7"/>
    <n v="2456.3000000000002"/>
    <n v="150"/>
    <n v="423.5"/>
    <n v="4235"/>
    <x v="1523"/>
  </r>
  <r>
    <x v="26"/>
    <x v="430"/>
    <x v="1595"/>
    <x v="0"/>
    <x v="3"/>
    <x v="0"/>
    <x v="3"/>
    <x v="7"/>
    <n v="3566"/>
    <x v="0"/>
    <n v="3566"/>
    <n v="48"/>
    <x v="37"/>
    <x v="1"/>
    <x v="4"/>
    <n v="1497.72"/>
    <n v="2068.2799999999997"/>
    <n v="150"/>
    <n v="356.6"/>
    <n v="3566"/>
    <x v="1524"/>
  </r>
  <r>
    <x v="9"/>
    <x v="430"/>
    <x v="1596"/>
    <x v="4"/>
    <x v="0"/>
    <x v="2"/>
    <x v="0"/>
    <x v="5"/>
    <n v="3627"/>
    <x v="0"/>
    <n v="3627"/>
    <n v="18"/>
    <x v="22"/>
    <x v="0"/>
    <x v="0"/>
    <n v="1523.34"/>
    <n v="2103.66"/>
    <n v="0"/>
    <n v="0"/>
    <n v="0"/>
    <x v="1525"/>
  </r>
  <r>
    <x v="6"/>
    <x v="431"/>
    <x v="1597"/>
    <x v="0"/>
    <x v="4"/>
    <x v="1"/>
    <x v="6"/>
    <x v="10"/>
    <n v="2598"/>
    <x v="0"/>
    <n v="2598"/>
    <n v="3"/>
    <x v="3"/>
    <x v="0"/>
    <x v="0"/>
    <n v="1091.1599999999999"/>
    <n v="1506.8400000000001"/>
    <n v="0"/>
    <n v="0"/>
    <n v="0"/>
    <x v="1526"/>
  </r>
  <r>
    <x v="24"/>
    <x v="431"/>
    <x v="1598"/>
    <x v="5"/>
    <x v="5"/>
    <x v="1"/>
    <x v="6"/>
    <x v="5"/>
    <n v="2253"/>
    <x v="0"/>
    <n v="2253"/>
    <n v="4"/>
    <x v="11"/>
    <x v="0"/>
    <x v="0"/>
    <n v="946.26"/>
    <n v="1306.74"/>
    <n v="0"/>
    <n v="0"/>
    <n v="0"/>
    <x v="1527"/>
  </r>
  <r>
    <x v="16"/>
    <x v="431"/>
    <x v="1599"/>
    <x v="3"/>
    <x v="0"/>
    <x v="0"/>
    <x v="5"/>
    <x v="3"/>
    <n v="3716"/>
    <x v="0"/>
    <n v="3716"/>
    <n v="46"/>
    <x v="3"/>
    <x v="1"/>
    <x v="1"/>
    <n v="1560.72"/>
    <n v="2155.2799999999997"/>
    <n v="150"/>
    <n v="371.6"/>
    <n v="3716"/>
    <x v="1528"/>
  </r>
  <r>
    <x v="17"/>
    <x v="431"/>
    <x v="1600"/>
    <x v="2"/>
    <x v="0"/>
    <x v="3"/>
    <x v="6"/>
    <x v="6"/>
    <n v="4235"/>
    <x v="0"/>
    <n v="4235"/>
    <n v="32"/>
    <x v="29"/>
    <x v="0"/>
    <x v="0"/>
    <n v="1778.7"/>
    <n v="2456.3000000000002"/>
    <n v="0"/>
    <n v="0"/>
    <n v="0"/>
    <x v="1529"/>
  </r>
  <r>
    <x v="31"/>
    <x v="431"/>
    <x v="1601"/>
    <x v="2"/>
    <x v="2"/>
    <x v="3"/>
    <x v="2"/>
    <x v="0"/>
    <n v="318"/>
    <x v="41"/>
    <n v="160.59"/>
    <n v="26"/>
    <x v="41"/>
    <x v="1"/>
    <x v="1"/>
    <n v="67.447800000000001"/>
    <n v="93.142200000000003"/>
    <n v="150"/>
    <n v="16.059000000000001"/>
    <n v="160.59"/>
    <x v="1530"/>
  </r>
  <r>
    <x v="26"/>
    <x v="432"/>
    <x v="1602"/>
    <x v="0"/>
    <x v="3"/>
    <x v="1"/>
    <x v="2"/>
    <x v="4"/>
    <n v="3455"/>
    <x v="0"/>
    <n v="3455"/>
    <n v="5"/>
    <x v="8"/>
    <x v="1"/>
    <x v="4"/>
    <n v="1451.1"/>
    <n v="2003.9"/>
    <n v="150"/>
    <n v="345.5"/>
    <n v="3455"/>
    <x v="1531"/>
  </r>
  <r>
    <x v="23"/>
    <x v="432"/>
    <x v="1603"/>
    <x v="6"/>
    <x v="4"/>
    <x v="2"/>
    <x v="2"/>
    <x v="7"/>
    <n v="2712"/>
    <x v="0"/>
    <n v="2712"/>
    <n v="9"/>
    <x v="1"/>
    <x v="0"/>
    <x v="0"/>
    <n v="1139.04"/>
    <n v="1572.96"/>
    <n v="0"/>
    <n v="0"/>
    <n v="0"/>
    <x v="1532"/>
  </r>
  <r>
    <x v="12"/>
    <x v="432"/>
    <x v="1604"/>
    <x v="1"/>
    <x v="5"/>
    <x v="0"/>
    <x v="0"/>
    <x v="6"/>
    <n v="2185"/>
    <x v="0"/>
    <n v="2185"/>
    <n v="23"/>
    <x v="20"/>
    <x v="0"/>
    <x v="0"/>
    <n v="917.69999999999993"/>
    <n v="1267.3000000000002"/>
    <n v="0"/>
    <n v="0"/>
    <n v="0"/>
    <x v="424"/>
  </r>
  <r>
    <x v="7"/>
    <x v="433"/>
    <x v="1605"/>
    <x v="3"/>
    <x v="5"/>
    <x v="1"/>
    <x v="4"/>
    <x v="6"/>
    <n v="2998"/>
    <x v="0"/>
    <n v="2998"/>
    <n v="30"/>
    <x v="41"/>
    <x v="0"/>
    <x v="0"/>
    <n v="1259.1599999999999"/>
    <n v="1738.8400000000001"/>
    <n v="0"/>
    <n v="0"/>
    <n v="0"/>
    <x v="1533"/>
  </r>
  <r>
    <x v="28"/>
    <x v="433"/>
    <x v="1606"/>
    <x v="3"/>
    <x v="3"/>
    <x v="1"/>
    <x v="5"/>
    <x v="2"/>
    <n v="3083"/>
    <x v="0"/>
    <n v="3083"/>
    <n v="17"/>
    <x v="9"/>
    <x v="0"/>
    <x v="0"/>
    <n v="1294.8599999999999"/>
    <n v="1788.14"/>
    <n v="0"/>
    <n v="0"/>
    <n v="0"/>
    <x v="1534"/>
  </r>
  <r>
    <x v="27"/>
    <x v="433"/>
    <x v="1607"/>
    <x v="7"/>
    <x v="2"/>
    <x v="2"/>
    <x v="2"/>
    <x v="2"/>
    <n v="166"/>
    <x v="0"/>
    <n v="166"/>
    <n v="37"/>
    <x v="3"/>
    <x v="1"/>
    <x v="4"/>
    <n v="69.72"/>
    <n v="96.28"/>
    <n v="150"/>
    <n v="16.600000000000001"/>
    <n v="166"/>
    <x v="1187"/>
  </r>
  <r>
    <x v="1"/>
    <x v="433"/>
    <x v="1608"/>
    <x v="1"/>
    <x v="1"/>
    <x v="0"/>
    <x v="0"/>
    <x v="0"/>
    <n v="1675"/>
    <x v="0"/>
    <n v="1675"/>
    <n v="41"/>
    <x v="10"/>
    <x v="0"/>
    <x v="0"/>
    <n v="703.5"/>
    <n v="971.5"/>
    <n v="0"/>
    <n v="0"/>
    <n v="0"/>
    <x v="1535"/>
  </r>
  <r>
    <x v="41"/>
    <x v="434"/>
    <x v="1609"/>
    <x v="6"/>
    <x v="2"/>
    <x v="2"/>
    <x v="2"/>
    <x v="5"/>
    <n v="210"/>
    <x v="398"/>
    <n v="194.67000000000002"/>
    <n v="46"/>
    <x v="14"/>
    <x v="0"/>
    <x v="0"/>
    <n v="81.761400000000009"/>
    <n v="112.90860000000001"/>
    <n v="0"/>
    <n v="0"/>
    <n v="0"/>
    <x v="1536"/>
  </r>
  <r>
    <x v="13"/>
    <x v="434"/>
    <x v="1610"/>
    <x v="3"/>
    <x v="2"/>
    <x v="2"/>
    <x v="2"/>
    <x v="10"/>
    <n v="343"/>
    <x v="399"/>
    <n v="325.16399999999999"/>
    <n v="18"/>
    <x v="3"/>
    <x v="0"/>
    <x v="0"/>
    <n v="136.56887999999998"/>
    <n v="188.59512000000001"/>
    <n v="0"/>
    <n v="0"/>
    <n v="0"/>
    <x v="1537"/>
  </r>
  <r>
    <x v="22"/>
    <x v="434"/>
    <x v="1611"/>
    <x v="2"/>
    <x v="4"/>
    <x v="0"/>
    <x v="0"/>
    <x v="0"/>
    <n v="2328"/>
    <x v="0"/>
    <n v="2328"/>
    <n v="17"/>
    <x v="13"/>
    <x v="0"/>
    <x v="0"/>
    <n v="977.76"/>
    <n v="1350.24"/>
    <n v="0"/>
    <n v="0"/>
    <n v="0"/>
    <x v="1538"/>
  </r>
  <r>
    <x v="19"/>
    <x v="434"/>
    <x v="1612"/>
    <x v="2"/>
    <x v="5"/>
    <x v="1"/>
    <x v="4"/>
    <x v="9"/>
    <n v="2319"/>
    <x v="400"/>
    <n v="1384.443"/>
    <n v="27"/>
    <x v="13"/>
    <x v="0"/>
    <x v="0"/>
    <n v="581.46605999999997"/>
    <n v="802.97694000000001"/>
    <n v="0"/>
    <n v="0"/>
    <n v="0"/>
    <x v="1539"/>
  </r>
  <r>
    <x v="45"/>
    <x v="435"/>
    <x v="1613"/>
    <x v="7"/>
    <x v="3"/>
    <x v="3"/>
    <x v="3"/>
    <x v="8"/>
    <n v="3913"/>
    <x v="401"/>
    <n v="2222.5839999999998"/>
    <n v="16"/>
    <x v="30"/>
    <x v="0"/>
    <x v="0"/>
    <n v="933.48527999999988"/>
    <n v="1289.09872"/>
    <n v="0"/>
    <n v="0"/>
    <n v="0"/>
    <x v="1540"/>
  </r>
  <r>
    <x v="7"/>
    <x v="435"/>
    <x v="1614"/>
    <x v="3"/>
    <x v="5"/>
    <x v="0"/>
    <x v="3"/>
    <x v="7"/>
    <n v="2208"/>
    <x v="0"/>
    <n v="2208"/>
    <n v="13"/>
    <x v="21"/>
    <x v="0"/>
    <x v="0"/>
    <n v="927.36"/>
    <n v="1280.6399999999999"/>
    <n v="0"/>
    <n v="0"/>
    <n v="0"/>
    <x v="1541"/>
  </r>
  <r>
    <x v="26"/>
    <x v="435"/>
    <x v="1615"/>
    <x v="0"/>
    <x v="3"/>
    <x v="3"/>
    <x v="3"/>
    <x v="0"/>
    <n v="3555"/>
    <x v="256"/>
    <n v="1987.2449999999999"/>
    <n v="2"/>
    <x v="6"/>
    <x v="0"/>
    <x v="0"/>
    <n v="834.64289999999994"/>
    <n v="1152.6021000000001"/>
    <n v="0"/>
    <n v="0"/>
    <n v="0"/>
    <x v="1542"/>
  </r>
  <r>
    <x v="45"/>
    <x v="435"/>
    <x v="1616"/>
    <x v="7"/>
    <x v="3"/>
    <x v="3"/>
    <x v="4"/>
    <x v="6"/>
    <n v="3033"/>
    <x v="0"/>
    <n v="3033"/>
    <n v="30"/>
    <x v="17"/>
    <x v="0"/>
    <x v="0"/>
    <n v="1273.8599999999999"/>
    <n v="1759.14"/>
    <n v="0"/>
    <n v="0"/>
    <n v="0"/>
    <x v="1543"/>
  </r>
  <r>
    <x v="33"/>
    <x v="436"/>
    <x v="1617"/>
    <x v="7"/>
    <x v="0"/>
    <x v="2"/>
    <x v="6"/>
    <x v="10"/>
    <n v="4285"/>
    <x v="0"/>
    <n v="4285"/>
    <n v="5"/>
    <x v="3"/>
    <x v="0"/>
    <x v="0"/>
    <n v="1799.7"/>
    <n v="2485.3000000000002"/>
    <n v="0"/>
    <n v="0"/>
    <n v="0"/>
    <x v="1544"/>
  </r>
  <r>
    <x v="8"/>
    <x v="436"/>
    <x v="1618"/>
    <x v="1"/>
    <x v="0"/>
    <x v="2"/>
    <x v="3"/>
    <x v="2"/>
    <n v="3413"/>
    <x v="37"/>
    <n v="3006.8530000000001"/>
    <n v="35"/>
    <x v="17"/>
    <x v="0"/>
    <x v="0"/>
    <n v="1262.87826"/>
    <n v="1743.9747400000001"/>
    <n v="0"/>
    <n v="0"/>
    <n v="0"/>
    <x v="1545"/>
  </r>
  <r>
    <x v="14"/>
    <x v="436"/>
    <x v="1619"/>
    <x v="6"/>
    <x v="3"/>
    <x v="1"/>
    <x v="0"/>
    <x v="8"/>
    <n v="3938"/>
    <x v="0"/>
    <n v="3938"/>
    <n v="7"/>
    <x v="8"/>
    <x v="0"/>
    <x v="0"/>
    <n v="1653.96"/>
    <n v="2284.04"/>
    <n v="0"/>
    <n v="0"/>
    <n v="0"/>
    <x v="1546"/>
  </r>
  <r>
    <x v="8"/>
    <x v="436"/>
    <x v="1620"/>
    <x v="1"/>
    <x v="0"/>
    <x v="2"/>
    <x v="5"/>
    <x v="7"/>
    <n v="3441"/>
    <x v="0"/>
    <n v="3441"/>
    <n v="38"/>
    <x v="10"/>
    <x v="1"/>
    <x v="4"/>
    <n v="1445.22"/>
    <n v="1995.78"/>
    <n v="150"/>
    <n v="344.1"/>
    <n v="3441"/>
    <x v="1547"/>
  </r>
  <r>
    <x v="16"/>
    <x v="437"/>
    <x v="1621"/>
    <x v="3"/>
    <x v="0"/>
    <x v="0"/>
    <x v="5"/>
    <x v="7"/>
    <n v="4096"/>
    <x v="289"/>
    <n v="2916.3519999999999"/>
    <n v="43"/>
    <x v="33"/>
    <x v="1"/>
    <x v="3"/>
    <n v="1224.8678399999999"/>
    <n v="1691.48416"/>
    <n v="150"/>
    <n v="291.6352"/>
    <n v="2916.3519999999999"/>
    <x v="1548"/>
  </r>
  <r>
    <x v="12"/>
    <x v="437"/>
    <x v="1622"/>
    <x v="1"/>
    <x v="5"/>
    <x v="0"/>
    <x v="3"/>
    <x v="1"/>
    <n v="1961"/>
    <x v="402"/>
    <n v="909.90399999999988"/>
    <n v="4"/>
    <x v="17"/>
    <x v="1"/>
    <x v="2"/>
    <n v="382.15967999999992"/>
    <n v="527.74432000000002"/>
    <n v="150"/>
    <n v="90.990399999999994"/>
    <n v="909.90399999999988"/>
    <x v="1549"/>
  </r>
  <r>
    <x v="31"/>
    <x v="437"/>
    <x v="1623"/>
    <x v="2"/>
    <x v="2"/>
    <x v="0"/>
    <x v="2"/>
    <x v="6"/>
    <n v="185"/>
    <x v="0"/>
    <n v="185"/>
    <n v="29"/>
    <x v="37"/>
    <x v="1"/>
    <x v="1"/>
    <n v="77.7"/>
    <n v="107.3"/>
    <n v="150"/>
    <n v="18.5"/>
    <n v="185"/>
    <x v="542"/>
  </r>
  <r>
    <x v="38"/>
    <x v="437"/>
    <x v="1624"/>
    <x v="0"/>
    <x v="1"/>
    <x v="2"/>
    <x v="4"/>
    <x v="7"/>
    <n v="1247"/>
    <x v="400"/>
    <n v="744.45899999999995"/>
    <n v="21"/>
    <x v="40"/>
    <x v="1"/>
    <x v="3"/>
    <n v="312.67277999999999"/>
    <n v="431.78621999999996"/>
    <n v="150"/>
    <n v="74.445899999999995"/>
    <n v="744.45899999999995"/>
    <x v="1550"/>
  </r>
  <r>
    <x v="36"/>
    <x v="437"/>
    <x v="1625"/>
    <x v="5"/>
    <x v="3"/>
    <x v="2"/>
    <x v="4"/>
    <x v="3"/>
    <n v="3032"/>
    <x v="230"/>
    <n v="2204.2640000000001"/>
    <n v="6"/>
    <x v="24"/>
    <x v="0"/>
    <x v="0"/>
    <n v="925.79088000000002"/>
    <n v="1278.4731200000001"/>
    <n v="0"/>
    <n v="0"/>
    <n v="0"/>
    <x v="1551"/>
  </r>
  <r>
    <x v="33"/>
    <x v="438"/>
    <x v="1626"/>
    <x v="7"/>
    <x v="0"/>
    <x v="2"/>
    <x v="6"/>
    <x v="5"/>
    <n v="3349"/>
    <x v="352"/>
    <n v="2314.1590000000001"/>
    <n v="14"/>
    <x v="27"/>
    <x v="0"/>
    <x v="0"/>
    <n v="971.94677999999999"/>
    <n v="1342.2122200000001"/>
    <n v="0"/>
    <n v="0"/>
    <n v="0"/>
    <x v="1552"/>
  </r>
  <r>
    <x v="4"/>
    <x v="438"/>
    <x v="1627"/>
    <x v="2"/>
    <x v="1"/>
    <x v="1"/>
    <x v="3"/>
    <x v="9"/>
    <n v="1535"/>
    <x v="352"/>
    <n v="1060.6850000000002"/>
    <n v="17"/>
    <x v="1"/>
    <x v="0"/>
    <x v="0"/>
    <n v="445.48770000000007"/>
    <n v="615.19730000000004"/>
    <n v="0"/>
    <n v="0"/>
    <n v="0"/>
    <x v="1553"/>
  </r>
  <r>
    <x v="8"/>
    <x v="438"/>
    <x v="1628"/>
    <x v="1"/>
    <x v="0"/>
    <x v="3"/>
    <x v="6"/>
    <x v="5"/>
    <n v="4189"/>
    <x v="342"/>
    <n v="1759.38"/>
    <n v="21"/>
    <x v="2"/>
    <x v="0"/>
    <x v="0"/>
    <n v="738.93960000000004"/>
    <n v="1020.4404000000001"/>
    <n v="0"/>
    <n v="0"/>
    <n v="0"/>
    <x v="1554"/>
  </r>
  <r>
    <x v="16"/>
    <x v="439"/>
    <x v="1629"/>
    <x v="3"/>
    <x v="0"/>
    <x v="2"/>
    <x v="6"/>
    <x v="10"/>
    <n v="4013"/>
    <x v="0"/>
    <n v="4013"/>
    <n v="25"/>
    <x v="8"/>
    <x v="1"/>
    <x v="3"/>
    <n v="1685.46"/>
    <n v="2327.54"/>
    <n v="150"/>
    <n v="401.3"/>
    <n v="4013"/>
    <x v="1555"/>
  </r>
  <r>
    <x v="2"/>
    <x v="439"/>
    <x v="1630"/>
    <x v="1"/>
    <x v="2"/>
    <x v="2"/>
    <x v="2"/>
    <x v="8"/>
    <n v="164"/>
    <x v="0"/>
    <n v="164"/>
    <n v="28"/>
    <x v="24"/>
    <x v="0"/>
    <x v="0"/>
    <n v="68.88"/>
    <n v="95.12"/>
    <n v="0"/>
    <n v="0"/>
    <n v="0"/>
    <x v="1556"/>
  </r>
  <r>
    <x v="20"/>
    <x v="439"/>
    <x v="1631"/>
    <x v="7"/>
    <x v="1"/>
    <x v="2"/>
    <x v="0"/>
    <x v="11"/>
    <n v="920"/>
    <x v="96"/>
    <n v="756.24"/>
    <n v="45"/>
    <x v="23"/>
    <x v="0"/>
    <x v="0"/>
    <n v="317.62079999999997"/>
    <n v="438.61920000000003"/>
    <n v="0"/>
    <n v="0"/>
    <n v="0"/>
    <x v="1557"/>
  </r>
  <r>
    <x v="5"/>
    <x v="439"/>
    <x v="1632"/>
    <x v="0"/>
    <x v="2"/>
    <x v="0"/>
    <x v="2"/>
    <x v="0"/>
    <n v="283"/>
    <x v="0"/>
    <n v="283"/>
    <n v="38"/>
    <x v="24"/>
    <x v="0"/>
    <x v="0"/>
    <n v="118.86"/>
    <n v="164.14"/>
    <n v="0"/>
    <n v="0"/>
    <n v="0"/>
    <x v="1558"/>
  </r>
  <r>
    <x v="3"/>
    <x v="440"/>
    <x v="1633"/>
    <x v="1"/>
    <x v="3"/>
    <x v="0"/>
    <x v="3"/>
    <x v="4"/>
    <n v="3859"/>
    <x v="5"/>
    <n v="3438.3690000000001"/>
    <n v="44"/>
    <x v="33"/>
    <x v="0"/>
    <x v="0"/>
    <n v="1444.1149800000001"/>
    <n v="1994.2540200000001"/>
    <n v="0"/>
    <n v="0"/>
    <n v="0"/>
    <x v="1559"/>
  </r>
  <r>
    <x v="25"/>
    <x v="440"/>
    <x v="1634"/>
    <x v="6"/>
    <x v="1"/>
    <x v="0"/>
    <x v="0"/>
    <x v="4"/>
    <n v="1525"/>
    <x v="0"/>
    <n v="1525"/>
    <n v="20"/>
    <x v="41"/>
    <x v="1"/>
    <x v="2"/>
    <n v="640.5"/>
    <n v="884.5"/>
    <n v="150"/>
    <n v="152.5"/>
    <n v="1525"/>
    <x v="1560"/>
  </r>
  <r>
    <x v="8"/>
    <x v="440"/>
    <x v="1635"/>
    <x v="1"/>
    <x v="0"/>
    <x v="3"/>
    <x v="4"/>
    <x v="0"/>
    <n v="3856"/>
    <x v="256"/>
    <n v="2155.5039999999999"/>
    <n v="44"/>
    <x v="3"/>
    <x v="0"/>
    <x v="0"/>
    <n v="905.31167999999991"/>
    <n v="1250.1923200000001"/>
    <n v="0"/>
    <n v="0"/>
    <n v="0"/>
    <x v="1561"/>
  </r>
  <r>
    <x v="4"/>
    <x v="440"/>
    <x v="1636"/>
    <x v="2"/>
    <x v="1"/>
    <x v="0"/>
    <x v="4"/>
    <x v="0"/>
    <n v="1212"/>
    <x v="51"/>
    <n v="655.69200000000001"/>
    <n v="47"/>
    <x v="12"/>
    <x v="0"/>
    <x v="0"/>
    <n v="275.39064000000002"/>
    <n v="380.30135999999999"/>
    <n v="0"/>
    <n v="0"/>
    <n v="0"/>
    <x v="1562"/>
  </r>
  <r>
    <x v="29"/>
    <x v="441"/>
    <x v="1637"/>
    <x v="5"/>
    <x v="2"/>
    <x v="2"/>
    <x v="2"/>
    <x v="2"/>
    <n v="271"/>
    <x v="231"/>
    <n v="147.69499999999999"/>
    <n v="50"/>
    <x v="41"/>
    <x v="0"/>
    <x v="0"/>
    <n v="62.031899999999993"/>
    <n v="85.6631"/>
    <n v="0"/>
    <n v="0"/>
    <n v="0"/>
    <x v="1563"/>
  </r>
  <r>
    <x v="9"/>
    <x v="441"/>
    <x v="1638"/>
    <x v="4"/>
    <x v="0"/>
    <x v="2"/>
    <x v="6"/>
    <x v="8"/>
    <n v="3382"/>
    <x v="403"/>
    <n v="3260.248"/>
    <n v="18"/>
    <x v="11"/>
    <x v="1"/>
    <x v="4"/>
    <n v="1369.3041599999999"/>
    <n v="1890.9438400000001"/>
    <n v="150"/>
    <n v="326.02480000000003"/>
    <n v="3260.248"/>
    <x v="1564"/>
  </r>
  <r>
    <x v="13"/>
    <x v="441"/>
    <x v="1639"/>
    <x v="3"/>
    <x v="2"/>
    <x v="1"/>
    <x v="2"/>
    <x v="11"/>
    <n v="181"/>
    <x v="0"/>
    <n v="181"/>
    <n v="0"/>
    <x v="5"/>
    <x v="1"/>
    <x v="2"/>
    <n v="76.02"/>
    <n v="104.98"/>
    <n v="150"/>
    <n v="18.100000000000001"/>
    <n v="181"/>
    <x v="1565"/>
  </r>
  <r>
    <x v="40"/>
    <x v="442"/>
    <x v="1640"/>
    <x v="5"/>
    <x v="0"/>
    <x v="0"/>
    <x v="4"/>
    <x v="8"/>
    <n v="3424"/>
    <x v="0"/>
    <n v="3424"/>
    <n v="13"/>
    <x v="13"/>
    <x v="1"/>
    <x v="4"/>
    <n v="1438.08"/>
    <n v="1985.92"/>
    <n v="150"/>
    <n v="342.40000000000003"/>
    <n v="3424"/>
    <x v="1566"/>
  </r>
  <r>
    <x v="2"/>
    <x v="442"/>
    <x v="1641"/>
    <x v="1"/>
    <x v="2"/>
    <x v="3"/>
    <x v="2"/>
    <x v="1"/>
    <n v="158"/>
    <x v="0"/>
    <n v="158"/>
    <n v="32"/>
    <x v="32"/>
    <x v="0"/>
    <x v="0"/>
    <n v="66.36"/>
    <n v="91.64"/>
    <n v="0"/>
    <n v="0"/>
    <n v="0"/>
    <x v="1567"/>
  </r>
  <r>
    <x v="43"/>
    <x v="442"/>
    <x v="1642"/>
    <x v="4"/>
    <x v="5"/>
    <x v="3"/>
    <x v="6"/>
    <x v="4"/>
    <n v="2042"/>
    <x v="0"/>
    <n v="2042"/>
    <n v="43"/>
    <x v="16"/>
    <x v="0"/>
    <x v="0"/>
    <n v="857.64"/>
    <n v="1184.3600000000001"/>
    <n v="0"/>
    <n v="0"/>
    <n v="0"/>
    <x v="1568"/>
  </r>
  <r>
    <x v="1"/>
    <x v="442"/>
    <x v="1643"/>
    <x v="1"/>
    <x v="1"/>
    <x v="0"/>
    <x v="4"/>
    <x v="10"/>
    <n v="1271"/>
    <x v="308"/>
    <n v="1142.6290000000001"/>
    <n v="5"/>
    <x v="16"/>
    <x v="0"/>
    <x v="0"/>
    <n v="479.90418000000005"/>
    <n v="662.72482000000014"/>
    <n v="0"/>
    <n v="0"/>
    <n v="0"/>
    <x v="1569"/>
  </r>
  <r>
    <x v="35"/>
    <x v="443"/>
    <x v="1644"/>
    <x v="4"/>
    <x v="1"/>
    <x v="3"/>
    <x v="6"/>
    <x v="2"/>
    <n v="1132"/>
    <x v="294"/>
    <n v="803.71999999999991"/>
    <n v="19"/>
    <x v="34"/>
    <x v="0"/>
    <x v="0"/>
    <n v="337.56239999999997"/>
    <n v="466.15759999999995"/>
    <n v="0"/>
    <n v="0"/>
    <n v="0"/>
    <x v="1570"/>
  </r>
  <r>
    <x v="16"/>
    <x v="443"/>
    <x v="1645"/>
    <x v="3"/>
    <x v="0"/>
    <x v="0"/>
    <x v="6"/>
    <x v="9"/>
    <n v="3850"/>
    <x v="0"/>
    <n v="3850"/>
    <n v="25"/>
    <x v="25"/>
    <x v="1"/>
    <x v="3"/>
    <n v="1617"/>
    <n v="2233"/>
    <n v="150"/>
    <n v="385"/>
    <n v="3850"/>
    <x v="1571"/>
  </r>
  <r>
    <x v="9"/>
    <x v="443"/>
    <x v="1646"/>
    <x v="4"/>
    <x v="0"/>
    <x v="1"/>
    <x v="4"/>
    <x v="2"/>
    <n v="4159"/>
    <x v="295"/>
    <n v="2719.9859999999994"/>
    <n v="26"/>
    <x v="3"/>
    <x v="0"/>
    <x v="0"/>
    <n v="1142.3941199999997"/>
    <n v="1577.5918799999997"/>
    <n v="0"/>
    <n v="0"/>
    <n v="0"/>
    <x v="1572"/>
  </r>
  <r>
    <x v="46"/>
    <x v="443"/>
    <x v="1647"/>
    <x v="2"/>
    <x v="3"/>
    <x v="0"/>
    <x v="6"/>
    <x v="2"/>
    <n v="3276"/>
    <x v="291"/>
    <n v="1959.048"/>
    <n v="23"/>
    <x v="32"/>
    <x v="0"/>
    <x v="0"/>
    <n v="822.80016000000001"/>
    <n v="1136.24784"/>
    <n v="0"/>
    <n v="0"/>
    <n v="0"/>
    <x v="1573"/>
  </r>
  <r>
    <x v="26"/>
    <x v="444"/>
    <x v="1648"/>
    <x v="0"/>
    <x v="3"/>
    <x v="1"/>
    <x v="1"/>
    <x v="2"/>
    <n v="3939"/>
    <x v="404"/>
    <n v="3631.7580000000003"/>
    <n v="20"/>
    <x v="32"/>
    <x v="0"/>
    <x v="0"/>
    <n v="1525.33836"/>
    <n v="2106.4196400000001"/>
    <n v="0"/>
    <n v="0"/>
    <n v="0"/>
    <x v="1574"/>
  </r>
  <r>
    <x v="39"/>
    <x v="444"/>
    <x v="1649"/>
    <x v="7"/>
    <x v="5"/>
    <x v="1"/>
    <x v="6"/>
    <x v="7"/>
    <n v="2310"/>
    <x v="405"/>
    <n v="2199.12"/>
    <n v="24"/>
    <x v="7"/>
    <x v="1"/>
    <x v="3"/>
    <n v="923.6303999999999"/>
    <n v="1275.4895999999999"/>
    <n v="150"/>
    <n v="219.91200000000001"/>
    <n v="2199.12"/>
    <x v="1575"/>
  </r>
  <r>
    <x v="12"/>
    <x v="444"/>
    <x v="1650"/>
    <x v="1"/>
    <x v="5"/>
    <x v="3"/>
    <x v="1"/>
    <x v="5"/>
    <n v="2667"/>
    <x v="0"/>
    <n v="2667"/>
    <n v="26"/>
    <x v="15"/>
    <x v="1"/>
    <x v="3"/>
    <n v="1120.1399999999999"/>
    <n v="1546.8600000000001"/>
    <n v="150"/>
    <n v="266.7"/>
    <n v="2667"/>
    <x v="1576"/>
  </r>
  <r>
    <x v="4"/>
    <x v="445"/>
    <x v="1651"/>
    <x v="2"/>
    <x v="1"/>
    <x v="1"/>
    <x v="2"/>
    <x v="1"/>
    <n v="1511"/>
    <x v="292"/>
    <n v="790.25299999999982"/>
    <n v="11"/>
    <x v="24"/>
    <x v="1"/>
    <x v="3"/>
    <n v="331.90625999999992"/>
    <n v="458.3467399999999"/>
    <n v="150"/>
    <n v="79.025299999999987"/>
    <n v="790.25299999999982"/>
    <x v="1577"/>
  </r>
  <r>
    <x v="47"/>
    <x v="445"/>
    <x v="1652"/>
    <x v="4"/>
    <x v="2"/>
    <x v="0"/>
    <x v="2"/>
    <x v="9"/>
    <n v="162"/>
    <x v="0"/>
    <n v="162"/>
    <n v="27"/>
    <x v="23"/>
    <x v="0"/>
    <x v="0"/>
    <n v="68.039999999999992"/>
    <n v="93.960000000000008"/>
    <n v="0"/>
    <n v="0"/>
    <n v="0"/>
    <x v="1578"/>
  </r>
  <r>
    <x v="44"/>
    <x v="445"/>
    <x v="1653"/>
    <x v="6"/>
    <x v="5"/>
    <x v="0"/>
    <x v="5"/>
    <x v="5"/>
    <n v="1819"/>
    <x v="47"/>
    <n v="736.69500000000005"/>
    <n v="21"/>
    <x v="3"/>
    <x v="0"/>
    <x v="0"/>
    <n v="309.4119"/>
    <n v="427.28310000000005"/>
    <n v="0"/>
    <n v="0"/>
    <n v="0"/>
    <x v="1579"/>
  </r>
  <r>
    <x v="1"/>
    <x v="445"/>
    <x v="1654"/>
    <x v="1"/>
    <x v="1"/>
    <x v="3"/>
    <x v="3"/>
    <x v="0"/>
    <n v="1570"/>
    <x v="0"/>
    <n v="1570"/>
    <n v="30"/>
    <x v="11"/>
    <x v="0"/>
    <x v="0"/>
    <n v="659.4"/>
    <n v="910.6"/>
    <n v="0"/>
    <n v="0"/>
    <n v="0"/>
    <x v="1580"/>
  </r>
  <r>
    <x v="28"/>
    <x v="446"/>
    <x v="1655"/>
    <x v="3"/>
    <x v="3"/>
    <x v="3"/>
    <x v="5"/>
    <x v="7"/>
    <n v="4341"/>
    <x v="0"/>
    <n v="4341"/>
    <n v="29"/>
    <x v="33"/>
    <x v="0"/>
    <x v="0"/>
    <n v="1823.22"/>
    <n v="2517.7799999999997"/>
    <n v="0"/>
    <n v="0"/>
    <n v="0"/>
    <x v="1581"/>
  </r>
  <r>
    <x v="1"/>
    <x v="446"/>
    <x v="1656"/>
    <x v="1"/>
    <x v="1"/>
    <x v="3"/>
    <x v="3"/>
    <x v="4"/>
    <n v="1304"/>
    <x v="0"/>
    <n v="1304"/>
    <n v="32"/>
    <x v="26"/>
    <x v="0"/>
    <x v="0"/>
    <n v="547.67999999999995"/>
    <n v="756.32"/>
    <n v="0"/>
    <n v="0"/>
    <n v="0"/>
    <x v="1582"/>
  </r>
  <r>
    <x v="13"/>
    <x v="446"/>
    <x v="1657"/>
    <x v="3"/>
    <x v="2"/>
    <x v="2"/>
    <x v="2"/>
    <x v="10"/>
    <n v="239"/>
    <x v="406"/>
    <n v="174.23099999999999"/>
    <n v="15"/>
    <x v="3"/>
    <x v="0"/>
    <x v="0"/>
    <n v="73.177019999999999"/>
    <n v="101.05398"/>
    <n v="0"/>
    <n v="0"/>
    <n v="0"/>
    <x v="1583"/>
  </r>
  <r>
    <x v="4"/>
    <x v="446"/>
    <x v="1658"/>
    <x v="2"/>
    <x v="1"/>
    <x v="1"/>
    <x v="1"/>
    <x v="8"/>
    <n v="1155"/>
    <x v="276"/>
    <n v="472.39500000000004"/>
    <n v="42"/>
    <x v="3"/>
    <x v="1"/>
    <x v="5"/>
    <n v="198.4059"/>
    <n v="273.98910000000001"/>
    <n v="150"/>
    <n v="47.239500000000007"/>
    <n v="472.39500000000004"/>
    <x v="1584"/>
  </r>
  <r>
    <x v="20"/>
    <x v="447"/>
    <x v="1659"/>
    <x v="7"/>
    <x v="1"/>
    <x v="2"/>
    <x v="5"/>
    <x v="7"/>
    <n v="1360"/>
    <x v="0"/>
    <n v="1360"/>
    <n v="3"/>
    <x v="17"/>
    <x v="1"/>
    <x v="3"/>
    <n v="571.19999999999993"/>
    <n v="788.80000000000007"/>
    <n v="150"/>
    <n v="136"/>
    <n v="1360"/>
    <x v="1585"/>
  </r>
  <r>
    <x v="35"/>
    <x v="447"/>
    <x v="1660"/>
    <x v="4"/>
    <x v="1"/>
    <x v="3"/>
    <x v="0"/>
    <x v="9"/>
    <n v="1758"/>
    <x v="0"/>
    <n v="1758"/>
    <n v="41"/>
    <x v="15"/>
    <x v="0"/>
    <x v="0"/>
    <n v="738.36"/>
    <n v="1019.64"/>
    <n v="0"/>
    <n v="0"/>
    <n v="0"/>
    <x v="1106"/>
  </r>
  <r>
    <x v="40"/>
    <x v="447"/>
    <x v="1661"/>
    <x v="5"/>
    <x v="0"/>
    <x v="3"/>
    <x v="0"/>
    <x v="2"/>
    <n v="3320"/>
    <x v="0"/>
    <n v="3320"/>
    <n v="36"/>
    <x v="25"/>
    <x v="0"/>
    <x v="0"/>
    <n v="1394.3999999999999"/>
    <n v="1925.6000000000001"/>
    <n v="0"/>
    <n v="0"/>
    <n v="0"/>
    <x v="1586"/>
  </r>
  <r>
    <x v="11"/>
    <x v="448"/>
    <x v="1662"/>
    <x v="5"/>
    <x v="4"/>
    <x v="3"/>
    <x v="4"/>
    <x v="2"/>
    <n v="2893"/>
    <x v="0"/>
    <n v="2893"/>
    <n v="18"/>
    <x v="37"/>
    <x v="0"/>
    <x v="0"/>
    <n v="1215.06"/>
    <n v="1677.94"/>
    <n v="0"/>
    <n v="0"/>
    <n v="0"/>
    <x v="1587"/>
  </r>
  <r>
    <x v="19"/>
    <x v="448"/>
    <x v="1663"/>
    <x v="2"/>
    <x v="5"/>
    <x v="2"/>
    <x v="3"/>
    <x v="6"/>
    <n v="2746"/>
    <x v="0"/>
    <n v="2746"/>
    <n v="13"/>
    <x v="3"/>
    <x v="1"/>
    <x v="4"/>
    <n v="1153.32"/>
    <n v="1592.68"/>
    <n v="150"/>
    <n v="274.60000000000002"/>
    <n v="2746"/>
    <x v="1588"/>
  </r>
  <r>
    <x v="25"/>
    <x v="448"/>
    <x v="1664"/>
    <x v="6"/>
    <x v="1"/>
    <x v="3"/>
    <x v="1"/>
    <x v="2"/>
    <n v="1472"/>
    <x v="391"/>
    <n v="1340.992"/>
    <n v="13"/>
    <x v="1"/>
    <x v="1"/>
    <x v="3"/>
    <n v="563.21663999999998"/>
    <n v="777.77535999999998"/>
    <n v="150"/>
    <n v="134.0992"/>
    <n v="1340.992"/>
    <x v="1589"/>
  </r>
  <r>
    <x v="30"/>
    <x v="448"/>
    <x v="1665"/>
    <x v="7"/>
    <x v="4"/>
    <x v="3"/>
    <x v="1"/>
    <x v="1"/>
    <n v="2458"/>
    <x v="0"/>
    <n v="2458"/>
    <n v="7"/>
    <x v="9"/>
    <x v="0"/>
    <x v="0"/>
    <n v="1032.3599999999999"/>
    <n v="1425.64"/>
    <n v="0"/>
    <n v="0"/>
    <n v="0"/>
    <x v="1590"/>
  </r>
  <r>
    <x v="30"/>
    <x v="449"/>
    <x v="1666"/>
    <x v="7"/>
    <x v="4"/>
    <x v="1"/>
    <x v="5"/>
    <x v="0"/>
    <n v="2724"/>
    <x v="0"/>
    <n v="2724"/>
    <n v="17"/>
    <x v="7"/>
    <x v="0"/>
    <x v="0"/>
    <n v="1144.08"/>
    <n v="1579.92"/>
    <n v="0"/>
    <n v="0"/>
    <n v="0"/>
    <x v="1591"/>
  </r>
  <r>
    <x v="37"/>
    <x v="449"/>
    <x v="1667"/>
    <x v="4"/>
    <x v="3"/>
    <x v="0"/>
    <x v="4"/>
    <x v="10"/>
    <n v="4499"/>
    <x v="407"/>
    <n v="3414.741"/>
    <n v="0"/>
    <x v="32"/>
    <x v="0"/>
    <x v="0"/>
    <n v="1434.1912199999999"/>
    <n v="1980.5497800000001"/>
    <n v="0"/>
    <n v="0"/>
    <n v="0"/>
    <x v="1592"/>
  </r>
  <r>
    <x v="38"/>
    <x v="449"/>
    <x v="1668"/>
    <x v="0"/>
    <x v="1"/>
    <x v="0"/>
    <x v="4"/>
    <x v="6"/>
    <n v="1460"/>
    <x v="0"/>
    <n v="1460"/>
    <n v="44"/>
    <x v="31"/>
    <x v="1"/>
    <x v="4"/>
    <n v="613.19999999999993"/>
    <n v="846.80000000000007"/>
    <n v="150"/>
    <n v="146"/>
    <n v="1460"/>
    <x v="1110"/>
  </r>
  <r>
    <x v="16"/>
    <x v="449"/>
    <x v="1669"/>
    <x v="3"/>
    <x v="0"/>
    <x v="1"/>
    <x v="0"/>
    <x v="9"/>
    <n v="4077"/>
    <x v="0"/>
    <n v="4077"/>
    <n v="43"/>
    <x v="16"/>
    <x v="0"/>
    <x v="0"/>
    <n v="1712.34"/>
    <n v="2364.66"/>
    <n v="0"/>
    <n v="0"/>
    <n v="0"/>
    <x v="1593"/>
  </r>
  <r>
    <x v="44"/>
    <x v="450"/>
    <x v="1670"/>
    <x v="6"/>
    <x v="5"/>
    <x v="3"/>
    <x v="4"/>
    <x v="2"/>
    <n v="2096"/>
    <x v="0"/>
    <n v="2096"/>
    <n v="15"/>
    <x v="3"/>
    <x v="0"/>
    <x v="0"/>
    <n v="880.31999999999994"/>
    <n v="1215.68"/>
    <n v="0"/>
    <n v="0"/>
    <n v="0"/>
    <x v="719"/>
  </r>
  <r>
    <x v="14"/>
    <x v="450"/>
    <x v="1671"/>
    <x v="6"/>
    <x v="3"/>
    <x v="3"/>
    <x v="1"/>
    <x v="6"/>
    <n v="3920"/>
    <x v="408"/>
    <n v="1579.76"/>
    <n v="16"/>
    <x v="25"/>
    <x v="0"/>
    <x v="0"/>
    <n v="663.49919999999997"/>
    <n v="916.26080000000002"/>
    <n v="0"/>
    <n v="0"/>
    <n v="0"/>
    <x v="1594"/>
  </r>
  <r>
    <x v="35"/>
    <x v="450"/>
    <x v="1672"/>
    <x v="4"/>
    <x v="1"/>
    <x v="2"/>
    <x v="5"/>
    <x v="7"/>
    <n v="1062"/>
    <x v="0"/>
    <n v="1062"/>
    <n v="42"/>
    <x v="3"/>
    <x v="0"/>
    <x v="0"/>
    <n v="446.03999999999996"/>
    <n v="615.96"/>
    <n v="0"/>
    <n v="0"/>
    <n v="0"/>
    <x v="1595"/>
  </r>
  <r>
    <x v="11"/>
    <x v="450"/>
    <x v="1673"/>
    <x v="5"/>
    <x v="4"/>
    <x v="2"/>
    <x v="2"/>
    <x v="1"/>
    <n v="2998"/>
    <x v="0"/>
    <n v="2998"/>
    <n v="12"/>
    <x v="6"/>
    <x v="1"/>
    <x v="3"/>
    <n v="1259.1599999999999"/>
    <n v="1738.8400000000001"/>
    <n v="150"/>
    <n v="299.8"/>
    <n v="2998"/>
    <x v="673"/>
  </r>
  <r>
    <x v="27"/>
    <x v="451"/>
    <x v="1674"/>
    <x v="7"/>
    <x v="2"/>
    <x v="2"/>
    <x v="2"/>
    <x v="2"/>
    <n v="478"/>
    <x v="0"/>
    <n v="478"/>
    <n v="36"/>
    <x v="15"/>
    <x v="0"/>
    <x v="0"/>
    <n v="200.76"/>
    <n v="277.24"/>
    <n v="0"/>
    <n v="0"/>
    <n v="0"/>
    <x v="1596"/>
  </r>
  <r>
    <x v="19"/>
    <x v="451"/>
    <x v="1675"/>
    <x v="2"/>
    <x v="5"/>
    <x v="2"/>
    <x v="2"/>
    <x v="11"/>
    <n v="2091"/>
    <x v="0"/>
    <n v="2091"/>
    <n v="16"/>
    <x v="10"/>
    <x v="1"/>
    <x v="3"/>
    <n v="878.21999999999991"/>
    <n v="1212.7800000000002"/>
    <n v="150"/>
    <n v="209.10000000000002"/>
    <n v="2091"/>
    <x v="1597"/>
  </r>
  <r>
    <x v="31"/>
    <x v="451"/>
    <x v="1676"/>
    <x v="2"/>
    <x v="2"/>
    <x v="3"/>
    <x v="2"/>
    <x v="8"/>
    <n v="495"/>
    <x v="0"/>
    <n v="495"/>
    <n v="31"/>
    <x v="1"/>
    <x v="0"/>
    <x v="0"/>
    <n v="207.9"/>
    <n v="287.10000000000002"/>
    <n v="0"/>
    <n v="0"/>
    <n v="0"/>
    <x v="1598"/>
  </r>
  <r>
    <x v="46"/>
    <x v="451"/>
    <x v="1677"/>
    <x v="2"/>
    <x v="3"/>
    <x v="2"/>
    <x v="3"/>
    <x v="8"/>
    <n v="3026"/>
    <x v="0"/>
    <n v="3026"/>
    <n v="24"/>
    <x v="30"/>
    <x v="0"/>
    <x v="0"/>
    <n v="1270.9199999999998"/>
    <n v="1755.0800000000002"/>
    <n v="0"/>
    <n v="0"/>
    <n v="0"/>
    <x v="1599"/>
  </r>
  <r>
    <x v="26"/>
    <x v="452"/>
    <x v="1678"/>
    <x v="0"/>
    <x v="3"/>
    <x v="2"/>
    <x v="6"/>
    <x v="0"/>
    <n v="3398"/>
    <x v="0"/>
    <n v="3398"/>
    <n v="39"/>
    <x v="21"/>
    <x v="0"/>
    <x v="0"/>
    <n v="1427.1599999999999"/>
    <n v="1970.8400000000001"/>
    <n v="0"/>
    <n v="0"/>
    <n v="0"/>
    <x v="1600"/>
  </r>
  <r>
    <x v="41"/>
    <x v="452"/>
    <x v="1679"/>
    <x v="6"/>
    <x v="2"/>
    <x v="0"/>
    <x v="2"/>
    <x v="9"/>
    <n v="268"/>
    <x v="0"/>
    <n v="268"/>
    <n v="44"/>
    <x v="3"/>
    <x v="0"/>
    <x v="0"/>
    <n v="112.56"/>
    <n v="155.44"/>
    <n v="0"/>
    <n v="0"/>
    <n v="0"/>
    <x v="921"/>
  </r>
  <r>
    <x v="28"/>
    <x v="452"/>
    <x v="1680"/>
    <x v="3"/>
    <x v="3"/>
    <x v="3"/>
    <x v="6"/>
    <x v="9"/>
    <n v="4483"/>
    <x v="0"/>
    <n v="4483"/>
    <n v="35"/>
    <x v="33"/>
    <x v="0"/>
    <x v="0"/>
    <n v="1882.86"/>
    <n v="2600.1400000000003"/>
    <n v="0"/>
    <n v="0"/>
    <n v="0"/>
    <x v="1601"/>
  </r>
  <r>
    <x v="44"/>
    <x v="452"/>
    <x v="1681"/>
    <x v="6"/>
    <x v="5"/>
    <x v="2"/>
    <x v="6"/>
    <x v="0"/>
    <n v="2032"/>
    <x v="0"/>
    <n v="2032"/>
    <n v="47"/>
    <x v="8"/>
    <x v="0"/>
    <x v="0"/>
    <n v="853.43999999999994"/>
    <n v="1178.56"/>
    <n v="0"/>
    <n v="0"/>
    <n v="0"/>
    <x v="450"/>
  </r>
  <r>
    <x v="4"/>
    <x v="453"/>
    <x v="1682"/>
    <x v="2"/>
    <x v="1"/>
    <x v="3"/>
    <x v="1"/>
    <x v="11"/>
    <n v="1157"/>
    <x v="409"/>
    <n v="755.52100000000007"/>
    <n v="2"/>
    <x v="1"/>
    <x v="0"/>
    <x v="0"/>
    <n v="317.31882000000002"/>
    <n v="438.20218000000006"/>
    <n v="0"/>
    <n v="0"/>
    <n v="0"/>
    <x v="1602"/>
  </r>
  <r>
    <x v="1"/>
    <x v="453"/>
    <x v="1683"/>
    <x v="1"/>
    <x v="1"/>
    <x v="3"/>
    <x v="4"/>
    <x v="7"/>
    <n v="1699"/>
    <x v="0"/>
    <n v="1699"/>
    <n v="4"/>
    <x v="39"/>
    <x v="0"/>
    <x v="0"/>
    <n v="713.57999999999993"/>
    <n v="985.42000000000007"/>
    <n v="0"/>
    <n v="0"/>
    <n v="0"/>
    <x v="1603"/>
  </r>
  <r>
    <x v="45"/>
    <x v="453"/>
    <x v="1684"/>
    <x v="7"/>
    <x v="3"/>
    <x v="0"/>
    <x v="0"/>
    <x v="4"/>
    <n v="3482"/>
    <x v="52"/>
    <n v="1688.77"/>
    <n v="27"/>
    <x v="19"/>
    <x v="1"/>
    <x v="3"/>
    <n v="709.28339999999992"/>
    <n v="979.48660000000007"/>
    <n v="150"/>
    <n v="168.87700000000001"/>
    <n v="1688.77"/>
    <x v="1604"/>
  </r>
  <r>
    <x v="22"/>
    <x v="453"/>
    <x v="1685"/>
    <x v="2"/>
    <x v="4"/>
    <x v="1"/>
    <x v="1"/>
    <x v="7"/>
    <n v="2618"/>
    <x v="179"/>
    <n v="1324.7080000000001"/>
    <n v="37"/>
    <x v="10"/>
    <x v="0"/>
    <x v="0"/>
    <n v="556.37736000000007"/>
    <n v="768.33064000000002"/>
    <n v="0"/>
    <n v="0"/>
    <n v="0"/>
    <x v="1605"/>
  </r>
  <r>
    <x v="24"/>
    <x v="454"/>
    <x v="1686"/>
    <x v="5"/>
    <x v="5"/>
    <x v="1"/>
    <x v="4"/>
    <x v="4"/>
    <n v="2799"/>
    <x v="139"/>
    <n v="1598.2289999999998"/>
    <n v="48"/>
    <x v="3"/>
    <x v="0"/>
    <x v="0"/>
    <n v="671.25617999999986"/>
    <n v="926.97281999999996"/>
    <n v="0"/>
    <n v="0"/>
    <n v="0"/>
    <x v="1606"/>
  </r>
  <r>
    <x v="15"/>
    <x v="454"/>
    <x v="1687"/>
    <x v="5"/>
    <x v="1"/>
    <x v="0"/>
    <x v="5"/>
    <x v="8"/>
    <n v="1696"/>
    <x v="410"/>
    <n v="1229.5999999999999"/>
    <n v="43"/>
    <x v="25"/>
    <x v="0"/>
    <x v="0"/>
    <n v="516.4319999999999"/>
    <n v="713.16800000000001"/>
    <n v="0"/>
    <n v="0"/>
    <n v="0"/>
    <x v="1607"/>
  </r>
  <r>
    <x v="24"/>
    <x v="454"/>
    <x v="1688"/>
    <x v="5"/>
    <x v="5"/>
    <x v="1"/>
    <x v="1"/>
    <x v="2"/>
    <n v="2747"/>
    <x v="0"/>
    <n v="2747"/>
    <n v="41"/>
    <x v="32"/>
    <x v="0"/>
    <x v="0"/>
    <n v="1153.74"/>
    <n v="1593.26"/>
    <n v="0"/>
    <n v="0"/>
    <n v="0"/>
    <x v="1608"/>
  </r>
  <r>
    <x v="16"/>
    <x v="454"/>
    <x v="1689"/>
    <x v="3"/>
    <x v="0"/>
    <x v="2"/>
    <x v="2"/>
    <x v="1"/>
    <n v="3953"/>
    <x v="0"/>
    <n v="3953"/>
    <n v="27"/>
    <x v="7"/>
    <x v="0"/>
    <x v="0"/>
    <n v="1660.26"/>
    <n v="2292.7399999999998"/>
    <n v="0"/>
    <n v="0"/>
    <n v="0"/>
    <x v="1609"/>
  </r>
  <r>
    <x v="5"/>
    <x v="455"/>
    <x v="1690"/>
    <x v="0"/>
    <x v="2"/>
    <x v="0"/>
    <x v="2"/>
    <x v="11"/>
    <n v="398"/>
    <x v="0"/>
    <n v="398"/>
    <n v="44"/>
    <x v="32"/>
    <x v="0"/>
    <x v="0"/>
    <n v="167.16"/>
    <n v="230.84"/>
    <n v="0"/>
    <n v="0"/>
    <n v="0"/>
    <x v="1610"/>
  </r>
  <r>
    <x v="2"/>
    <x v="455"/>
    <x v="1691"/>
    <x v="1"/>
    <x v="2"/>
    <x v="0"/>
    <x v="2"/>
    <x v="10"/>
    <n v="433"/>
    <x v="347"/>
    <n v="349.86400000000003"/>
    <n v="8"/>
    <x v="20"/>
    <x v="1"/>
    <x v="4"/>
    <n v="146.94288"/>
    <n v="202.92112000000003"/>
    <n v="150"/>
    <n v="34.986400000000003"/>
    <n v="349.86400000000003"/>
    <x v="1611"/>
  </r>
  <r>
    <x v="13"/>
    <x v="455"/>
    <x v="1692"/>
    <x v="3"/>
    <x v="2"/>
    <x v="2"/>
    <x v="2"/>
    <x v="11"/>
    <n v="309"/>
    <x v="8"/>
    <n v="219.08099999999999"/>
    <n v="37"/>
    <x v="33"/>
    <x v="0"/>
    <x v="0"/>
    <n v="92.014019999999988"/>
    <n v="127.06698"/>
    <n v="0"/>
    <n v="0"/>
    <n v="0"/>
    <x v="1612"/>
  </r>
  <r>
    <x v="13"/>
    <x v="455"/>
    <x v="1693"/>
    <x v="3"/>
    <x v="2"/>
    <x v="1"/>
    <x v="2"/>
    <x v="5"/>
    <n v="186"/>
    <x v="118"/>
    <n v="92.628"/>
    <n v="46"/>
    <x v="3"/>
    <x v="0"/>
    <x v="0"/>
    <n v="38.903759999999998"/>
    <n v="53.724240000000002"/>
    <n v="0"/>
    <n v="0"/>
    <n v="0"/>
    <x v="1613"/>
  </r>
  <r>
    <x v="47"/>
    <x v="456"/>
    <x v="1694"/>
    <x v="4"/>
    <x v="2"/>
    <x v="2"/>
    <x v="2"/>
    <x v="3"/>
    <n v="343"/>
    <x v="347"/>
    <n v="277.14400000000001"/>
    <n v="19"/>
    <x v="25"/>
    <x v="0"/>
    <x v="0"/>
    <n v="116.40048"/>
    <n v="160.74351999999999"/>
    <n v="0"/>
    <n v="0"/>
    <n v="0"/>
    <x v="1614"/>
  </r>
  <r>
    <x v="31"/>
    <x v="456"/>
    <x v="1695"/>
    <x v="2"/>
    <x v="2"/>
    <x v="3"/>
    <x v="2"/>
    <x v="9"/>
    <n v="347"/>
    <x v="0"/>
    <n v="347"/>
    <n v="29"/>
    <x v="17"/>
    <x v="0"/>
    <x v="0"/>
    <n v="145.73999999999998"/>
    <n v="201.26000000000002"/>
    <n v="0"/>
    <n v="0"/>
    <n v="0"/>
    <x v="375"/>
  </r>
  <r>
    <x v="38"/>
    <x v="456"/>
    <x v="1696"/>
    <x v="0"/>
    <x v="1"/>
    <x v="0"/>
    <x v="5"/>
    <x v="4"/>
    <n v="1346"/>
    <x v="106"/>
    <n v="1018.922"/>
    <n v="47"/>
    <x v="39"/>
    <x v="0"/>
    <x v="0"/>
    <n v="427.94724000000002"/>
    <n v="590.97476000000006"/>
    <n v="0"/>
    <n v="0"/>
    <n v="0"/>
    <x v="1615"/>
  </r>
  <r>
    <x v="31"/>
    <x v="457"/>
    <x v="1697"/>
    <x v="2"/>
    <x v="2"/>
    <x v="3"/>
    <x v="2"/>
    <x v="6"/>
    <n v="228"/>
    <x v="346"/>
    <n v="183.31200000000001"/>
    <n v="47"/>
    <x v="4"/>
    <x v="0"/>
    <x v="0"/>
    <n v="76.991039999999998"/>
    <n v="106.32096000000001"/>
    <n v="0"/>
    <n v="0"/>
    <n v="0"/>
    <x v="1616"/>
  </r>
  <r>
    <x v="18"/>
    <x v="457"/>
    <x v="1698"/>
    <x v="3"/>
    <x v="4"/>
    <x v="3"/>
    <x v="3"/>
    <x v="11"/>
    <n v="2639"/>
    <x v="346"/>
    <n v="2121.7560000000003"/>
    <n v="39"/>
    <x v="20"/>
    <x v="0"/>
    <x v="0"/>
    <n v="891.13752000000011"/>
    <n v="1230.6184800000001"/>
    <n v="0"/>
    <n v="0"/>
    <n v="0"/>
    <x v="1617"/>
  </r>
  <r>
    <x v="24"/>
    <x v="457"/>
    <x v="1699"/>
    <x v="5"/>
    <x v="5"/>
    <x v="1"/>
    <x v="5"/>
    <x v="6"/>
    <n v="2836"/>
    <x v="0"/>
    <n v="2836"/>
    <n v="15"/>
    <x v="39"/>
    <x v="0"/>
    <x v="0"/>
    <n v="1191.1199999999999"/>
    <n v="1644.88"/>
    <n v="0"/>
    <n v="0"/>
    <n v="0"/>
    <x v="1321"/>
  </r>
  <r>
    <x v="28"/>
    <x v="457"/>
    <x v="1700"/>
    <x v="3"/>
    <x v="3"/>
    <x v="1"/>
    <x v="5"/>
    <x v="11"/>
    <n v="3969"/>
    <x v="12"/>
    <n v="3742.7669999999998"/>
    <n v="39"/>
    <x v="30"/>
    <x v="0"/>
    <x v="0"/>
    <n v="1571.9621399999999"/>
    <n v="2170.8048600000002"/>
    <n v="0"/>
    <n v="0"/>
    <n v="0"/>
    <x v="1618"/>
  </r>
  <r>
    <x v="35"/>
    <x v="458"/>
    <x v="1701"/>
    <x v="4"/>
    <x v="1"/>
    <x v="0"/>
    <x v="6"/>
    <x v="8"/>
    <n v="1404"/>
    <x v="72"/>
    <n v="1304.316"/>
    <n v="13"/>
    <x v="22"/>
    <x v="0"/>
    <x v="0"/>
    <n v="547.81272000000001"/>
    <n v="756.50328000000002"/>
    <n v="0"/>
    <n v="0"/>
    <n v="0"/>
    <x v="1619"/>
  </r>
  <r>
    <x v="27"/>
    <x v="458"/>
    <x v="1702"/>
    <x v="7"/>
    <x v="2"/>
    <x v="3"/>
    <x v="2"/>
    <x v="1"/>
    <n v="282"/>
    <x v="0"/>
    <n v="282"/>
    <n v="41"/>
    <x v="25"/>
    <x v="0"/>
    <x v="0"/>
    <n v="118.44"/>
    <n v="163.56"/>
    <n v="0"/>
    <n v="0"/>
    <n v="0"/>
    <x v="1620"/>
  </r>
  <r>
    <x v="25"/>
    <x v="458"/>
    <x v="1703"/>
    <x v="6"/>
    <x v="1"/>
    <x v="2"/>
    <x v="6"/>
    <x v="2"/>
    <n v="1255"/>
    <x v="171"/>
    <n v="855.91"/>
    <n v="2"/>
    <x v="12"/>
    <x v="0"/>
    <x v="0"/>
    <n v="359.48219999999998"/>
    <n v="496.42779999999999"/>
    <n v="0"/>
    <n v="0"/>
    <n v="0"/>
    <x v="1621"/>
  </r>
  <r>
    <x v="22"/>
    <x v="458"/>
    <x v="1704"/>
    <x v="2"/>
    <x v="4"/>
    <x v="0"/>
    <x v="6"/>
    <x v="10"/>
    <n v="2142"/>
    <x v="0"/>
    <n v="2142"/>
    <n v="45"/>
    <x v="33"/>
    <x v="0"/>
    <x v="0"/>
    <n v="899.64"/>
    <n v="1242.3600000000001"/>
    <n v="0"/>
    <n v="0"/>
    <n v="0"/>
    <x v="1622"/>
  </r>
  <r>
    <x v="6"/>
    <x v="459"/>
    <x v="1705"/>
    <x v="0"/>
    <x v="4"/>
    <x v="3"/>
    <x v="4"/>
    <x v="8"/>
    <n v="2443"/>
    <x v="411"/>
    <n v="1487.787"/>
    <n v="19"/>
    <x v="2"/>
    <x v="0"/>
    <x v="0"/>
    <n v="624.87054000000001"/>
    <n v="862.91646000000003"/>
    <n v="0"/>
    <n v="0"/>
    <n v="0"/>
    <x v="1623"/>
  </r>
  <r>
    <x v="43"/>
    <x v="459"/>
    <x v="1706"/>
    <x v="4"/>
    <x v="5"/>
    <x v="1"/>
    <x v="0"/>
    <x v="1"/>
    <n v="1875"/>
    <x v="0"/>
    <n v="1875"/>
    <n v="10"/>
    <x v="34"/>
    <x v="1"/>
    <x v="3"/>
    <n v="787.5"/>
    <n v="1087.5"/>
    <n v="150"/>
    <n v="187.5"/>
    <n v="1875"/>
    <x v="1624"/>
  </r>
  <r>
    <x v="0"/>
    <x v="459"/>
    <x v="1707"/>
    <x v="0"/>
    <x v="0"/>
    <x v="2"/>
    <x v="6"/>
    <x v="1"/>
    <n v="3139"/>
    <x v="0"/>
    <n v="3139"/>
    <n v="44"/>
    <x v="23"/>
    <x v="0"/>
    <x v="0"/>
    <n v="1318.3799999999999"/>
    <n v="1820.6200000000001"/>
    <n v="0"/>
    <n v="0"/>
    <n v="0"/>
    <x v="382"/>
  </r>
  <r>
    <x v="20"/>
    <x v="459"/>
    <x v="1708"/>
    <x v="7"/>
    <x v="1"/>
    <x v="1"/>
    <x v="4"/>
    <x v="2"/>
    <n v="1684"/>
    <x v="0"/>
    <n v="1684"/>
    <n v="20"/>
    <x v="12"/>
    <x v="1"/>
    <x v="2"/>
    <n v="707.28"/>
    <n v="976.72"/>
    <n v="150"/>
    <n v="168.4"/>
    <n v="1684"/>
    <x v="1625"/>
  </r>
  <r>
    <x v="18"/>
    <x v="459"/>
    <x v="1709"/>
    <x v="3"/>
    <x v="4"/>
    <x v="0"/>
    <x v="1"/>
    <x v="1"/>
    <n v="2836"/>
    <x v="0"/>
    <n v="2836"/>
    <n v="16"/>
    <x v="34"/>
    <x v="1"/>
    <x v="3"/>
    <n v="1191.1199999999999"/>
    <n v="1644.88"/>
    <n v="150"/>
    <n v="283.60000000000002"/>
    <n v="2836"/>
    <x v="1626"/>
  </r>
  <r>
    <x v="2"/>
    <x v="460"/>
    <x v="1710"/>
    <x v="1"/>
    <x v="2"/>
    <x v="0"/>
    <x v="2"/>
    <x v="4"/>
    <n v="361"/>
    <x v="0"/>
    <n v="361"/>
    <n v="36"/>
    <x v="3"/>
    <x v="0"/>
    <x v="0"/>
    <n v="151.62"/>
    <n v="209.38"/>
    <n v="0"/>
    <n v="0"/>
    <n v="0"/>
    <x v="572"/>
  </r>
  <r>
    <x v="25"/>
    <x v="460"/>
    <x v="1711"/>
    <x v="6"/>
    <x v="1"/>
    <x v="0"/>
    <x v="3"/>
    <x v="1"/>
    <n v="1577"/>
    <x v="0"/>
    <n v="1577"/>
    <n v="30"/>
    <x v="29"/>
    <x v="0"/>
    <x v="0"/>
    <n v="662.34"/>
    <n v="914.66"/>
    <n v="0"/>
    <n v="0"/>
    <n v="0"/>
    <x v="1627"/>
  </r>
  <r>
    <x v="12"/>
    <x v="460"/>
    <x v="1712"/>
    <x v="1"/>
    <x v="5"/>
    <x v="2"/>
    <x v="0"/>
    <x v="4"/>
    <n v="2535"/>
    <x v="17"/>
    <n v="1168.635"/>
    <n v="41"/>
    <x v="41"/>
    <x v="1"/>
    <x v="5"/>
    <n v="490.82669999999996"/>
    <n v="677.80830000000003"/>
    <n v="150"/>
    <n v="116.8635"/>
    <n v="1168.635"/>
    <x v="1628"/>
  </r>
  <r>
    <x v="23"/>
    <x v="461"/>
    <x v="1713"/>
    <x v="6"/>
    <x v="4"/>
    <x v="3"/>
    <x v="5"/>
    <x v="4"/>
    <n v="2014"/>
    <x v="155"/>
    <n v="1375.5620000000001"/>
    <n v="46"/>
    <x v="12"/>
    <x v="0"/>
    <x v="0"/>
    <n v="577.73604"/>
    <n v="797.82596000000012"/>
    <n v="0"/>
    <n v="0"/>
    <n v="0"/>
    <x v="1629"/>
  </r>
  <r>
    <x v="32"/>
    <x v="461"/>
    <x v="1714"/>
    <x v="4"/>
    <x v="4"/>
    <x v="3"/>
    <x v="2"/>
    <x v="11"/>
    <n v="2942"/>
    <x v="28"/>
    <n v="2303.5860000000002"/>
    <n v="28"/>
    <x v="1"/>
    <x v="0"/>
    <x v="0"/>
    <n v="967.50612000000001"/>
    <n v="1336.0798800000002"/>
    <n v="0"/>
    <n v="0"/>
    <n v="0"/>
    <x v="1630"/>
  </r>
  <r>
    <x v="37"/>
    <x v="461"/>
    <x v="1715"/>
    <x v="4"/>
    <x v="3"/>
    <x v="2"/>
    <x v="4"/>
    <x v="9"/>
    <n v="3984"/>
    <x v="0"/>
    <n v="3984"/>
    <n v="30"/>
    <x v="11"/>
    <x v="0"/>
    <x v="0"/>
    <n v="1673.28"/>
    <n v="2310.7200000000003"/>
    <n v="0"/>
    <n v="0"/>
    <n v="0"/>
    <x v="433"/>
  </r>
  <r>
    <x v="11"/>
    <x v="461"/>
    <x v="1716"/>
    <x v="5"/>
    <x v="4"/>
    <x v="1"/>
    <x v="4"/>
    <x v="2"/>
    <n v="2971"/>
    <x v="0"/>
    <n v="2971"/>
    <n v="37"/>
    <x v="30"/>
    <x v="1"/>
    <x v="3"/>
    <n v="1247.82"/>
    <n v="1723.18"/>
    <n v="150"/>
    <n v="297.10000000000002"/>
    <n v="2971"/>
    <x v="105"/>
  </r>
  <r>
    <x v="11"/>
    <x v="462"/>
    <x v="1717"/>
    <x v="5"/>
    <x v="4"/>
    <x v="3"/>
    <x v="6"/>
    <x v="0"/>
    <n v="2546"/>
    <x v="0"/>
    <n v="2546"/>
    <n v="24"/>
    <x v="7"/>
    <x v="0"/>
    <x v="0"/>
    <n v="1069.32"/>
    <n v="1476.68"/>
    <n v="0"/>
    <n v="0"/>
    <n v="0"/>
    <x v="1631"/>
  </r>
  <r>
    <x v="29"/>
    <x v="462"/>
    <x v="1718"/>
    <x v="5"/>
    <x v="2"/>
    <x v="1"/>
    <x v="2"/>
    <x v="8"/>
    <n v="314"/>
    <x v="0"/>
    <n v="314"/>
    <n v="28"/>
    <x v="41"/>
    <x v="0"/>
    <x v="0"/>
    <n v="131.88"/>
    <n v="182.12"/>
    <n v="0"/>
    <n v="0"/>
    <n v="0"/>
    <x v="513"/>
  </r>
  <r>
    <x v="44"/>
    <x v="462"/>
    <x v="1719"/>
    <x v="6"/>
    <x v="5"/>
    <x v="0"/>
    <x v="2"/>
    <x v="10"/>
    <n v="2213"/>
    <x v="0"/>
    <n v="2213"/>
    <n v="45"/>
    <x v="15"/>
    <x v="0"/>
    <x v="0"/>
    <n v="929.45999999999992"/>
    <n v="1283.54"/>
    <n v="0"/>
    <n v="0"/>
    <n v="0"/>
    <x v="1632"/>
  </r>
  <r>
    <x v="22"/>
    <x v="462"/>
    <x v="1720"/>
    <x v="2"/>
    <x v="4"/>
    <x v="1"/>
    <x v="4"/>
    <x v="0"/>
    <n v="2716"/>
    <x v="0"/>
    <n v="2716"/>
    <n v="39"/>
    <x v="19"/>
    <x v="0"/>
    <x v="0"/>
    <n v="1140.72"/>
    <n v="1575.28"/>
    <n v="0"/>
    <n v="0"/>
    <n v="0"/>
    <x v="1633"/>
  </r>
  <r>
    <x v="13"/>
    <x v="463"/>
    <x v="1721"/>
    <x v="3"/>
    <x v="2"/>
    <x v="1"/>
    <x v="2"/>
    <x v="1"/>
    <n v="242"/>
    <x v="6"/>
    <n v="100.43"/>
    <n v="40"/>
    <x v="5"/>
    <x v="0"/>
    <x v="0"/>
    <n v="42.180599999999998"/>
    <n v="58.249400000000009"/>
    <n v="0"/>
    <n v="0"/>
    <n v="0"/>
    <x v="1634"/>
  </r>
  <r>
    <x v="22"/>
    <x v="463"/>
    <x v="1722"/>
    <x v="2"/>
    <x v="4"/>
    <x v="2"/>
    <x v="5"/>
    <x v="1"/>
    <n v="2209"/>
    <x v="412"/>
    <n v="1292.2649999999999"/>
    <n v="20"/>
    <x v="32"/>
    <x v="0"/>
    <x v="0"/>
    <n v="542.7512999999999"/>
    <n v="749.51369999999997"/>
    <n v="0"/>
    <n v="0"/>
    <n v="0"/>
    <x v="1635"/>
  </r>
  <r>
    <x v="18"/>
    <x v="463"/>
    <x v="1723"/>
    <x v="3"/>
    <x v="4"/>
    <x v="2"/>
    <x v="2"/>
    <x v="4"/>
    <n v="2722"/>
    <x v="18"/>
    <n v="1200.4020000000003"/>
    <n v="10"/>
    <x v="1"/>
    <x v="0"/>
    <x v="0"/>
    <n v="504.1688400000001"/>
    <n v="696.23316000000023"/>
    <n v="0"/>
    <n v="0"/>
    <n v="0"/>
    <x v="1636"/>
  </r>
  <r>
    <x v="36"/>
    <x v="463"/>
    <x v="1724"/>
    <x v="5"/>
    <x v="3"/>
    <x v="2"/>
    <x v="2"/>
    <x v="11"/>
    <n v="3495"/>
    <x v="408"/>
    <n v="1408.4850000000001"/>
    <n v="13"/>
    <x v="10"/>
    <x v="1"/>
    <x v="4"/>
    <n v="591.56370000000004"/>
    <n v="816.92130000000009"/>
    <n v="150"/>
    <n v="140.84850000000003"/>
    <n v="1408.4850000000001"/>
    <x v="1637"/>
  </r>
  <r>
    <x v="3"/>
    <x v="464"/>
    <x v="1725"/>
    <x v="1"/>
    <x v="3"/>
    <x v="3"/>
    <x v="4"/>
    <x v="6"/>
    <n v="4254"/>
    <x v="413"/>
    <n v="3513.8040000000001"/>
    <n v="6"/>
    <x v="3"/>
    <x v="0"/>
    <x v="0"/>
    <n v="1475.7976799999999"/>
    <n v="2038.0063200000002"/>
    <n v="0"/>
    <n v="0"/>
    <n v="0"/>
    <x v="1638"/>
  </r>
  <r>
    <x v="7"/>
    <x v="464"/>
    <x v="1726"/>
    <x v="3"/>
    <x v="5"/>
    <x v="0"/>
    <x v="0"/>
    <x v="6"/>
    <n v="2492"/>
    <x v="414"/>
    <n v="1873.9839999999999"/>
    <n v="7"/>
    <x v="26"/>
    <x v="0"/>
    <x v="0"/>
    <n v="787.07327999999995"/>
    <n v="1086.9107199999999"/>
    <n v="0"/>
    <n v="0"/>
    <n v="0"/>
    <x v="1639"/>
  </r>
  <r>
    <x v="5"/>
    <x v="464"/>
    <x v="1727"/>
    <x v="0"/>
    <x v="2"/>
    <x v="0"/>
    <x v="2"/>
    <x v="9"/>
    <n v="486"/>
    <x v="0"/>
    <n v="486"/>
    <n v="16"/>
    <x v="30"/>
    <x v="1"/>
    <x v="6"/>
    <n v="204.12"/>
    <n v="281.88"/>
    <n v="150"/>
    <n v="48.6"/>
    <n v="486"/>
    <x v="1640"/>
  </r>
  <r>
    <x v="46"/>
    <x v="464"/>
    <x v="1728"/>
    <x v="2"/>
    <x v="3"/>
    <x v="3"/>
    <x v="3"/>
    <x v="11"/>
    <n v="4347"/>
    <x v="40"/>
    <n v="4068.7919999999999"/>
    <n v="39"/>
    <x v="0"/>
    <x v="0"/>
    <x v="0"/>
    <n v="1708.8926399999998"/>
    <n v="2359.8993600000003"/>
    <n v="0"/>
    <n v="0"/>
    <n v="0"/>
    <x v="1641"/>
  </r>
  <r>
    <x v="44"/>
    <x v="464"/>
    <x v="1729"/>
    <x v="6"/>
    <x v="5"/>
    <x v="3"/>
    <x v="1"/>
    <x v="2"/>
    <n v="2570"/>
    <x v="0"/>
    <n v="2570"/>
    <n v="29"/>
    <x v="6"/>
    <x v="0"/>
    <x v="0"/>
    <n v="1079.3999999999999"/>
    <n v="1490.6000000000001"/>
    <n v="0"/>
    <n v="0"/>
    <n v="0"/>
    <x v="1642"/>
  </r>
  <r>
    <x v="4"/>
    <x v="465"/>
    <x v="1730"/>
    <x v="2"/>
    <x v="1"/>
    <x v="2"/>
    <x v="0"/>
    <x v="10"/>
    <n v="1776"/>
    <x v="73"/>
    <n v="1557.5519999999999"/>
    <n v="23"/>
    <x v="18"/>
    <x v="1"/>
    <x v="3"/>
    <n v="654.17183999999997"/>
    <n v="903.38015999999993"/>
    <n v="150"/>
    <n v="155.7552"/>
    <n v="1557.5519999999999"/>
    <x v="1643"/>
  </r>
  <r>
    <x v="10"/>
    <x v="465"/>
    <x v="1731"/>
    <x v="3"/>
    <x v="1"/>
    <x v="3"/>
    <x v="3"/>
    <x v="0"/>
    <n v="1439"/>
    <x v="129"/>
    <n v="766.98699999999985"/>
    <n v="29"/>
    <x v="33"/>
    <x v="0"/>
    <x v="0"/>
    <n v="322.1345399999999"/>
    <n v="444.85245999999995"/>
    <n v="0"/>
    <n v="0"/>
    <n v="0"/>
    <x v="1644"/>
  </r>
  <r>
    <x v="46"/>
    <x v="465"/>
    <x v="1732"/>
    <x v="2"/>
    <x v="3"/>
    <x v="1"/>
    <x v="3"/>
    <x v="3"/>
    <n v="3681"/>
    <x v="316"/>
    <n v="2694.4919999999997"/>
    <n v="28"/>
    <x v="36"/>
    <x v="0"/>
    <x v="0"/>
    <n v="1131.6866399999999"/>
    <n v="1562.8053599999998"/>
    <n v="0"/>
    <n v="0"/>
    <n v="0"/>
    <x v="1645"/>
  </r>
  <r>
    <x v="3"/>
    <x v="466"/>
    <x v="1733"/>
    <x v="1"/>
    <x v="3"/>
    <x v="0"/>
    <x v="4"/>
    <x v="10"/>
    <n v="3853"/>
    <x v="415"/>
    <n v="1695.3199999999997"/>
    <n v="27"/>
    <x v="10"/>
    <x v="0"/>
    <x v="0"/>
    <n v="712.03439999999989"/>
    <n v="983.28559999999982"/>
    <n v="0"/>
    <n v="0"/>
    <n v="0"/>
    <x v="1646"/>
  </r>
  <r>
    <x v="19"/>
    <x v="466"/>
    <x v="1734"/>
    <x v="2"/>
    <x v="5"/>
    <x v="0"/>
    <x v="5"/>
    <x v="7"/>
    <n v="2515"/>
    <x v="0"/>
    <n v="2515"/>
    <n v="19"/>
    <x v="41"/>
    <x v="0"/>
    <x v="0"/>
    <n v="1056.3"/>
    <n v="1458.7"/>
    <n v="0"/>
    <n v="0"/>
    <n v="0"/>
    <x v="1647"/>
  </r>
  <r>
    <x v="36"/>
    <x v="466"/>
    <x v="1735"/>
    <x v="5"/>
    <x v="3"/>
    <x v="0"/>
    <x v="5"/>
    <x v="4"/>
    <n v="4291"/>
    <x v="0"/>
    <n v="4291"/>
    <n v="43"/>
    <x v="3"/>
    <x v="0"/>
    <x v="0"/>
    <n v="1802.22"/>
    <n v="2488.7799999999997"/>
    <n v="0"/>
    <n v="0"/>
    <n v="0"/>
    <x v="1648"/>
  </r>
  <r>
    <x v="28"/>
    <x v="466"/>
    <x v="1736"/>
    <x v="3"/>
    <x v="3"/>
    <x v="2"/>
    <x v="5"/>
    <x v="8"/>
    <n v="3424"/>
    <x v="0"/>
    <n v="3424"/>
    <n v="9"/>
    <x v="12"/>
    <x v="0"/>
    <x v="0"/>
    <n v="1438.08"/>
    <n v="1985.92"/>
    <n v="0"/>
    <n v="0"/>
    <n v="0"/>
    <x v="1649"/>
  </r>
  <r>
    <x v="22"/>
    <x v="467"/>
    <x v="1737"/>
    <x v="2"/>
    <x v="4"/>
    <x v="3"/>
    <x v="4"/>
    <x v="10"/>
    <n v="2284"/>
    <x v="0"/>
    <n v="2284"/>
    <n v="14"/>
    <x v="36"/>
    <x v="0"/>
    <x v="0"/>
    <n v="959.28"/>
    <n v="1324.72"/>
    <n v="0"/>
    <n v="0"/>
    <n v="0"/>
    <x v="1650"/>
  </r>
  <r>
    <x v="20"/>
    <x v="467"/>
    <x v="1738"/>
    <x v="7"/>
    <x v="1"/>
    <x v="3"/>
    <x v="2"/>
    <x v="1"/>
    <n v="1485"/>
    <x v="0"/>
    <n v="1485"/>
    <n v="29"/>
    <x v="38"/>
    <x v="0"/>
    <x v="0"/>
    <n v="623.69999999999993"/>
    <n v="861.30000000000007"/>
    <n v="0"/>
    <n v="0"/>
    <n v="0"/>
    <x v="1651"/>
  </r>
  <r>
    <x v="25"/>
    <x v="467"/>
    <x v="1739"/>
    <x v="6"/>
    <x v="1"/>
    <x v="0"/>
    <x v="0"/>
    <x v="4"/>
    <n v="1524"/>
    <x v="0"/>
    <n v="1524"/>
    <n v="24"/>
    <x v="13"/>
    <x v="0"/>
    <x v="0"/>
    <n v="640.07999999999993"/>
    <n v="883.92000000000007"/>
    <n v="0"/>
    <n v="0"/>
    <n v="0"/>
    <x v="1652"/>
  </r>
  <r>
    <x v="35"/>
    <x v="467"/>
    <x v="1740"/>
    <x v="4"/>
    <x v="1"/>
    <x v="3"/>
    <x v="3"/>
    <x v="11"/>
    <n v="1262"/>
    <x v="0"/>
    <n v="1262"/>
    <n v="49"/>
    <x v="3"/>
    <x v="0"/>
    <x v="0"/>
    <n v="530.04"/>
    <n v="731.96"/>
    <n v="0"/>
    <n v="0"/>
    <n v="0"/>
    <x v="1653"/>
  </r>
  <r>
    <x v="3"/>
    <x v="468"/>
    <x v="1741"/>
    <x v="1"/>
    <x v="3"/>
    <x v="0"/>
    <x v="5"/>
    <x v="4"/>
    <n v="3066"/>
    <x v="416"/>
    <n v="2627.5619999999999"/>
    <n v="7"/>
    <x v="29"/>
    <x v="1"/>
    <x v="3"/>
    <n v="1103.5760399999999"/>
    <n v="1523.98596"/>
    <n v="150"/>
    <n v="262.75619999999998"/>
    <n v="2627.5619999999999"/>
    <x v="1654"/>
  </r>
  <r>
    <x v="28"/>
    <x v="468"/>
    <x v="1742"/>
    <x v="3"/>
    <x v="3"/>
    <x v="2"/>
    <x v="4"/>
    <x v="2"/>
    <n v="3530"/>
    <x v="170"/>
    <n v="3321.73"/>
    <n v="39"/>
    <x v="2"/>
    <x v="0"/>
    <x v="0"/>
    <n v="1395.1266000000001"/>
    <n v="1926.6034"/>
    <n v="0"/>
    <n v="0"/>
    <n v="0"/>
    <x v="1655"/>
  </r>
  <r>
    <x v="6"/>
    <x v="468"/>
    <x v="1743"/>
    <x v="0"/>
    <x v="4"/>
    <x v="2"/>
    <x v="5"/>
    <x v="6"/>
    <n v="2691"/>
    <x v="383"/>
    <n v="2548.377"/>
    <n v="13"/>
    <x v="1"/>
    <x v="0"/>
    <x v="0"/>
    <n v="1070.31834"/>
    <n v="1478.0586599999999"/>
    <n v="0"/>
    <n v="0"/>
    <n v="0"/>
    <x v="1656"/>
  </r>
  <r>
    <x v="19"/>
    <x v="469"/>
    <x v="1744"/>
    <x v="2"/>
    <x v="5"/>
    <x v="0"/>
    <x v="6"/>
    <x v="0"/>
    <n v="2172"/>
    <x v="0"/>
    <n v="2172"/>
    <n v="38"/>
    <x v="30"/>
    <x v="0"/>
    <x v="0"/>
    <n v="912.24"/>
    <n v="1259.76"/>
    <n v="0"/>
    <n v="0"/>
    <n v="0"/>
    <x v="1657"/>
  </r>
  <r>
    <x v="40"/>
    <x v="469"/>
    <x v="1745"/>
    <x v="5"/>
    <x v="0"/>
    <x v="3"/>
    <x v="0"/>
    <x v="0"/>
    <n v="3566"/>
    <x v="0"/>
    <n v="3566"/>
    <n v="31"/>
    <x v="3"/>
    <x v="1"/>
    <x v="4"/>
    <n v="1497.72"/>
    <n v="2068.2799999999997"/>
    <n v="150"/>
    <n v="356.6"/>
    <n v="3566"/>
    <x v="1524"/>
  </r>
  <r>
    <x v="8"/>
    <x v="469"/>
    <x v="1746"/>
    <x v="1"/>
    <x v="0"/>
    <x v="2"/>
    <x v="5"/>
    <x v="5"/>
    <n v="4496"/>
    <x v="0"/>
    <n v="4496"/>
    <n v="12"/>
    <x v="29"/>
    <x v="1"/>
    <x v="1"/>
    <n v="1888.32"/>
    <n v="2607.6800000000003"/>
    <n v="150"/>
    <n v="449.6"/>
    <n v="4496"/>
    <x v="1658"/>
  </r>
  <r>
    <x v="11"/>
    <x v="469"/>
    <x v="1747"/>
    <x v="5"/>
    <x v="4"/>
    <x v="0"/>
    <x v="5"/>
    <x v="0"/>
    <n v="2782"/>
    <x v="48"/>
    <n v="1391"/>
    <n v="24"/>
    <x v="31"/>
    <x v="0"/>
    <x v="0"/>
    <n v="584.22"/>
    <n v="806.78"/>
    <n v="0"/>
    <n v="0"/>
    <n v="0"/>
    <x v="1659"/>
  </r>
  <r>
    <x v="31"/>
    <x v="470"/>
    <x v="1748"/>
    <x v="2"/>
    <x v="2"/>
    <x v="1"/>
    <x v="2"/>
    <x v="10"/>
    <n v="401"/>
    <x v="48"/>
    <n v="200.5"/>
    <n v="23"/>
    <x v="30"/>
    <x v="1"/>
    <x v="6"/>
    <n v="84.21"/>
    <n v="116.29"/>
    <n v="150"/>
    <n v="20.05"/>
    <n v="200.5"/>
    <x v="1660"/>
  </r>
  <r>
    <x v="16"/>
    <x v="470"/>
    <x v="1749"/>
    <x v="3"/>
    <x v="0"/>
    <x v="3"/>
    <x v="5"/>
    <x v="6"/>
    <n v="3511"/>
    <x v="352"/>
    <n v="2426.1010000000001"/>
    <n v="7"/>
    <x v="34"/>
    <x v="1"/>
    <x v="3"/>
    <n v="1018.9624200000001"/>
    <n v="1407.13858"/>
    <n v="150"/>
    <n v="242.61010000000002"/>
    <n v="2426.1010000000001"/>
    <x v="1661"/>
  </r>
  <r>
    <x v="38"/>
    <x v="470"/>
    <x v="1750"/>
    <x v="0"/>
    <x v="1"/>
    <x v="1"/>
    <x v="3"/>
    <x v="2"/>
    <n v="1226"/>
    <x v="417"/>
    <n v="636.29399999999987"/>
    <n v="36"/>
    <x v="4"/>
    <x v="0"/>
    <x v="0"/>
    <n v="267.24347999999992"/>
    <n v="369.05051999999995"/>
    <n v="0"/>
    <n v="0"/>
    <n v="0"/>
    <x v="1662"/>
  </r>
  <r>
    <x v="1"/>
    <x v="470"/>
    <x v="1751"/>
    <x v="1"/>
    <x v="1"/>
    <x v="0"/>
    <x v="6"/>
    <x v="10"/>
    <n v="1188"/>
    <x v="0"/>
    <n v="1188"/>
    <n v="11"/>
    <x v="3"/>
    <x v="0"/>
    <x v="0"/>
    <n v="498.96"/>
    <n v="689.04"/>
    <n v="0"/>
    <n v="0"/>
    <n v="0"/>
    <x v="1663"/>
  </r>
  <r>
    <x v="3"/>
    <x v="471"/>
    <x v="1752"/>
    <x v="1"/>
    <x v="3"/>
    <x v="3"/>
    <x v="6"/>
    <x v="11"/>
    <n v="3467"/>
    <x v="0"/>
    <n v="3467"/>
    <n v="30"/>
    <x v="27"/>
    <x v="0"/>
    <x v="0"/>
    <n v="1456.1399999999999"/>
    <n v="2010.8600000000001"/>
    <n v="0"/>
    <n v="0"/>
    <n v="0"/>
    <x v="1664"/>
  </r>
  <r>
    <x v="7"/>
    <x v="471"/>
    <x v="1753"/>
    <x v="3"/>
    <x v="5"/>
    <x v="2"/>
    <x v="2"/>
    <x v="6"/>
    <n v="2309"/>
    <x v="0"/>
    <n v="2309"/>
    <n v="6"/>
    <x v="8"/>
    <x v="0"/>
    <x v="0"/>
    <n v="969.78"/>
    <n v="1339.22"/>
    <n v="0"/>
    <n v="0"/>
    <n v="0"/>
    <x v="93"/>
  </r>
  <r>
    <x v="1"/>
    <x v="471"/>
    <x v="1754"/>
    <x v="1"/>
    <x v="1"/>
    <x v="2"/>
    <x v="4"/>
    <x v="0"/>
    <n v="1119"/>
    <x v="0"/>
    <n v="1119"/>
    <n v="47"/>
    <x v="26"/>
    <x v="0"/>
    <x v="0"/>
    <n v="469.97999999999996"/>
    <n v="649.02"/>
    <n v="0"/>
    <n v="0"/>
    <n v="0"/>
    <x v="1665"/>
  </r>
  <r>
    <x v="36"/>
    <x v="472"/>
    <x v="1755"/>
    <x v="5"/>
    <x v="3"/>
    <x v="1"/>
    <x v="1"/>
    <x v="2"/>
    <n v="3222"/>
    <x v="0"/>
    <n v="3222"/>
    <n v="2"/>
    <x v="4"/>
    <x v="0"/>
    <x v="0"/>
    <n v="1353.24"/>
    <n v="1868.76"/>
    <n v="0"/>
    <n v="0"/>
    <n v="0"/>
    <x v="1666"/>
  </r>
  <r>
    <x v="37"/>
    <x v="472"/>
    <x v="1756"/>
    <x v="4"/>
    <x v="3"/>
    <x v="0"/>
    <x v="0"/>
    <x v="2"/>
    <n v="3840"/>
    <x v="0"/>
    <n v="3840"/>
    <n v="45"/>
    <x v="39"/>
    <x v="0"/>
    <x v="0"/>
    <n v="1612.8"/>
    <n v="2227.1999999999998"/>
    <n v="0"/>
    <n v="0"/>
    <n v="0"/>
    <x v="1667"/>
  </r>
  <r>
    <x v="16"/>
    <x v="472"/>
    <x v="1757"/>
    <x v="3"/>
    <x v="0"/>
    <x v="3"/>
    <x v="3"/>
    <x v="5"/>
    <n v="4256"/>
    <x v="0"/>
    <n v="4256"/>
    <n v="38"/>
    <x v="3"/>
    <x v="0"/>
    <x v="0"/>
    <n v="1787.52"/>
    <n v="2468.48"/>
    <n v="0"/>
    <n v="0"/>
    <n v="0"/>
    <x v="110"/>
  </r>
  <r>
    <x v="45"/>
    <x v="472"/>
    <x v="1758"/>
    <x v="7"/>
    <x v="3"/>
    <x v="0"/>
    <x v="4"/>
    <x v="8"/>
    <n v="3355"/>
    <x v="39"/>
    <n v="2013"/>
    <n v="17"/>
    <x v="2"/>
    <x v="0"/>
    <x v="0"/>
    <n v="845.45999999999992"/>
    <n v="1167.54"/>
    <n v="0"/>
    <n v="0"/>
    <n v="0"/>
    <x v="1668"/>
  </r>
  <r>
    <x v="18"/>
    <x v="473"/>
    <x v="1759"/>
    <x v="3"/>
    <x v="4"/>
    <x v="1"/>
    <x v="1"/>
    <x v="1"/>
    <n v="2472"/>
    <x v="246"/>
    <n v="2074.0079999999998"/>
    <n v="32"/>
    <x v="32"/>
    <x v="0"/>
    <x v="0"/>
    <n v="871.08335999999986"/>
    <n v="1202.92464"/>
    <n v="0"/>
    <n v="0"/>
    <n v="0"/>
    <x v="1669"/>
  </r>
  <r>
    <x v="31"/>
    <x v="473"/>
    <x v="1760"/>
    <x v="2"/>
    <x v="2"/>
    <x v="0"/>
    <x v="2"/>
    <x v="5"/>
    <n v="481"/>
    <x v="0"/>
    <n v="481"/>
    <n v="37"/>
    <x v="3"/>
    <x v="0"/>
    <x v="0"/>
    <n v="202.01999999999998"/>
    <n v="278.98"/>
    <n v="0"/>
    <n v="0"/>
    <n v="0"/>
    <x v="1670"/>
  </r>
  <r>
    <x v="19"/>
    <x v="473"/>
    <x v="1761"/>
    <x v="2"/>
    <x v="5"/>
    <x v="0"/>
    <x v="5"/>
    <x v="10"/>
    <n v="1891"/>
    <x v="254"/>
    <n v="1454.1790000000001"/>
    <n v="30"/>
    <x v="35"/>
    <x v="0"/>
    <x v="0"/>
    <n v="610.75518"/>
    <n v="843.42382000000009"/>
    <n v="0"/>
    <n v="0"/>
    <n v="0"/>
    <x v="1671"/>
  </r>
  <r>
    <x v="37"/>
    <x v="473"/>
    <x v="1762"/>
    <x v="4"/>
    <x v="3"/>
    <x v="1"/>
    <x v="6"/>
    <x v="5"/>
    <n v="3370"/>
    <x v="19"/>
    <n v="1445.7299999999998"/>
    <n v="10"/>
    <x v="22"/>
    <x v="0"/>
    <x v="0"/>
    <n v="607.20659999999987"/>
    <n v="838.52339999999992"/>
    <n v="0"/>
    <n v="0"/>
    <n v="0"/>
    <x v="1672"/>
  </r>
  <r>
    <x v="8"/>
    <x v="474"/>
    <x v="1763"/>
    <x v="1"/>
    <x v="0"/>
    <x v="3"/>
    <x v="3"/>
    <x v="9"/>
    <n v="4359"/>
    <x v="403"/>
    <n v="4202.076"/>
    <n v="26"/>
    <x v="3"/>
    <x v="1"/>
    <x v="1"/>
    <n v="1764.87192"/>
    <n v="2437.20408"/>
    <n v="150"/>
    <n v="420.20760000000001"/>
    <n v="4202.076"/>
    <x v="1673"/>
  </r>
  <r>
    <x v="13"/>
    <x v="474"/>
    <x v="1764"/>
    <x v="3"/>
    <x v="2"/>
    <x v="2"/>
    <x v="2"/>
    <x v="10"/>
    <n v="197"/>
    <x v="0"/>
    <n v="197"/>
    <n v="42"/>
    <x v="3"/>
    <x v="1"/>
    <x v="7"/>
    <n v="82.74"/>
    <n v="114.26"/>
    <n v="150"/>
    <n v="19.700000000000003"/>
    <n v="197"/>
    <x v="1674"/>
  </r>
  <r>
    <x v="30"/>
    <x v="474"/>
    <x v="1765"/>
    <x v="7"/>
    <x v="4"/>
    <x v="2"/>
    <x v="4"/>
    <x v="3"/>
    <n v="2056"/>
    <x v="0"/>
    <n v="2056"/>
    <n v="30"/>
    <x v="9"/>
    <x v="1"/>
    <x v="3"/>
    <n v="863.52"/>
    <n v="1192.48"/>
    <n v="150"/>
    <n v="205.60000000000002"/>
    <n v="2056"/>
    <x v="1675"/>
  </r>
  <r>
    <x v="0"/>
    <x v="474"/>
    <x v="1766"/>
    <x v="0"/>
    <x v="0"/>
    <x v="3"/>
    <x v="3"/>
    <x v="4"/>
    <n v="3822"/>
    <x v="0"/>
    <n v="3822"/>
    <n v="34"/>
    <x v="3"/>
    <x v="1"/>
    <x v="4"/>
    <n v="1605.24"/>
    <n v="2216.7600000000002"/>
    <n v="150"/>
    <n v="382.20000000000005"/>
    <n v="3822"/>
    <x v="1676"/>
  </r>
  <r>
    <x v="43"/>
    <x v="475"/>
    <x v="1767"/>
    <x v="4"/>
    <x v="5"/>
    <x v="2"/>
    <x v="1"/>
    <x v="5"/>
    <n v="2112"/>
    <x v="0"/>
    <n v="2112"/>
    <n v="14"/>
    <x v="3"/>
    <x v="0"/>
    <x v="0"/>
    <n v="887.04"/>
    <n v="1224.96"/>
    <n v="0"/>
    <n v="0"/>
    <n v="0"/>
    <x v="140"/>
  </r>
  <r>
    <x v="30"/>
    <x v="475"/>
    <x v="1768"/>
    <x v="7"/>
    <x v="4"/>
    <x v="2"/>
    <x v="5"/>
    <x v="1"/>
    <n v="2373"/>
    <x v="418"/>
    <n v="1670.5919999999999"/>
    <n v="25"/>
    <x v="35"/>
    <x v="0"/>
    <x v="0"/>
    <n v="701.64863999999989"/>
    <n v="968.94335999999998"/>
    <n v="0"/>
    <n v="0"/>
    <n v="0"/>
    <x v="1677"/>
  </r>
  <r>
    <x v="43"/>
    <x v="475"/>
    <x v="1769"/>
    <x v="4"/>
    <x v="5"/>
    <x v="2"/>
    <x v="6"/>
    <x v="1"/>
    <n v="2915"/>
    <x v="0"/>
    <n v="2915"/>
    <n v="9"/>
    <x v="28"/>
    <x v="0"/>
    <x v="0"/>
    <n v="1224.3"/>
    <n v="1690.7"/>
    <n v="0"/>
    <n v="0"/>
    <n v="0"/>
    <x v="1678"/>
  </r>
  <r>
    <x v="47"/>
    <x v="476"/>
    <x v="1770"/>
    <x v="4"/>
    <x v="2"/>
    <x v="3"/>
    <x v="2"/>
    <x v="1"/>
    <n v="404"/>
    <x v="104"/>
    <n v="244.82400000000004"/>
    <n v="0"/>
    <x v="30"/>
    <x v="0"/>
    <x v="0"/>
    <n v="102.82608000000002"/>
    <n v="141.99792000000002"/>
    <n v="0"/>
    <n v="0"/>
    <n v="0"/>
    <x v="1679"/>
  </r>
  <r>
    <x v="2"/>
    <x v="476"/>
    <x v="1771"/>
    <x v="1"/>
    <x v="2"/>
    <x v="0"/>
    <x v="2"/>
    <x v="6"/>
    <n v="230"/>
    <x v="0"/>
    <n v="230"/>
    <n v="1"/>
    <x v="33"/>
    <x v="0"/>
    <x v="0"/>
    <n v="96.6"/>
    <n v="133.4"/>
    <n v="0"/>
    <n v="0"/>
    <n v="0"/>
    <x v="1680"/>
  </r>
  <r>
    <x v="2"/>
    <x v="476"/>
    <x v="1772"/>
    <x v="1"/>
    <x v="2"/>
    <x v="2"/>
    <x v="2"/>
    <x v="9"/>
    <n v="183"/>
    <x v="140"/>
    <n v="108.33600000000001"/>
    <n v="25"/>
    <x v="2"/>
    <x v="1"/>
    <x v="4"/>
    <n v="45.50112"/>
    <n v="62.834880000000013"/>
    <n v="150"/>
    <n v="10.833600000000002"/>
    <n v="108.33600000000001"/>
    <x v="1681"/>
  </r>
  <r>
    <x v="1"/>
    <x v="476"/>
    <x v="1773"/>
    <x v="1"/>
    <x v="1"/>
    <x v="1"/>
    <x v="0"/>
    <x v="9"/>
    <n v="1288"/>
    <x v="0"/>
    <n v="1288"/>
    <n v="6"/>
    <x v="40"/>
    <x v="0"/>
    <x v="0"/>
    <n v="540.96"/>
    <n v="747.04"/>
    <n v="0"/>
    <n v="0"/>
    <n v="0"/>
    <x v="1682"/>
  </r>
  <r>
    <x v="8"/>
    <x v="477"/>
    <x v="1774"/>
    <x v="1"/>
    <x v="0"/>
    <x v="0"/>
    <x v="5"/>
    <x v="1"/>
    <n v="4241"/>
    <x v="127"/>
    <n v="4062.8779999999997"/>
    <n v="34"/>
    <x v="10"/>
    <x v="0"/>
    <x v="0"/>
    <n v="1706.4087599999998"/>
    <n v="2356.4692399999999"/>
    <n v="0"/>
    <n v="0"/>
    <n v="0"/>
    <x v="1683"/>
  </r>
  <r>
    <x v="40"/>
    <x v="477"/>
    <x v="1775"/>
    <x v="5"/>
    <x v="0"/>
    <x v="2"/>
    <x v="6"/>
    <x v="5"/>
    <n v="4401"/>
    <x v="0"/>
    <n v="4401"/>
    <n v="45"/>
    <x v="3"/>
    <x v="1"/>
    <x v="6"/>
    <n v="1848.4199999999998"/>
    <n v="2552.58"/>
    <n v="150"/>
    <n v="440.1"/>
    <n v="4401"/>
    <x v="1684"/>
  </r>
  <r>
    <x v="14"/>
    <x v="477"/>
    <x v="1776"/>
    <x v="6"/>
    <x v="3"/>
    <x v="1"/>
    <x v="6"/>
    <x v="0"/>
    <n v="3053"/>
    <x v="185"/>
    <n v="2054.6690000000003"/>
    <n v="2"/>
    <x v="22"/>
    <x v="1"/>
    <x v="3"/>
    <n v="862.96098000000006"/>
    <n v="1191.7080200000003"/>
    <n v="150"/>
    <n v="205.46690000000004"/>
    <n v="2054.6690000000003"/>
    <x v="1685"/>
  </r>
  <r>
    <x v="47"/>
    <x v="477"/>
    <x v="1777"/>
    <x v="4"/>
    <x v="2"/>
    <x v="2"/>
    <x v="2"/>
    <x v="10"/>
    <n v="490"/>
    <x v="26"/>
    <n v="401.8"/>
    <n v="7"/>
    <x v="1"/>
    <x v="1"/>
    <x v="4"/>
    <n v="168.756"/>
    <n v="233.04400000000001"/>
    <n v="150"/>
    <n v="40.180000000000007"/>
    <n v="401.8"/>
    <x v="1686"/>
  </r>
  <r>
    <x v="39"/>
    <x v="478"/>
    <x v="1778"/>
    <x v="7"/>
    <x v="5"/>
    <x v="3"/>
    <x v="0"/>
    <x v="11"/>
    <n v="2312"/>
    <x v="0"/>
    <n v="2312"/>
    <n v="9"/>
    <x v="3"/>
    <x v="0"/>
    <x v="0"/>
    <n v="971.04"/>
    <n v="1340.96"/>
    <n v="0"/>
    <n v="0"/>
    <n v="0"/>
    <x v="1446"/>
  </r>
  <r>
    <x v="19"/>
    <x v="478"/>
    <x v="1779"/>
    <x v="2"/>
    <x v="5"/>
    <x v="3"/>
    <x v="6"/>
    <x v="0"/>
    <n v="2799"/>
    <x v="0"/>
    <n v="2799"/>
    <n v="40"/>
    <x v="37"/>
    <x v="0"/>
    <x v="0"/>
    <n v="1175.58"/>
    <n v="1623.42"/>
    <n v="0"/>
    <n v="0"/>
    <n v="0"/>
    <x v="1687"/>
  </r>
  <r>
    <x v="24"/>
    <x v="478"/>
    <x v="1780"/>
    <x v="5"/>
    <x v="5"/>
    <x v="3"/>
    <x v="0"/>
    <x v="11"/>
    <n v="1833"/>
    <x v="18"/>
    <n v="808.35300000000007"/>
    <n v="31"/>
    <x v="9"/>
    <x v="0"/>
    <x v="0"/>
    <n v="339.50826000000001"/>
    <n v="468.84474000000006"/>
    <n v="0"/>
    <n v="0"/>
    <n v="0"/>
    <x v="1688"/>
  </r>
  <r>
    <x v="14"/>
    <x v="478"/>
    <x v="1781"/>
    <x v="6"/>
    <x v="3"/>
    <x v="3"/>
    <x v="1"/>
    <x v="8"/>
    <n v="4419"/>
    <x v="0"/>
    <n v="4419"/>
    <n v="7"/>
    <x v="18"/>
    <x v="1"/>
    <x v="4"/>
    <n v="1855.98"/>
    <n v="2563.02"/>
    <n v="150"/>
    <n v="441.90000000000003"/>
    <n v="4419"/>
    <x v="1689"/>
  </r>
  <r>
    <x v="41"/>
    <x v="479"/>
    <x v="1782"/>
    <x v="6"/>
    <x v="2"/>
    <x v="0"/>
    <x v="2"/>
    <x v="10"/>
    <n v="250"/>
    <x v="0"/>
    <n v="250"/>
    <n v="30"/>
    <x v="19"/>
    <x v="0"/>
    <x v="0"/>
    <n v="105"/>
    <n v="145"/>
    <n v="0"/>
    <n v="0"/>
    <n v="0"/>
    <x v="1690"/>
  </r>
  <r>
    <x v="33"/>
    <x v="479"/>
    <x v="1783"/>
    <x v="7"/>
    <x v="0"/>
    <x v="1"/>
    <x v="0"/>
    <x v="1"/>
    <n v="3197"/>
    <x v="0"/>
    <n v="3197"/>
    <n v="27"/>
    <x v="38"/>
    <x v="0"/>
    <x v="0"/>
    <n v="1342.74"/>
    <n v="1854.26"/>
    <n v="0"/>
    <n v="0"/>
    <n v="0"/>
    <x v="1691"/>
  </r>
  <r>
    <x v="9"/>
    <x v="479"/>
    <x v="1784"/>
    <x v="4"/>
    <x v="0"/>
    <x v="3"/>
    <x v="1"/>
    <x v="11"/>
    <n v="3094"/>
    <x v="0"/>
    <n v="3094"/>
    <n v="28"/>
    <x v="13"/>
    <x v="0"/>
    <x v="0"/>
    <n v="1299.48"/>
    <n v="1794.52"/>
    <n v="0"/>
    <n v="0"/>
    <n v="0"/>
    <x v="1692"/>
  </r>
  <r>
    <x v="5"/>
    <x v="479"/>
    <x v="1785"/>
    <x v="0"/>
    <x v="2"/>
    <x v="2"/>
    <x v="2"/>
    <x v="2"/>
    <n v="170"/>
    <x v="0"/>
    <n v="170"/>
    <n v="43"/>
    <x v="15"/>
    <x v="0"/>
    <x v="0"/>
    <n v="71.399999999999991"/>
    <n v="98.600000000000009"/>
    <n v="0"/>
    <n v="0"/>
    <n v="0"/>
    <x v="1693"/>
  </r>
  <r>
    <x v="17"/>
    <x v="480"/>
    <x v="1786"/>
    <x v="2"/>
    <x v="0"/>
    <x v="2"/>
    <x v="4"/>
    <x v="9"/>
    <n v="3171"/>
    <x v="0"/>
    <n v="3171"/>
    <n v="1"/>
    <x v="34"/>
    <x v="1"/>
    <x v="4"/>
    <n v="1331.82"/>
    <n v="1839.18"/>
    <n v="150"/>
    <n v="317.10000000000002"/>
    <n v="3171"/>
    <x v="1694"/>
  </r>
  <r>
    <x v="25"/>
    <x v="480"/>
    <x v="1787"/>
    <x v="6"/>
    <x v="1"/>
    <x v="2"/>
    <x v="3"/>
    <x v="6"/>
    <n v="1386"/>
    <x v="419"/>
    <n v="830.21399999999994"/>
    <n v="4"/>
    <x v="24"/>
    <x v="1"/>
    <x v="3"/>
    <n v="348.68987999999996"/>
    <n v="481.52411999999998"/>
    <n v="150"/>
    <n v="83.0214"/>
    <n v="830.21399999999994"/>
    <x v="1695"/>
  </r>
  <r>
    <x v="32"/>
    <x v="480"/>
    <x v="1788"/>
    <x v="4"/>
    <x v="4"/>
    <x v="2"/>
    <x v="2"/>
    <x v="11"/>
    <n v="2771"/>
    <x v="0"/>
    <n v="2771"/>
    <n v="50"/>
    <x v="6"/>
    <x v="0"/>
    <x v="0"/>
    <n v="1163.82"/>
    <n v="1607.18"/>
    <n v="0"/>
    <n v="0"/>
    <n v="0"/>
    <x v="1696"/>
  </r>
  <r>
    <x v="41"/>
    <x v="480"/>
    <x v="1789"/>
    <x v="6"/>
    <x v="2"/>
    <x v="1"/>
    <x v="2"/>
    <x v="9"/>
    <n v="159"/>
    <x v="0"/>
    <n v="159"/>
    <n v="5"/>
    <x v="18"/>
    <x v="0"/>
    <x v="0"/>
    <n v="66.78"/>
    <n v="92.22"/>
    <n v="0"/>
    <n v="0"/>
    <n v="0"/>
    <x v="1697"/>
  </r>
  <r>
    <x v="13"/>
    <x v="481"/>
    <x v="1790"/>
    <x v="3"/>
    <x v="2"/>
    <x v="1"/>
    <x v="2"/>
    <x v="2"/>
    <n v="262"/>
    <x v="0"/>
    <n v="262"/>
    <n v="15"/>
    <x v="5"/>
    <x v="1"/>
    <x v="4"/>
    <n v="110.03999999999999"/>
    <n v="151.96"/>
    <n v="150"/>
    <n v="26.200000000000003"/>
    <n v="262"/>
    <x v="1698"/>
  </r>
  <r>
    <x v="32"/>
    <x v="481"/>
    <x v="1791"/>
    <x v="4"/>
    <x v="4"/>
    <x v="3"/>
    <x v="5"/>
    <x v="7"/>
    <n v="2326"/>
    <x v="87"/>
    <n v="2293.4360000000001"/>
    <n v="18"/>
    <x v="22"/>
    <x v="0"/>
    <x v="0"/>
    <n v="963.24311999999998"/>
    <n v="1330.1928800000001"/>
    <n v="0"/>
    <n v="0"/>
    <n v="0"/>
    <x v="1699"/>
  </r>
  <r>
    <x v="9"/>
    <x v="481"/>
    <x v="1792"/>
    <x v="4"/>
    <x v="0"/>
    <x v="3"/>
    <x v="5"/>
    <x v="4"/>
    <n v="3946"/>
    <x v="0"/>
    <n v="3946"/>
    <n v="50"/>
    <x v="5"/>
    <x v="0"/>
    <x v="0"/>
    <n v="1657.32"/>
    <n v="2288.6800000000003"/>
    <n v="0"/>
    <n v="0"/>
    <n v="0"/>
    <x v="1700"/>
  </r>
  <r>
    <x v="17"/>
    <x v="482"/>
    <x v="1793"/>
    <x v="2"/>
    <x v="0"/>
    <x v="1"/>
    <x v="5"/>
    <x v="4"/>
    <n v="4212"/>
    <x v="0"/>
    <n v="4212"/>
    <n v="34"/>
    <x v="23"/>
    <x v="0"/>
    <x v="0"/>
    <n v="1769.04"/>
    <n v="2442.96"/>
    <n v="0"/>
    <n v="0"/>
    <n v="0"/>
    <x v="1701"/>
  </r>
  <r>
    <x v="24"/>
    <x v="482"/>
    <x v="1794"/>
    <x v="5"/>
    <x v="5"/>
    <x v="0"/>
    <x v="4"/>
    <x v="7"/>
    <n v="2314"/>
    <x v="0"/>
    <n v="2314"/>
    <n v="24"/>
    <x v="20"/>
    <x v="0"/>
    <x v="0"/>
    <n v="971.88"/>
    <n v="1342.12"/>
    <n v="0"/>
    <n v="0"/>
    <n v="0"/>
    <x v="1702"/>
  </r>
  <r>
    <x v="34"/>
    <x v="482"/>
    <x v="1795"/>
    <x v="6"/>
    <x v="0"/>
    <x v="1"/>
    <x v="0"/>
    <x v="4"/>
    <n v="4435"/>
    <x v="0"/>
    <n v="4435"/>
    <n v="23"/>
    <x v="40"/>
    <x v="1"/>
    <x v="3"/>
    <n v="1862.6999999999998"/>
    <n v="2572.3000000000002"/>
    <n v="150"/>
    <n v="443.5"/>
    <n v="4435"/>
    <x v="1271"/>
  </r>
  <r>
    <x v="7"/>
    <x v="482"/>
    <x v="1796"/>
    <x v="3"/>
    <x v="5"/>
    <x v="3"/>
    <x v="4"/>
    <x v="1"/>
    <n v="2684"/>
    <x v="420"/>
    <n v="1908.3240000000003"/>
    <n v="44"/>
    <x v="14"/>
    <x v="0"/>
    <x v="0"/>
    <n v="801.49608000000012"/>
    <n v="1106.8279200000002"/>
    <n v="0"/>
    <n v="0"/>
    <n v="0"/>
    <x v="1703"/>
  </r>
  <r>
    <x v="29"/>
    <x v="483"/>
    <x v="1797"/>
    <x v="5"/>
    <x v="2"/>
    <x v="1"/>
    <x v="2"/>
    <x v="6"/>
    <n v="474"/>
    <x v="230"/>
    <n v="344.59800000000001"/>
    <n v="39"/>
    <x v="18"/>
    <x v="0"/>
    <x v="0"/>
    <n v="144.73115999999999"/>
    <n v="199.86684000000002"/>
    <n v="0"/>
    <n v="0"/>
    <n v="0"/>
    <x v="1704"/>
  </r>
  <r>
    <x v="41"/>
    <x v="483"/>
    <x v="1798"/>
    <x v="6"/>
    <x v="2"/>
    <x v="1"/>
    <x v="2"/>
    <x v="2"/>
    <n v="464"/>
    <x v="0"/>
    <n v="464"/>
    <n v="50"/>
    <x v="40"/>
    <x v="0"/>
    <x v="0"/>
    <n v="194.88"/>
    <n v="269.12"/>
    <n v="0"/>
    <n v="0"/>
    <n v="0"/>
    <x v="1705"/>
  </r>
  <r>
    <x v="30"/>
    <x v="483"/>
    <x v="1799"/>
    <x v="7"/>
    <x v="4"/>
    <x v="3"/>
    <x v="4"/>
    <x v="3"/>
    <n v="2709"/>
    <x v="0"/>
    <n v="2709"/>
    <n v="13"/>
    <x v="28"/>
    <x v="1"/>
    <x v="4"/>
    <n v="1137.78"/>
    <n v="1571.22"/>
    <n v="150"/>
    <n v="270.90000000000003"/>
    <n v="2709"/>
    <x v="1706"/>
  </r>
  <r>
    <x v="6"/>
    <x v="483"/>
    <x v="1800"/>
    <x v="0"/>
    <x v="4"/>
    <x v="2"/>
    <x v="1"/>
    <x v="11"/>
    <n v="2680"/>
    <x v="0"/>
    <n v="2680"/>
    <n v="35"/>
    <x v="32"/>
    <x v="1"/>
    <x v="3"/>
    <n v="1125.5999999999999"/>
    <n v="1554.4"/>
    <n v="150"/>
    <n v="268"/>
    <n v="2680"/>
    <x v="1707"/>
  </r>
  <r>
    <x v="9"/>
    <x v="484"/>
    <x v="1801"/>
    <x v="4"/>
    <x v="0"/>
    <x v="1"/>
    <x v="1"/>
    <x v="4"/>
    <n v="3637"/>
    <x v="0"/>
    <n v="3637"/>
    <n v="18"/>
    <x v="31"/>
    <x v="0"/>
    <x v="0"/>
    <n v="1527.54"/>
    <n v="2109.46"/>
    <n v="0"/>
    <n v="0"/>
    <n v="0"/>
    <x v="821"/>
  </r>
  <r>
    <x v="44"/>
    <x v="484"/>
    <x v="1802"/>
    <x v="6"/>
    <x v="5"/>
    <x v="1"/>
    <x v="4"/>
    <x v="8"/>
    <n v="2483"/>
    <x v="180"/>
    <n v="1673.5419999999999"/>
    <n v="9"/>
    <x v="3"/>
    <x v="0"/>
    <x v="0"/>
    <n v="702.88763999999992"/>
    <n v="970.65436"/>
    <n v="0"/>
    <n v="0"/>
    <n v="0"/>
    <x v="1708"/>
  </r>
  <r>
    <x v="17"/>
    <x v="484"/>
    <x v="1803"/>
    <x v="2"/>
    <x v="0"/>
    <x v="0"/>
    <x v="5"/>
    <x v="9"/>
    <n v="3633"/>
    <x v="159"/>
    <n v="1660.2810000000002"/>
    <n v="38"/>
    <x v="3"/>
    <x v="0"/>
    <x v="0"/>
    <n v="697.31802000000005"/>
    <n v="962.96298000000013"/>
    <n v="0"/>
    <n v="0"/>
    <n v="0"/>
    <x v="1709"/>
  </r>
  <r>
    <x v="27"/>
    <x v="484"/>
    <x v="1804"/>
    <x v="7"/>
    <x v="2"/>
    <x v="1"/>
    <x v="2"/>
    <x v="9"/>
    <n v="384"/>
    <x v="0"/>
    <n v="384"/>
    <n v="14"/>
    <x v="3"/>
    <x v="0"/>
    <x v="0"/>
    <n v="161.28"/>
    <n v="222.72"/>
    <n v="0"/>
    <n v="0"/>
    <n v="0"/>
    <x v="1710"/>
  </r>
  <r>
    <x v="26"/>
    <x v="484"/>
    <x v="1805"/>
    <x v="0"/>
    <x v="3"/>
    <x v="2"/>
    <x v="1"/>
    <x v="0"/>
    <n v="3781"/>
    <x v="0"/>
    <n v="3781"/>
    <n v="10"/>
    <x v="1"/>
    <x v="0"/>
    <x v="0"/>
    <n v="1588.02"/>
    <n v="2192.98"/>
    <n v="0"/>
    <n v="0"/>
    <n v="0"/>
    <x v="1711"/>
  </r>
  <r>
    <x v="5"/>
    <x v="485"/>
    <x v="1806"/>
    <x v="0"/>
    <x v="2"/>
    <x v="3"/>
    <x v="2"/>
    <x v="2"/>
    <n v="259"/>
    <x v="0"/>
    <n v="259"/>
    <n v="23"/>
    <x v="26"/>
    <x v="0"/>
    <x v="0"/>
    <n v="108.78"/>
    <n v="150.22"/>
    <n v="0"/>
    <n v="0"/>
    <n v="0"/>
    <x v="1712"/>
  </r>
  <r>
    <x v="29"/>
    <x v="485"/>
    <x v="1807"/>
    <x v="5"/>
    <x v="2"/>
    <x v="1"/>
    <x v="2"/>
    <x v="9"/>
    <n v="295"/>
    <x v="0"/>
    <n v="295"/>
    <n v="28"/>
    <x v="39"/>
    <x v="0"/>
    <x v="0"/>
    <n v="123.89999999999999"/>
    <n v="171.10000000000002"/>
    <n v="0"/>
    <n v="0"/>
    <n v="0"/>
    <x v="1713"/>
  </r>
  <r>
    <x v="35"/>
    <x v="485"/>
    <x v="1808"/>
    <x v="4"/>
    <x v="1"/>
    <x v="2"/>
    <x v="1"/>
    <x v="7"/>
    <n v="1586"/>
    <x v="0"/>
    <n v="1586"/>
    <n v="10"/>
    <x v="6"/>
    <x v="1"/>
    <x v="3"/>
    <n v="666.12"/>
    <n v="919.88"/>
    <n v="150"/>
    <n v="158.60000000000002"/>
    <n v="1586"/>
    <x v="1714"/>
  </r>
  <r>
    <x v="47"/>
    <x v="486"/>
    <x v="1809"/>
    <x v="4"/>
    <x v="2"/>
    <x v="2"/>
    <x v="2"/>
    <x v="6"/>
    <n v="296"/>
    <x v="0"/>
    <n v="296"/>
    <n v="27"/>
    <x v="3"/>
    <x v="0"/>
    <x v="0"/>
    <n v="124.32"/>
    <n v="171.68"/>
    <n v="0"/>
    <n v="0"/>
    <n v="0"/>
    <x v="615"/>
  </r>
  <r>
    <x v="47"/>
    <x v="486"/>
    <x v="1810"/>
    <x v="4"/>
    <x v="2"/>
    <x v="0"/>
    <x v="2"/>
    <x v="7"/>
    <n v="362"/>
    <x v="83"/>
    <n v="330.14400000000001"/>
    <n v="1"/>
    <x v="7"/>
    <x v="1"/>
    <x v="4"/>
    <n v="138.66048000000001"/>
    <n v="191.48352"/>
    <n v="150"/>
    <n v="33.014400000000002"/>
    <n v="330.14400000000001"/>
    <x v="1715"/>
  </r>
  <r>
    <x v="46"/>
    <x v="486"/>
    <x v="1811"/>
    <x v="2"/>
    <x v="3"/>
    <x v="3"/>
    <x v="3"/>
    <x v="6"/>
    <n v="3091"/>
    <x v="0"/>
    <n v="3091"/>
    <n v="1"/>
    <x v="32"/>
    <x v="0"/>
    <x v="0"/>
    <n v="1298.22"/>
    <n v="1792.78"/>
    <n v="0"/>
    <n v="0"/>
    <n v="0"/>
    <x v="1716"/>
  </r>
  <r>
    <x v="0"/>
    <x v="486"/>
    <x v="1812"/>
    <x v="0"/>
    <x v="0"/>
    <x v="0"/>
    <x v="0"/>
    <x v="5"/>
    <n v="3118"/>
    <x v="255"/>
    <n v="3080.5839999999998"/>
    <n v="24"/>
    <x v="26"/>
    <x v="0"/>
    <x v="0"/>
    <n v="1293.8452799999998"/>
    <n v="1786.7387200000001"/>
    <n v="0"/>
    <n v="0"/>
    <n v="0"/>
    <x v="1717"/>
  </r>
  <r>
    <x v="14"/>
    <x v="487"/>
    <x v="1813"/>
    <x v="6"/>
    <x v="3"/>
    <x v="0"/>
    <x v="4"/>
    <x v="2"/>
    <n v="4397"/>
    <x v="0"/>
    <n v="4397"/>
    <n v="8"/>
    <x v="12"/>
    <x v="1"/>
    <x v="6"/>
    <n v="1846.74"/>
    <n v="2550.2600000000002"/>
    <n v="150"/>
    <n v="439.70000000000005"/>
    <n v="4397"/>
    <x v="1718"/>
  </r>
  <r>
    <x v="6"/>
    <x v="487"/>
    <x v="1814"/>
    <x v="0"/>
    <x v="4"/>
    <x v="3"/>
    <x v="1"/>
    <x v="9"/>
    <n v="2666"/>
    <x v="0"/>
    <n v="2666"/>
    <n v="16"/>
    <x v="20"/>
    <x v="0"/>
    <x v="0"/>
    <n v="1119.72"/>
    <n v="1546.28"/>
    <n v="0"/>
    <n v="0"/>
    <n v="0"/>
    <x v="1719"/>
  </r>
  <r>
    <x v="47"/>
    <x v="487"/>
    <x v="1815"/>
    <x v="4"/>
    <x v="2"/>
    <x v="1"/>
    <x v="2"/>
    <x v="0"/>
    <n v="331"/>
    <x v="0"/>
    <n v="331"/>
    <n v="49"/>
    <x v="3"/>
    <x v="0"/>
    <x v="0"/>
    <n v="139.01999999999998"/>
    <n v="191.98000000000002"/>
    <n v="0"/>
    <n v="0"/>
    <n v="0"/>
    <x v="1720"/>
  </r>
  <r>
    <x v="11"/>
    <x v="487"/>
    <x v="1816"/>
    <x v="5"/>
    <x v="4"/>
    <x v="3"/>
    <x v="1"/>
    <x v="9"/>
    <n v="2604"/>
    <x v="307"/>
    <n v="1096.2840000000001"/>
    <n v="8"/>
    <x v="7"/>
    <x v="1"/>
    <x v="7"/>
    <n v="460.43928000000005"/>
    <n v="635.84472000000005"/>
    <n v="150"/>
    <n v="109.62840000000001"/>
    <n v="1096.2840000000001"/>
    <x v="1721"/>
  </r>
  <r>
    <x v="37"/>
    <x v="488"/>
    <x v="1817"/>
    <x v="4"/>
    <x v="3"/>
    <x v="0"/>
    <x v="4"/>
    <x v="11"/>
    <n v="3979"/>
    <x v="153"/>
    <n v="1790.5499999999997"/>
    <n v="2"/>
    <x v="18"/>
    <x v="1"/>
    <x v="5"/>
    <n v="752.03099999999984"/>
    <n v="1038.5189999999998"/>
    <n v="150"/>
    <n v="179.05499999999998"/>
    <n v="1790.5499999999997"/>
    <x v="1722"/>
  </r>
  <r>
    <x v="7"/>
    <x v="488"/>
    <x v="1818"/>
    <x v="3"/>
    <x v="5"/>
    <x v="3"/>
    <x v="0"/>
    <x v="10"/>
    <n v="2368"/>
    <x v="0"/>
    <n v="2368"/>
    <n v="42"/>
    <x v="5"/>
    <x v="0"/>
    <x v="0"/>
    <n v="994.56"/>
    <n v="1373.44"/>
    <n v="0"/>
    <n v="0"/>
    <n v="0"/>
    <x v="1723"/>
  </r>
  <r>
    <x v="37"/>
    <x v="488"/>
    <x v="1819"/>
    <x v="4"/>
    <x v="3"/>
    <x v="3"/>
    <x v="3"/>
    <x v="9"/>
    <n v="3677"/>
    <x v="336"/>
    <n v="3125.45"/>
    <n v="17"/>
    <x v="3"/>
    <x v="0"/>
    <x v="0"/>
    <n v="1312.6889999999999"/>
    <n v="1812.761"/>
    <n v="0"/>
    <n v="0"/>
    <n v="0"/>
    <x v="1724"/>
  </r>
  <r>
    <x v="22"/>
    <x v="488"/>
    <x v="1820"/>
    <x v="2"/>
    <x v="4"/>
    <x v="3"/>
    <x v="5"/>
    <x v="4"/>
    <n v="2319"/>
    <x v="0"/>
    <n v="2319"/>
    <n v="3"/>
    <x v="32"/>
    <x v="0"/>
    <x v="0"/>
    <n v="973.98"/>
    <n v="1345.02"/>
    <n v="0"/>
    <n v="0"/>
    <n v="0"/>
    <x v="1725"/>
  </r>
  <r>
    <x v="33"/>
    <x v="489"/>
    <x v="1821"/>
    <x v="7"/>
    <x v="0"/>
    <x v="1"/>
    <x v="3"/>
    <x v="6"/>
    <n v="3403"/>
    <x v="0"/>
    <n v="3403"/>
    <n v="4"/>
    <x v="18"/>
    <x v="1"/>
    <x v="4"/>
    <n v="1429.26"/>
    <n v="1973.74"/>
    <n v="150"/>
    <n v="340.3"/>
    <n v="3403"/>
    <x v="1726"/>
  </r>
  <r>
    <x v="35"/>
    <x v="489"/>
    <x v="1822"/>
    <x v="4"/>
    <x v="1"/>
    <x v="1"/>
    <x v="4"/>
    <x v="2"/>
    <n v="977"/>
    <x v="0"/>
    <n v="977"/>
    <n v="31"/>
    <x v="12"/>
    <x v="0"/>
    <x v="0"/>
    <n v="410.34"/>
    <n v="566.66000000000008"/>
    <n v="0"/>
    <n v="0"/>
    <n v="0"/>
    <x v="1727"/>
  </r>
  <r>
    <x v="39"/>
    <x v="489"/>
    <x v="1823"/>
    <x v="7"/>
    <x v="5"/>
    <x v="3"/>
    <x v="0"/>
    <x v="7"/>
    <n v="2503"/>
    <x v="179"/>
    <n v="1266.518"/>
    <n v="45"/>
    <x v="29"/>
    <x v="0"/>
    <x v="0"/>
    <n v="531.93755999999996"/>
    <n v="734.58044000000007"/>
    <n v="0"/>
    <n v="0"/>
    <n v="0"/>
    <x v="1728"/>
  </r>
  <r>
    <x v="18"/>
    <x v="489"/>
    <x v="1824"/>
    <x v="3"/>
    <x v="4"/>
    <x v="3"/>
    <x v="3"/>
    <x v="10"/>
    <n v="2160"/>
    <x v="421"/>
    <n v="2015.2800000000002"/>
    <n v="35"/>
    <x v="2"/>
    <x v="1"/>
    <x v="6"/>
    <n v="846.41760000000011"/>
    <n v="1168.8624"/>
    <n v="150"/>
    <n v="201.52800000000002"/>
    <n v="2015.2800000000002"/>
    <x v="1729"/>
  </r>
  <r>
    <x v="25"/>
    <x v="489"/>
    <x v="1825"/>
    <x v="6"/>
    <x v="1"/>
    <x v="1"/>
    <x v="5"/>
    <x v="4"/>
    <n v="949"/>
    <x v="422"/>
    <n v="490.63300000000004"/>
    <n v="9"/>
    <x v="15"/>
    <x v="0"/>
    <x v="0"/>
    <n v="206.06586000000001"/>
    <n v="284.56713999999999"/>
    <n v="0"/>
    <n v="0"/>
    <n v="0"/>
    <x v="1730"/>
  </r>
  <r>
    <x v="34"/>
    <x v="490"/>
    <x v="1826"/>
    <x v="6"/>
    <x v="0"/>
    <x v="0"/>
    <x v="2"/>
    <x v="6"/>
    <n v="3368"/>
    <x v="257"/>
    <n v="2802.1759999999999"/>
    <n v="41"/>
    <x v="13"/>
    <x v="0"/>
    <x v="0"/>
    <n v="1176.91392"/>
    <n v="1625.26208"/>
    <n v="0"/>
    <n v="0"/>
    <n v="0"/>
    <x v="1731"/>
  </r>
  <r>
    <x v="11"/>
    <x v="490"/>
    <x v="1827"/>
    <x v="5"/>
    <x v="4"/>
    <x v="2"/>
    <x v="4"/>
    <x v="4"/>
    <n v="2417"/>
    <x v="274"/>
    <n v="1936.0170000000001"/>
    <n v="46"/>
    <x v="34"/>
    <x v="0"/>
    <x v="0"/>
    <n v="813.12713999999994"/>
    <n v="1122.8898600000002"/>
    <n v="0"/>
    <n v="0"/>
    <n v="0"/>
    <x v="1732"/>
  </r>
  <r>
    <x v="45"/>
    <x v="490"/>
    <x v="1828"/>
    <x v="7"/>
    <x v="3"/>
    <x v="1"/>
    <x v="6"/>
    <x v="1"/>
    <n v="4049"/>
    <x v="406"/>
    <n v="2951.721"/>
    <n v="40"/>
    <x v="3"/>
    <x v="1"/>
    <x v="7"/>
    <n v="1239.72282"/>
    <n v="1711.99818"/>
    <n v="150"/>
    <n v="295.1721"/>
    <n v="2951.721"/>
    <x v="1733"/>
  </r>
  <r>
    <x v="33"/>
    <x v="491"/>
    <x v="1829"/>
    <x v="7"/>
    <x v="0"/>
    <x v="3"/>
    <x v="5"/>
    <x v="10"/>
    <n v="3092"/>
    <x v="170"/>
    <n v="2909.5719999999997"/>
    <n v="13"/>
    <x v="13"/>
    <x v="0"/>
    <x v="0"/>
    <n v="1222.0202399999998"/>
    <n v="1687.5517599999998"/>
    <n v="0"/>
    <n v="0"/>
    <n v="0"/>
    <x v="1734"/>
  </r>
  <r>
    <x v="24"/>
    <x v="491"/>
    <x v="1830"/>
    <x v="5"/>
    <x v="5"/>
    <x v="0"/>
    <x v="4"/>
    <x v="5"/>
    <n v="2662"/>
    <x v="0"/>
    <n v="2662"/>
    <n v="19"/>
    <x v="0"/>
    <x v="0"/>
    <x v="0"/>
    <n v="1118.04"/>
    <n v="1543.96"/>
    <n v="0"/>
    <n v="0"/>
    <n v="0"/>
    <x v="1735"/>
  </r>
  <r>
    <x v="46"/>
    <x v="491"/>
    <x v="1831"/>
    <x v="2"/>
    <x v="3"/>
    <x v="1"/>
    <x v="6"/>
    <x v="10"/>
    <n v="4335"/>
    <x v="0"/>
    <n v="4335"/>
    <n v="0"/>
    <x v="3"/>
    <x v="0"/>
    <x v="0"/>
    <n v="1820.7"/>
    <n v="2514.3000000000002"/>
    <n v="0"/>
    <n v="0"/>
    <n v="0"/>
    <x v="1736"/>
  </r>
  <r>
    <x v="32"/>
    <x v="491"/>
    <x v="1832"/>
    <x v="4"/>
    <x v="4"/>
    <x v="3"/>
    <x v="4"/>
    <x v="6"/>
    <n v="2826"/>
    <x v="0"/>
    <n v="2826"/>
    <n v="43"/>
    <x v="5"/>
    <x v="1"/>
    <x v="3"/>
    <n v="1186.9199999999998"/>
    <n v="1639.0800000000002"/>
    <n v="150"/>
    <n v="282.60000000000002"/>
    <n v="2826"/>
    <x v="1737"/>
  </r>
  <r>
    <x v="15"/>
    <x v="492"/>
    <x v="1833"/>
    <x v="5"/>
    <x v="1"/>
    <x v="3"/>
    <x v="2"/>
    <x v="6"/>
    <n v="1286"/>
    <x v="0"/>
    <n v="1286"/>
    <n v="1"/>
    <x v="39"/>
    <x v="0"/>
    <x v="0"/>
    <n v="540.12"/>
    <n v="745.88"/>
    <n v="0"/>
    <n v="0"/>
    <n v="0"/>
    <x v="1738"/>
  </r>
  <r>
    <x v="46"/>
    <x v="492"/>
    <x v="1834"/>
    <x v="2"/>
    <x v="3"/>
    <x v="3"/>
    <x v="3"/>
    <x v="5"/>
    <n v="3639"/>
    <x v="0"/>
    <n v="3639"/>
    <n v="47"/>
    <x v="28"/>
    <x v="0"/>
    <x v="0"/>
    <n v="1528.3799999999999"/>
    <n v="2110.62"/>
    <n v="0"/>
    <n v="0"/>
    <n v="0"/>
    <x v="1739"/>
  </r>
  <r>
    <x v="0"/>
    <x v="492"/>
    <x v="1835"/>
    <x v="0"/>
    <x v="0"/>
    <x v="2"/>
    <x v="6"/>
    <x v="0"/>
    <n v="3920"/>
    <x v="118"/>
    <n v="1952.16"/>
    <n v="7"/>
    <x v="0"/>
    <x v="1"/>
    <x v="4"/>
    <n v="819.90719999999999"/>
    <n v="1132.2528000000002"/>
    <n v="150"/>
    <n v="195.21600000000001"/>
    <n v="1952.16"/>
    <x v="1740"/>
  </r>
  <r>
    <x v="10"/>
    <x v="492"/>
    <x v="1836"/>
    <x v="3"/>
    <x v="1"/>
    <x v="2"/>
    <x v="0"/>
    <x v="9"/>
    <n v="1437"/>
    <x v="0"/>
    <n v="1437"/>
    <n v="41"/>
    <x v="20"/>
    <x v="1"/>
    <x v="3"/>
    <n v="603.54"/>
    <n v="833.46"/>
    <n v="150"/>
    <n v="143.70000000000002"/>
    <n v="1437"/>
    <x v="1741"/>
  </r>
  <r>
    <x v="45"/>
    <x v="493"/>
    <x v="1837"/>
    <x v="7"/>
    <x v="3"/>
    <x v="0"/>
    <x v="2"/>
    <x v="7"/>
    <n v="3294"/>
    <x v="423"/>
    <n v="1874.2859999999998"/>
    <n v="16"/>
    <x v="36"/>
    <x v="0"/>
    <x v="0"/>
    <n v="787.20011999999986"/>
    <n v="1087.0858800000001"/>
    <n v="0"/>
    <n v="0"/>
    <n v="0"/>
    <x v="1742"/>
  </r>
  <r>
    <x v="41"/>
    <x v="493"/>
    <x v="1838"/>
    <x v="6"/>
    <x v="2"/>
    <x v="3"/>
    <x v="2"/>
    <x v="2"/>
    <n v="167"/>
    <x v="249"/>
    <n v="103.54"/>
    <n v="49"/>
    <x v="24"/>
    <x v="1"/>
    <x v="3"/>
    <n v="43.486800000000002"/>
    <n v="60.053200000000004"/>
    <n v="150"/>
    <n v="10.354000000000001"/>
    <n v="103.54"/>
    <x v="1743"/>
  </r>
  <r>
    <x v="26"/>
    <x v="493"/>
    <x v="1839"/>
    <x v="0"/>
    <x v="3"/>
    <x v="3"/>
    <x v="0"/>
    <x v="0"/>
    <n v="3855"/>
    <x v="0"/>
    <n v="3855"/>
    <n v="18"/>
    <x v="0"/>
    <x v="0"/>
    <x v="0"/>
    <n v="1619.1"/>
    <n v="2235.9"/>
    <n v="0"/>
    <n v="0"/>
    <n v="0"/>
    <x v="1744"/>
  </r>
  <r>
    <x v="21"/>
    <x v="494"/>
    <x v="1840"/>
    <x v="1"/>
    <x v="4"/>
    <x v="3"/>
    <x v="1"/>
    <x v="10"/>
    <n v="2901"/>
    <x v="0"/>
    <n v="2901"/>
    <n v="45"/>
    <x v="25"/>
    <x v="1"/>
    <x v="3"/>
    <n v="1218.4199999999998"/>
    <n v="1682.5800000000002"/>
    <n v="150"/>
    <n v="290.10000000000002"/>
    <n v="2901"/>
    <x v="1745"/>
  </r>
  <r>
    <x v="38"/>
    <x v="494"/>
    <x v="1841"/>
    <x v="0"/>
    <x v="1"/>
    <x v="1"/>
    <x v="5"/>
    <x v="8"/>
    <n v="1242"/>
    <x v="0"/>
    <n v="1242"/>
    <n v="15"/>
    <x v="15"/>
    <x v="0"/>
    <x v="0"/>
    <n v="521.64"/>
    <n v="720.36"/>
    <n v="0"/>
    <n v="0"/>
    <n v="0"/>
    <x v="1746"/>
  </r>
  <r>
    <x v="14"/>
    <x v="494"/>
    <x v="1842"/>
    <x v="6"/>
    <x v="3"/>
    <x v="3"/>
    <x v="0"/>
    <x v="6"/>
    <n v="4136"/>
    <x v="0"/>
    <n v="4136"/>
    <n v="40"/>
    <x v="3"/>
    <x v="0"/>
    <x v="0"/>
    <n v="1737.12"/>
    <n v="2398.88"/>
    <n v="0"/>
    <n v="0"/>
    <n v="0"/>
    <x v="1747"/>
  </r>
  <r>
    <x v="7"/>
    <x v="494"/>
    <x v="1843"/>
    <x v="3"/>
    <x v="5"/>
    <x v="2"/>
    <x v="3"/>
    <x v="1"/>
    <n v="2176"/>
    <x v="0"/>
    <n v="2176"/>
    <n v="5"/>
    <x v="5"/>
    <x v="0"/>
    <x v="0"/>
    <n v="913.92"/>
    <n v="1262.08"/>
    <n v="0"/>
    <n v="0"/>
    <n v="0"/>
    <x v="1748"/>
  </r>
  <r>
    <x v="41"/>
    <x v="495"/>
    <x v="1844"/>
    <x v="6"/>
    <x v="2"/>
    <x v="3"/>
    <x v="2"/>
    <x v="5"/>
    <n v="363"/>
    <x v="0"/>
    <n v="363"/>
    <n v="7"/>
    <x v="21"/>
    <x v="1"/>
    <x v="5"/>
    <n v="152.46"/>
    <n v="210.54"/>
    <n v="150"/>
    <n v="36.300000000000004"/>
    <n v="363"/>
    <x v="1749"/>
  </r>
  <r>
    <x v="44"/>
    <x v="495"/>
    <x v="1845"/>
    <x v="6"/>
    <x v="5"/>
    <x v="2"/>
    <x v="0"/>
    <x v="10"/>
    <n v="2520"/>
    <x v="0"/>
    <n v="2520"/>
    <n v="29"/>
    <x v="10"/>
    <x v="0"/>
    <x v="0"/>
    <n v="1058.3999999999999"/>
    <n v="1461.6000000000001"/>
    <n v="0"/>
    <n v="0"/>
    <n v="0"/>
    <x v="1750"/>
  </r>
  <r>
    <x v="32"/>
    <x v="495"/>
    <x v="1846"/>
    <x v="4"/>
    <x v="4"/>
    <x v="0"/>
    <x v="3"/>
    <x v="7"/>
    <n v="2012"/>
    <x v="0"/>
    <n v="2012"/>
    <n v="10"/>
    <x v="3"/>
    <x v="0"/>
    <x v="0"/>
    <n v="845.04"/>
    <n v="1166.96"/>
    <n v="0"/>
    <n v="0"/>
    <n v="0"/>
    <x v="184"/>
  </r>
  <r>
    <x v="39"/>
    <x v="495"/>
    <x v="1847"/>
    <x v="7"/>
    <x v="5"/>
    <x v="2"/>
    <x v="5"/>
    <x v="5"/>
    <n v="2298"/>
    <x v="93"/>
    <n v="1043.2919999999999"/>
    <n v="14"/>
    <x v="6"/>
    <x v="1"/>
    <x v="3"/>
    <n v="438.18263999999994"/>
    <n v="605.10935999999992"/>
    <n v="150"/>
    <n v="104.3292"/>
    <n v="1043.2919999999999"/>
    <x v="1751"/>
  </r>
  <r>
    <x v="22"/>
    <x v="496"/>
    <x v="1848"/>
    <x v="2"/>
    <x v="4"/>
    <x v="2"/>
    <x v="6"/>
    <x v="5"/>
    <n v="2384"/>
    <x v="278"/>
    <n v="2076.4639999999999"/>
    <n v="9"/>
    <x v="3"/>
    <x v="1"/>
    <x v="1"/>
    <n v="872.11487999999997"/>
    <n v="1204.3491199999999"/>
    <n v="150"/>
    <n v="207.6464"/>
    <n v="2076.4639999999999"/>
    <x v="1752"/>
  </r>
  <r>
    <x v="32"/>
    <x v="496"/>
    <x v="1849"/>
    <x v="4"/>
    <x v="4"/>
    <x v="3"/>
    <x v="4"/>
    <x v="1"/>
    <n v="2825"/>
    <x v="238"/>
    <n v="1610.2500000000002"/>
    <n v="30"/>
    <x v="10"/>
    <x v="1"/>
    <x v="3"/>
    <n v="676.30500000000006"/>
    <n v="933.94500000000016"/>
    <n v="150"/>
    <n v="161.02500000000003"/>
    <n v="1610.2500000000002"/>
    <x v="1753"/>
  </r>
  <r>
    <x v="29"/>
    <x v="496"/>
    <x v="1850"/>
    <x v="5"/>
    <x v="2"/>
    <x v="1"/>
    <x v="2"/>
    <x v="6"/>
    <n v="425"/>
    <x v="424"/>
    <n v="399.07500000000005"/>
    <n v="31"/>
    <x v="3"/>
    <x v="0"/>
    <x v="0"/>
    <n v="167.61150000000001"/>
    <n v="231.46350000000004"/>
    <n v="0"/>
    <n v="0"/>
    <n v="0"/>
    <x v="1754"/>
  </r>
  <r>
    <x v="23"/>
    <x v="497"/>
    <x v="1851"/>
    <x v="6"/>
    <x v="4"/>
    <x v="1"/>
    <x v="5"/>
    <x v="1"/>
    <n v="2522"/>
    <x v="0"/>
    <n v="2522"/>
    <n v="41"/>
    <x v="21"/>
    <x v="1"/>
    <x v="3"/>
    <n v="1059.24"/>
    <n v="1462.76"/>
    <n v="150"/>
    <n v="252.20000000000002"/>
    <n v="2522"/>
    <x v="1755"/>
  </r>
  <r>
    <x v="41"/>
    <x v="497"/>
    <x v="1852"/>
    <x v="6"/>
    <x v="2"/>
    <x v="2"/>
    <x v="2"/>
    <x v="6"/>
    <n v="291"/>
    <x v="40"/>
    <n v="272.37599999999998"/>
    <n v="45"/>
    <x v="3"/>
    <x v="1"/>
    <x v="3"/>
    <n v="114.39791999999998"/>
    <n v="157.97807999999998"/>
    <n v="150"/>
    <n v="27.2376"/>
    <n v="272.37599999999998"/>
    <x v="1756"/>
  </r>
  <r>
    <x v="15"/>
    <x v="497"/>
    <x v="1853"/>
    <x v="5"/>
    <x v="1"/>
    <x v="3"/>
    <x v="3"/>
    <x v="11"/>
    <n v="1293"/>
    <x v="31"/>
    <n v="1197.318"/>
    <n v="31"/>
    <x v="16"/>
    <x v="0"/>
    <x v="0"/>
    <n v="502.87356"/>
    <n v="694.44443999999999"/>
    <n v="0"/>
    <n v="0"/>
    <n v="0"/>
    <x v="1757"/>
  </r>
  <r>
    <x v="39"/>
    <x v="497"/>
    <x v="1854"/>
    <x v="7"/>
    <x v="5"/>
    <x v="1"/>
    <x v="2"/>
    <x v="5"/>
    <n v="2063"/>
    <x v="0"/>
    <n v="2063"/>
    <n v="1"/>
    <x v="12"/>
    <x v="1"/>
    <x v="4"/>
    <n v="866.45999999999992"/>
    <n v="1196.54"/>
    <n v="150"/>
    <n v="206.3"/>
    <n v="2063"/>
    <x v="1758"/>
  </r>
  <r>
    <x v="18"/>
    <x v="498"/>
    <x v="1855"/>
    <x v="3"/>
    <x v="4"/>
    <x v="0"/>
    <x v="1"/>
    <x v="10"/>
    <n v="2294"/>
    <x v="304"/>
    <n v="1002.4780000000002"/>
    <n v="20"/>
    <x v="33"/>
    <x v="0"/>
    <x v="0"/>
    <n v="421.04076000000003"/>
    <n v="581.4372400000002"/>
    <n v="0"/>
    <n v="0"/>
    <n v="0"/>
    <x v="1759"/>
  </r>
  <r>
    <x v="18"/>
    <x v="498"/>
    <x v="1856"/>
    <x v="3"/>
    <x v="4"/>
    <x v="3"/>
    <x v="4"/>
    <x v="9"/>
    <n v="2941"/>
    <x v="0"/>
    <n v="2941"/>
    <n v="50"/>
    <x v="4"/>
    <x v="0"/>
    <x v="0"/>
    <n v="1235.22"/>
    <n v="1705.78"/>
    <n v="0"/>
    <n v="0"/>
    <n v="0"/>
    <x v="1760"/>
  </r>
  <r>
    <x v="11"/>
    <x v="498"/>
    <x v="1857"/>
    <x v="5"/>
    <x v="4"/>
    <x v="0"/>
    <x v="2"/>
    <x v="4"/>
    <n v="2171"/>
    <x v="312"/>
    <n v="1851.8630000000001"/>
    <n v="15"/>
    <x v="32"/>
    <x v="1"/>
    <x v="3"/>
    <n v="777.78246000000001"/>
    <n v="1074.0805399999999"/>
    <n v="150"/>
    <n v="185.18630000000002"/>
    <n v="1851.8630000000001"/>
    <x v="1761"/>
  </r>
  <r>
    <x v="44"/>
    <x v="498"/>
    <x v="1858"/>
    <x v="6"/>
    <x v="5"/>
    <x v="3"/>
    <x v="4"/>
    <x v="11"/>
    <n v="2845"/>
    <x v="9"/>
    <n v="1877.6999999999998"/>
    <n v="24"/>
    <x v="7"/>
    <x v="1"/>
    <x v="4"/>
    <n v="788.6339999999999"/>
    <n v="1089.0659999999998"/>
    <n v="150"/>
    <n v="187.76999999999998"/>
    <n v="1877.6999999999998"/>
    <x v="1762"/>
  </r>
  <r>
    <x v="24"/>
    <x v="499"/>
    <x v="1859"/>
    <x v="5"/>
    <x v="5"/>
    <x v="3"/>
    <x v="3"/>
    <x v="4"/>
    <n v="2825"/>
    <x v="0"/>
    <n v="2825"/>
    <n v="15"/>
    <x v="11"/>
    <x v="0"/>
    <x v="0"/>
    <n v="1186.5"/>
    <n v="1638.5"/>
    <n v="0"/>
    <n v="0"/>
    <n v="0"/>
    <x v="1763"/>
  </r>
  <r>
    <x v="27"/>
    <x v="499"/>
    <x v="1860"/>
    <x v="7"/>
    <x v="2"/>
    <x v="0"/>
    <x v="2"/>
    <x v="9"/>
    <n v="223"/>
    <x v="0"/>
    <n v="223"/>
    <n v="38"/>
    <x v="5"/>
    <x v="0"/>
    <x v="0"/>
    <n v="93.66"/>
    <n v="129.34"/>
    <n v="0"/>
    <n v="0"/>
    <n v="0"/>
    <x v="1764"/>
  </r>
  <r>
    <x v="32"/>
    <x v="499"/>
    <x v="1861"/>
    <x v="4"/>
    <x v="4"/>
    <x v="2"/>
    <x v="3"/>
    <x v="10"/>
    <n v="2312"/>
    <x v="0"/>
    <n v="2312"/>
    <n v="0"/>
    <x v="35"/>
    <x v="0"/>
    <x v="0"/>
    <n v="971.04"/>
    <n v="1340.96"/>
    <n v="0"/>
    <n v="0"/>
    <n v="0"/>
    <x v="1446"/>
  </r>
  <r>
    <x v="21"/>
    <x v="499"/>
    <x v="1862"/>
    <x v="1"/>
    <x v="4"/>
    <x v="3"/>
    <x v="5"/>
    <x v="8"/>
    <n v="2329"/>
    <x v="39"/>
    <n v="1397.3999999999999"/>
    <n v="48"/>
    <x v="32"/>
    <x v="0"/>
    <x v="0"/>
    <n v="586.9079999999999"/>
    <n v="810.49199999999996"/>
    <n v="0"/>
    <n v="0"/>
    <n v="0"/>
    <x v="1765"/>
  </r>
  <r>
    <x v="22"/>
    <x v="500"/>
    <x v="1863"/>
    <x v="2"/>
    <x v="4"/>
    <x v="3"/>
    <x v="0"/>
    <x v="11"/>
    <n v="2355"/>
    <x v="0"/>
    <n v="2355"/>
    <n v="29"/>
    <x v="33"/>
    <x v="1"/>
    <x v="3"/>
    <n v="989.09999999999991"/>
    <n v="1365.9"/>
    <n v="150"/>
    <n v="235.5"/>
    <n v="2355"/>
    <x v="1766"/>
  </r>
  <r>
    <x v="39"/>
    <x v="500"/>
    <x v="1864"/>
    <x v="7"/>
    <x v="5"/>
    <x v="2"/>
    <x v="3"/>
    <x v="5"/>
    <n v="1813"/>
    <x v="425"/>
    <n v="1178.45"/>
    <n v="44"/>
    <x v="3"/>
    <x v="1"/>
    <x v="3"/>
    <n v="494.94900000000001"/>
    <n v="683.50099999999998"/>
    <n v="150"/>
    <n v="117.84500000000001"/>
    <n v="1178.45"/>
    <x v="1767"/>
  </r>
  <r>
    <x v="14"/>
    <x v="500"/>
    <x v="1865"/>
    <x v="6"/>
    <x v="3"/>
    <x v="2"/>
    <x v="1"/>
    <x v="9"/>
    <n v="3929"/>
    <x v="324"/>
    <n v="3080.3360000000002"/>
    <n v="14"/>
    <x v="36"/>
    <x v="0"/>
    <x v="0"/>
    <n v="1293.7411200000001"/>
    <n v="1786.5948800000001"/>
    <n v="0"/>
    <n v="0"/>
    <n v="0"/>
    <x v="1768"/>
  </r>
  <r>
    <x v="35"/>
    <x v="500"/>
    <x v="1866"/>
    <x v="4"/>
    <x v="1"/>
    <x v="0"/>
    <x v="1"/>
    <x v="2"/>
    <n v="1380"/>
    <x v="0"/>
    <n v="1380"/>
    <n v="0"/>
    <x v="17"/>
    <x v="1"/>
    <x v="4"/>
    <n v="579.6"/>
    <n v="800.4"/>
    <n v="150"/>
    <n v="138"/>
    <n v="1380"/>
    <x v="1035"/>
  </r>
  <r>
    <x v="4"/>
    <x v="501"/>
    <x v="1867"/>
    <x v="2"/>
    <x v="1"/>
    <x v="1"/>
    <x v="4"/>
    <x v="8"/>
    <n v="1395"/>
    <x v="0"/>
    <n v="1395"/>
    <n v="27"/>
    <x v="13"/>
    <x v="0"/>
    <x v="0"/>
    <n v="585.9"/>
    <n v="809.1"/>
    <n v="0"/>
    <n v="0"/>
    <n v="0"/>
    <x v="1769"/>
  </r>
  <r>
    <x v="20"/>
    <x v="501"/>
    <x v="1868"/>
    <x v="7"/>
    <x v="1"/>
    <x v="1"/>
    <x v="2"/>
    <x v="11"/>
    <n v="1020"/>
    <x v="426"/>
    <n v="525.30000000000007"/>
    <n v="36"/>
    <x v="5"/>
    <x v="1"/>
    <x v="4"/>
    <n v="220.62600000000003"/>
    <n v="304.67400000000004"/>
    <n v="150"/>
    <n v="52.530000000000008"/>
    <n v="525.30000000000007"/>
    <x v="1770"/>
  </r>
  <r>
    <x v="43"/>
    <x v="501"/>
    <x v="1869"/>
    <x v="4"/>
    <x v="5"/>
    <x v="2"/>
    <x v="1"/>
    <x v="8"/>
    <n v="2202"/>
    <x v="49"/>
    <n v="1457.7240000000002"/>
    <n v="33"/>
    <x v="3"/>
    <x v="0"/>
    <x v="0"/>
    <n v="612.24408000000005"/>
    <n v="845.47992000000011"/>
    <n v="0"/>
    <n v="0"/>
    <n v="0"/>
    <x v="1771"/>
  </r>
  <r>
    <x v="5"/>
    <x v="502"/>
    <x v="1870"/>
    <x v="0"/>
    <x v="2"/>
    <x v="1"/>
    <x v="2"/>
    <x v="0"/>
    <n v="219"/>
    <x v="404"/>
    <n v="201.91800000000001"/>
    <n v="4"/>
    <x v="33"/>
    <x v="1"/>
    <x v="6"/>
    <n v="84.80556"/>
    <n v="117.11244000000001"/>
    <n v="150"/>
    <n v="20.191800000000001"/>
    <n v="201.91800000000001"/>
    <x v="1772"/>
  </r>
  <r>
    <x v="14"/>
    <x v="502"/>
    <x v="1871"/>
    <x v="6"/>
    <x v="3"/>
    <x v="3"/>
    <x v="6"/>
    <x v="2"/>
    <n v="3275"/>
    <x v="0"/>
    <n v="3275"/>
    <n v="8"/>
    <x v="29"/>
    <x v="1"/>
    <x v="5"/>
    <n v="1375.5"/>
    <n v="1899.5"/>
    <n v="150"/>
    <n v="327.5"/>
    <n v="3275"/>
    <x v="1773"/>
  </r>
  <r>
    <x v="9"/>
    <x v="502"/>
    <x v="1872"/>
    <x v="4"/>
    <x v="0"/>
    <x v="1"/>
    <x v="3"/>
    <x v="3"/>
    <n v="3250"/>
    <x v="169"/>
    <n v="2011.75"/>
    <n v="14"/>
    <x v="28"/>
    <x v="1"/>
    <x v="3"/>
    <n v="844.93499999999995"/>
    <n v="1166.8150000000001"/>
    <n v="150"/>
    <n v="201.17500000000001"/>
    <n v="2011.75"/>
    <x v="1774"/>
  </r>
  <r>
    <x v="19"/>
    <x v="502"/>
    <x v="1873"/>
    <x v="2"/>
    <x v="5"/>
    <x v="1"/>
    <x v="0"/>
    <x v="6"/>
    <n v="2802"/>
    <x v="320"/>
    <n v="2659.098"/>
    <n v="8"/>
    <x v="6"/>
    <x v="1"/>
    <x v="4"/>
    <n v="1116.82116"/>
    <n v="1542.27684"/>
    <n v="150"/>
    <n v="265.90980000000002"/>
    <n v="2659.098"/>
    <x v="1775"/>
  </r>
  <r>
    <x v="46"/>
    <x v="503"/>
    <x v="1874"/>
    <x v="2"/>
    <x v="3"/>
    <x v="2"/>
    <x v="5"/>
    <x v="9"/>
    <n v="4130"/>
    <x v="0"/>
    <n v="4130"/>
    <n v="44"/>
    <x v="6"/>
    <x v="0"/>
    <x v="0"/>
    <n v="1734.6"/>
    <n v="2395.4"/>
    <n v="0"/>
    <n v="0"/>
    <n v="0"/>
    <x v="1776"/>
  </r>
  <r>
    <x v="11"/>
    <x v="503"/>
    <x v="1875"/>
    <x v="5"/>
    <x v="4"/>
    <x v="1"/>
    <x v="5"/>
    <x v="2"/>
    <n v="2046"/>
    <x v="427"/>
    <n v="1847.538"/>
    <n v="23"/>
    <x v="2"/>
    <x v="0"/>
    <x v="0"/>
    <n v="775.96596"/>
    <n v="1071.57204"/>
    <n v="0"/>
    <n v="0"/>
    <n v="0"/>
    <x v="1777"/>
  </r>
  <r>
    <x v="25"/>
    <x v="503"/>
    <x v="1876"/>
    <x v="6"/>
    <x v="1"/>
    <x v="0"/>
    <x v="1"/>
    <x v="1"/>
    <n v="984"/>
    <x v="0"/>
    <n v="984"/>
    <n v="23"/>
    <x v="33"/>
    <x v="0"/>
    <x v="0"/>
    <n v="413.28"/>
    <n v="570.72"/>
    <n v="0"/>
    <n v="0"/>
    <n v="0"/>
    <x v="1778"/>
  </r>
  <r>
    <x v="40"/>
    <x v="503"/>
    <x v="1877"/>
    <x v="5"/>
    <x v="0"/>
    <x v="3"/>
    <x v="4"/>
    <x v="0"/>
    <n v="3542"/>
    <x v="0"/>
    <n v="3542"/>
    <n v="20"/>
    <x v="2"/>
    <x v="0"/>
    <x v="0"/>
    <n v="1487.6399999999999"/>
    <n v="2054.36"/>
    <n v="0"/>
    <n v="0"/>
    <n v="0"/>
    <x v="1779"/>
  </r>
  <r>
    <x v="39"/>
    <x v="504"/>
    <x v="1878"/>
    <x v="7"/>
    <x v="5"/>
    <x v="0"/>
    <x v="4"/>
    <x v="6"/>
    <n v="2211"/>
    <x v="400"/>
    <n v="1319.9669999999999"/>
    <n v="41"/>
    <x v="36"/>
    <x v="0"/>
    <x v="0"/>
    <n v="554.38613999999995"/>
    <n v="765.58085999999992"/>
    <n v="0"/>
    <n v="0"/>
    <n v="0"/>
    <x v="1780"/>
  </r>
  <r>
    <x v="8"/>
    <x v="504"/>
    <x v="1879"/>
    <x v="1"/>
    <x v="0"/>
    <x v="0"/>
    <x v="3"/>
    <x v="11"/>
    <n v="3802"/>
    <x v="102"/>
    <n v="3414.1959999999999"/>
    <n v="36"/>
    <x v="30"/>
    <x v="1"/>
    <x v="4"/>
    <n v="1433.9623199999999"/>
    <n v="1980.23368"/>
    <n v="150"/>
    <n v="341.4196"/>
    <n v="3414.1959999999999"/>
    <x v="1781"/>
  </r>
  <r>
    <x v="47"/>
    <x v="504"/>
    <x v="1880"/>
    <x v="4"/>
    <x v="2"/>
    <x v="1"/>
    <x v="2"/>
    <x v="6"/>
    <n v="151"/>
    <x v="0"/>
    <n v="151"/>
    <n v="50"/>
    <x v="1"/>
    <x v="0"/>
    <x v="0"/>
    <n v="63.419999999999995"/>
    <n v="87.580000000000013"/>
    <n v="0"/>
    <n v="0"/>
    <n v="0"/>
    <x v="1782"/>
  </r>
  <r>
    <x v="9"/>
    <x v="504"/>
    <x v="1881"/>
    <x v="4"/>
    <x v="0"/>
    <x v="0"/>
    <x v="2"/>
    <x v="7"/>
    <n v="3759"/>
    <x v="0"/>
    <n v="3759"/>
    <n v="41"/>
    <x v="10"/>
    <x v="0"/>
    <x v="0"/>
    <n v="1578.78"/>
    <n v="2180.2200000000003"/>
    <n v="0"/>
    <n v="0"/>
    <n v="0"/>
    <x v="1783"/>
  </r>
  <r>
    <x v="2"/>
    <x v="505"/>
    <x v="1882"/>
    <x v="1"/>
    <x v="2"/>
    <x v="0"/>
    <x v="2"/>
    <x v="5"/>
    <n v="228"/>
    <x v="0"/>
    <n v="228"/>
    <n v="48"/>
    <x v="32"/>
    <x v="0"/>
    <x v="0"/>
    <n v="95.759999999999991"/>
    <n v="132.24"/>
    <n v="0"/>
    <n v="0"/>
    <n v="0"/>
    <x v="1784"/>
  </r>
  <r>
    <x v="40"/>
    <x v="505"/>
    <x v="1883"/>
    <x v="5"/>
    <x v="0"/>
    <x v="3"/>
    <x v="3"/>
    <x v="11"/>
    <n v="4405"/>
    <x v="0"/>
    <n v="4405"/>
    <n v="4"/>
    <x v="23"/>
    <x v="0"/>
    <x v="0"/>
    <n v="1850.1"/>
    <n v="2554.9"/>
    <n v="0"/>
    <n v="0"/>
    <n v="0"/>
    <x v="1785"/>
  </r>
  <r>
    <x v="10"/>
    <x v="505"/>
    <x v="1884"/>
    <x v="3"/>
    <x v="1"/>
    <x v="2"/>
    <x v="3"/>
    <x v="9"/>
    <n v="1453"/>
    <x v="428"/>
    <n v="1413.769"/>
    <n v="42"/>
    <x v="6"/>
    <x v="1"/>
    <x v="5"/>
    <n v="593.78297999999995"/>
    <n v="819.98602000000005"/>
    <n v="150"/>
    <n v="141.37690000000001"/>
    <n v="1413.769"/>
    <x v="1786"/>
  </r>
  <r>
    <x v="0"/>
    <x v="505"/>
    <x v="1885"/>
    <x v="0"/>
    <x v="0"/>
    <x v="2"/>
    <x v="5"/>
    <x v="0"/>
    <n v="3781"/>
    <x v="0"/>
    <n v="3781"/>
    <n v="10"/>
    <x v="3"/>
    <x v="0"/>
    <x v="0"/>
    <n v="1588.02"/>
    <n v="2192.98"/>
    <n v="0"/>
    <n v="0"/>
    <n v="0"/>
    <x v="1711"/>
  </r>
  <r>
    <x v="3"/>
    <x v="506"/>
    <x v="1886"/>
    <x v="1"/>
    <x v="3"/>
    <x v="3"/>
    <x v="1"/>
    <x v="5"/>
    <n v="3424"/>
    <x v="0"/>
    <n v="3424"/>
    <n v="14"/>
    <x v="38"/>
    <x v="0"/>
    <x v="0"/>
    <n v="1438.08"/>
    <n v="1985.92"/>
    <n v="0"/>
    <n v="0"/>
    <n v="0"/>
    <x v="1649"/>
  </r>
  <r>
    <x v="11"/>
    <x v="506"/>
    <x v="1887"/>
    <x v="5"/>
    <x v="4"/>
    <x v="1"/>
    <x v="3"/>
    <x v="8"/>
    <n v="2232"/>
    <x v="429"/>
    <n v="935.20800000000008"/>
    <n v="33"/>
    <x v="21"/>
    <x v="0"/>
    <x v="0"/>
    <n v="392.78736000000004"/>
    <n v="542.42064000000005"/>
    <n v="0"/>
    <n v="0"/>
    <n v="0"/>
    <x v="1787"/>
  </r>
  <r>
    <x v="10"/>
    <x v="506"/>
    <x v="1888"/>
    <x v="3"/>
    <x v="1"/>
    <x v="0"/>
    <x v="0"/>
    <x v="8"/>
    <n v="1043"/>
    <x v="0"/>
    <n v="1043"/>
    <n v="28"/>
    <x v="28"/>
    <x v="0"/>
    <x v="0"/>
    <n v="438.06"/>
    <n v="604.94000000000005"/>
    <n v="0"/>
    <n v="0"/>
    <n v="0"/>
    <x v="1788"/>
  </r>
  <r>
    <x v="46"/>
    <x v="506"/>
    <x v="1889"/>
    <x v="2"/>
    <x v="3"/>
    <x v="1"/>
    <x v="1"/>
    <x v="7"/>
    <n v="3739"/>
    <x v="0"/>
    <n v="3739"/>
    <n v="18"/>
    <x v="9"/>
    <x v="0"/>
    <x v="0"/>
    <n v="1570.3799999999999"/>
    <n v="2168.62"/>
    <n v="0"/>
    <n v="0"/>
    <n v="0"/>
    <x v="1789"/>
  </r>
  <r>
    <x v="30"/>
    <x v="507"/>
    <x v="1890"/>
    <x v="7"/>
    <x v="4"/>
    <x v="3"/>
    <x v="2"/>
    <x v="2"/>
    <n v="2889"/>
    <x v="306"/>
    <n v="2366.0909999999999"/>
    <n v="23"/>
    <x v="24"/>
    <x v="0"/>
    <x v="0"/>
    <n v="993.75821999999994"/>
    <n v="1372.33278"/>
    <n v="0"/>
    <n v="0"/>
    <n v="0"/>
    <x v="1790"/>
  </r>
  <r>
    <x v="33"/>
    <x v="507"/>
    <x v="1891"/>
    <x v="7"/>
    <x v="0"/>
    <x v="0"/>
    <x v="1"/>
    <x v="10"/>
    <n v="3647"/>
    <x v="183"/>
    <n v="2957.7170000000001"/>
    <n v="50"/>
    <x v="3"/>
    <x v="1"/>
    <x v="4"/>
    <n v="1242.2411400000001"/>
    <n v="1715.47586"/>
    <n v="150"/>
    <n v="295.77170000000001"/>
    <n v="2957.7170000000001"/>
    <x v="1791"/>
  </r>
  <r>
    <x v="17"/>
    <x v="507"/>
    <x v="1892"/>
    <x v="2"/>
    <x v="0"/>
    <x v="0"/>
    <x v="0"/>
    <x v="11"/>
    <n v="3084"/>
    <x v="0"/>
    <n v="3084"/>
    <n v="0"/>
    <x v="23"/>
    <x v="0"/>
    <x v="0"/>
    <n v="1295.28"/>
    <n v="1788.72"/>
    <n v="0"/>
    <n v="0"/>
    <n v="0"/>
    <x v="1792"/>
  </r>
  <r>
    <x v="37"/>
    <x v="507"/>
    <x v="1893"/>
    <x v="4"/>
    <x v="3"/>
    <x v="1"/>
    <x v="0"/>
    <x v="5"/>
    <n v="4012"/>
    <x v="115"/>
    <n v="3362.056"/>
    <n v="36"/>
    <x v="17"/>
    <x v="0"/>
    <x v="0"/>
    <n v="1412.0635199999999"/>
    <n v="1949.9924800000001"/>
    <n v="0"/>
    <n v="0"/>
    <n v="0"/>
    <x v="1793"/>
  </r>
  <r>
    <x v="46"/>
    <x v="508"/>
    <x v="1894"/>
    <x v="2"/>
    <x v="3"/>
    <x v="2"/>
    <x v="1"/>
    <x v="0"/>
    <n v="4278"/>
    <x v="0"/>
    <n v="4278"/>
    <n v="39"/>
    <x v="6"/>
    <x v="1"/>
    <x v="7"/>
    <n v="1796.76"/>
    <n v="2481.2399999999998"/>
    <n v="150"/>
    <n v="427.8"/>
    <n v="4278"/>
    <x v="3"/>
  </r>
  <r>
    <x v="2"/>
    <x v="508"/>
    <x v="1895"/>
    <x v="1"/>
    <x v="2"/>
    <x v="1"/>
    <x v="2"/>
    <x v="5"/>
    <n v="274"/>
    <x v="230"/>
    <n v="199.19800000000001"/>
    <n v="48"/>
    <x v="19"/>
    <x v="0"/>
    <x v="0"/>
    <n v="83.663160000000005"/>
    <n v="115.53484"/>
    <n v="0"/>
    <n v="0"/>
    <n v="0"/>
    <x v="1794"/>
  </r>
  <r>
    <x v="21"/>
    <x v="508"/>
    <x v="1896"/>
    <x v="1"/>
    <x v="4"/>
    <x v="1"/>
    <x v="3"/>
    <x v="6"/>
    <n v="2879"/>
    <x v="0"/>
    <n v="2879"/>
    <n v="36"/>
    <x v="2"/>
    <x v="0"/>
    <x v="0"/>
    <n v="1209.18"/>
    <n v="1669.82"/>
    <n v="0"/>
    <n v="0"/>
    <n v="0"/>
    <x v="1795"/>
  </r>
  <r>
    <x v="17"/>
    <x v="509"/>
    <x v="1897"/>
    <x v="2"/>
    <x v="0"/>
    <x v="0"/>
    <x v="3"/>
    <x v="4"/>
    <n v="3244"/>
    <x v="428"/>
    <n v="3156.4119999999998"/>
    <n v="15"/>
    <x v="10"/>
    <x v="0"/>
    <x v="0"/>
    <n v="1325.6930399999999"/>
    <n v="1830.7189599999999"/>
    <n v="0"/>
    <n v="0"/>
    <n v="0"/>
    <x v="1796"/>
  </r>
  <r>
    <x v="30"/>
    <x v="509"/>
    <x v="1898"/>
    <x v="7"/>
    <x v="4"/>
    <x v="3"/>
    <x v="3"/>
    <x v="4"/>
    <n v="2942"/>
    <x v="404"/>
    <n v="2712.5240000000003"/>
    <n v="4"/>
    <x v="15"/>
    <x v="1"/>
    <x v="4"/>
    <n v="1139.26008"/>
    <n v="1573.2639200000003"/>
    <n v="150"/>
    <n v="271.25240000000002"/>
    <n v="2712.5240000000003"/>
    <x v="1797"/>
  </r>
  <r>
    <x v="46"/>
    <x v="509"/>
    <x v="1899"/>
    <x v="2"/>
    <x v="3"/>
    <x v="0"/>
    <x v="4"/>
    <x v="0"/>
    <n v="3629"/>
    <x v="0"/>
    <n v="3629"/>
    <n v="49"/>
    <x v="14"/>
    <x v="0"/>
    <x v="0"/>
    <n v="1524.1799999999998"/>
    <n v="2104.8200000000002"/>
    <n v="0"/>
    <n v="0"/>
    <n v="0"/>
    <x v="1798"/>
  </r>
  <r>
    <x v="40"/>
    <x v="509"/>
    <x v="1900"/>
    <x v="5"/>
    <x v="0"/>
    <x v="3"/>
    <x v="3"/>
    <x v="8"/>
    <n v="3696"/>
    <x v="0"/>
    <n v="3696"/>
    <n v="38"/>
    <x v="3"/>
    <x v="0"/>
    <x v="0"/>
    <n v="1552.32"/>
    <n v="2143.6800000000003"/>
    <n v="0"/>
    <n v="0"/>
    <n v="0"/>
    <x v="176"/>
  </r>
  <r>
    <x v="38"/>
    <x v="510"/>
    <x v="1901"/>
    <x v="0"/>
    <x v="1"/>
    <x v="1"/>
    <x v="0"/>
    <x v="5"/>
    <n v="1368"/>
    <x v="0"/>
    <n v="1368"/>
    <n v="0"/>
    <x v="9"/>
    <x v="0"/>
    <x v="0"/>
    <n v="574.55999999999995"/>
    <n v="793.44"/>
    <n v="0"/>
    <n v="0"/>
    <n v="0"/>
    <x v="1799"/>
  </r>
  <r>
    <x v="25"/>
    <x v="510"/>
    <x v="1902"/>
    <x v="6"/>
    <x v="1"/>
    <x v="3"/>
    <x v="1"/>
    <x v="6"/>
    <n v="1240"/>
    <x v="164"/>
    <n v="772.52"/>
    <n v="5"/>
    <x v="2"/>
    <x v="0"/>
    <x v="0"/>
    <n v="324.45839999999998"/>
    <n v="448.0616"/>
    <n v="0"/>
    <n v="0"/>
    <n v="0"/>
    <x v="1800"/>
  </r>
  <r>
    <x v="23"/>
    <x v="510"/>
    <x v="1903"/>
    <x v="6"/>
    <x v="4"/>
    <x v="3"/>
    <x v="0"/>
    <x v="8"/>
    <n v="2676"/>
    <x v="296"/>
    <n v="2028.4080000000001"/>
    <n v="44"/>
    <x v="3"/>
    <x v="0"/>
    <x v="0"/>
    <n v="851.93136000000004"/>
    <n v="1176.4766400000001"/>
    <n v="0"/>
    <n v="0"/>
    <n v="0"/>
    <x v="1801"/>
  </r>
  <r>
    <x v="10"/>
    <x v="510"/>
    <x v="1904"/>
    <x v="3"/>
    <x v="1"/>
    <x v="2"/>
    <x v="0"/>
    <x v="1"/>
    <n v="1164"/>
    <x v="0"/>
    <n v="1164"/>
    <n v="1"/>
    <x v="25"/>
    <x v="1"/>
    <x v="5"/>
    <n v="488.88"/>
    <n v="675.12"/>
    <n v="150"/>
    <n v="116.4"/>
    <n v="1164"/>
    <x v="1802"/>
  </r>
  <r>
    <x v="5"/>
    <x v="511"/>
    <x v="1905"/>
    <x v="0"/>
    <x v="2"/>
    <x v="1"/>
    <x v="2"/>
    <x v="3"/>
    <n v="263"/>
    <x v="0"/>
    <n v="263"/>
    <n v="25"/>
    <x v="24"/>
    <x v="0"/>
    <x v="0"/>
    <n v="110.46"/>
    <n v="152.54000000000002"/>
    <n v="0"/>
    <n v="0"/>
    <n v="0"/>
    <x v="1803"/>
  </r>
  <r>
    <x v="38"/>
    <x v="511"/>
    <x v="1906"/>
    <x v="0"/>
    <x v="1"/>
    <x v="0"/>
    <x v="4"/>
    <x v="0"/>
    <n v="1255"/>
    <x v="0"/>
    <n v="1255"/>
    <n v="39"/>
    <x v="6"/>
    <x v="0"/>
    <x v="0"/>
    <n v="527.1"/>
    <n v="727.9"/>
    <n v="0"/>
    <n v="0"/>
    <n v="0"/>
    <x v="1424"/>
  </r>
  <r>
    <x v="39"/>
    <x v="511"/>
    <x v="1907"/>
    <x v="7"/>
    <x v="5"/>
    <x v="3"/>
    <x v="5"/>
    <x v="11"/>
    <n v="2304"/>
    <x v="0"/>
    <n v="2304"/>
    <n v="27"/>
    <x v="40"/>
    <x v="0"/>
    <x v="0"/>
    <n v="967.68"/>
    <n v="1336.3200000000002"/>
    <n v="0"/>
    <n v="0"/>
    <n v="0"/>
    <x v="1804"/>
  </r>
  <r>
    <x v="21"/>
    <x v="511"/>
    <x v="1908"/>
    <x v="1"/>
    <x v="4"/>
    <x v="0"/>
    <x v="5"/>
    <x v="1"/>
    <n v="2330"/>
    <x v="430"/>
    <n v="1724.2"/>
    <n v="16"/>
    <x v="3"/>
    <x v="1"/>
    <x v="3"/>
    <n v="724.16399999999999"/>
    <n v="1000.0360000000001"/>
    <n v="150"/>
    <n v="172.42000000000002"/>
    <n v="1724.2"/>
    <x v="1805"/>
  </r>
  <r>
    <x v="27"/>
    <x v="512"/>
    <x v="1909"/>
    <x v="7"/>
    <x v="2"/>
    <x v="3"/>
    <x v="2"/>
    <x v="8"/>
    <n v="239"/>
    <x v="0"/>
    <n v="239"/>
    <n v="8"/>
    <x v="35"/>
    <x v="1"/>
    <x v="4"/>
    <n v="100.38"/>
    <n v="138.62"/>
    <n v="150"/>
    <n v="23.900000000000002"/>
    <n v="239"/>
    <x v="1806"/>
  </r>
  <r>
    <x v="40"/>
    <x v="512"/>
    <x v="1910"/>
    <x v="5"/>
    <x v="0"/>
    <x v="2"/>
    <x v="3"/>
    <x v="8"/>
    <n v="3575"/>
    <x v="253"/>
    <n v="1655.2249999999999"/>
    <n v="2"/>
    <x v="37"/>
    <x v="0"/>
    <x v="0"/>
    <n v="695.19449999999995"/>
    <n v="960.03049999999996"/>
    <n v="0"/>
    <n v="0"/>
    <n v="0"/>
    <x v="1807"/>
  </r>
  <r>
    <x v="13"/>
    <x v="512"/>
    <x v="1911"/>
    <x v="3"/>
    <x v="2"/>
    <x v="2"/>
    <x v="2"/>
    <x v="4"/>
    <n v="186"/>
    <x v="0"/>
    <n v="186"/>
    <n v="16"/>
    <x v="6"/>
    <x v="0"/>
    <x v="0"/>
    <n v="78.11999999999999"/>
    <n v="107.88000000000001"/>
    <n v="0"/>
    <n v="0"/>
    <n v="0"/>
    <x v="1808"/>
  </r>
  <r>
    <x v="26"/>
    <x v="512"/>
    <x v="1912"/>
    <x v="0"/>
    <x v="3"/>
    <x v="2"/>
    <x v="5"/>
    <x v="2"/>
    <n v="4014"/>
    <x v="296"/>
    <n v="3042.6120000000001"/>
    <n v="8"/>
    <x v="12"/>
    <x v="0"/>
    <x v="0"/>
    <n v="1277.8970400000001"/>
    <n v="1764.71496"/>
    <n v="0"/>
    <n v="0"/>
    <n v="0"/>
    <x v="1809"/>
  </r>
  <r>
    <x v="16"/>
    <x v="513"/>
    <x v="1913"/>
    <x v="3"/>
    <x v="0"/>
    <x v="2"/>
    <x v="3"/>
    <x v="6"/>
    <n v="3423"/>
    <x v="0"/>
    <n v="3423"/>
    <n v="49"/>
    <x v="21"/>
    <x v="1"/>
    <x v="3"/>
    <n v="1437.6599999999999"/>
    <n v="1985.3400000000001"/>
    <n v="150"/>
    <n v="342.3"/>
    <n v="3423"/>
    <x v="1810"/>
  </r>
  <r>
    <x v="46"/>
    <x v="513"/>
    <x v="1914"/>
    <x v="2"/>
    <x v="3"/>
    <x v="0"/>
    <x v="5"/>
    <x v="6"/>
    <n v="3816"/>
    <x v="0"/>
    <n v="3816"/>
    <n v="23"/>
    <x v="4"/>
    <x v="1"/>
    <x v="4"/>
    <n v="1602.72"/>
    <n v="2213.2799999999997"/>
    <n v="150"/>
    <n v="381.6"/>
    <n v="3816"/>
    <x v="1811"/>
  </r>
  <r>
    <x v="15"/>
    <x v="513"/>
    <x v="1915"/>
    <x v="5"/>
    <x v="1"/>
    <x v="3"/>
    <x v="6"/>
    <x v="1"/>
    <n v="1675"/>
    <x v="0"/>
    <n v="1675"/>
    <n v="37"/>
    <x v="41"/>
    <x v="0"/>
    <x v="0"/>
    <n v="703.5"/>
    <n v="971.5"/>
    <n v="0"/>
    <n v="0"/>
    <n v="0"/>
    <x v="1535"/>
  </r>
  <r>
    <x v="0"/>
    <x v="513"/>
    <x v="1916"/>
    <x v="0"/>
    <x v="0"/>
    <x v="1"/>
    <x v="4"/>
    <x v="6"/>
    <n v="4145"/>
    <x v="431"/>
    <n v="1711.8849999999998"/>
    <n v="34"/>
    <x v="22"/>
    <x v="0"/>
    <x v="0"/>
    <n v="718.99169999999992"/>
    <n v="992.89329999999984"/>
    <n v="0"/>
    <n v="0"/>
    <n v="0"/>
    <x v="1812"/>
  </r>
  <r>
    <x v="31"/>
    <x v="514"/>
    <x v="1917"/>
    <x v="2"/>
    <x v="2"/>
    <x v="3"/>
    <x v="2"/>
    <x v="6"/>
    <n v="259"/>
    <x v="0"/>
    <n v="259"/>
    <n v="43"/>
    <x v="29"/>
    <x v="0"/>
    <x v="0"/>
    <n v="108.78"/>
    <n v="150.22"/>
    <n v="0"/>
    <n v="0"/>
    <n v="0"/>
    <x v="1712"/>
  </r>
  <r>
    <x v="42"/>
    <x v="514"/>
    <x v="1918"/>
    <x v="0"/>
    <x v="5"/>
    <x v="0"/>
    <x v="2"/>
    <x v="9"/>
    <n v="2533"/>
    <x v="0"/>
    <n v="2533"/>
    <n v="28"/>
    <x v="0"/>
    <x v="0"/>
    <x v="0"/>
    <n v="1063.8599999999999"/>
    <n v="1469.14"/>
    <n v="0"/>
    <n v="0"/>
    <n v="0"/>
    <x v="1813"/>
  </r>
  <r>
    <x v="17"/>
    <x v="514"/>
    <x v="1919"/>
    <x v="2"/>
    <x v="0"/>
    <x v="0"/>
    <x v="6"/>
    <x v="7"/>
    <n v="3804"/>
    <x v="0"/>
    <n v="3804"/>
    <n v="30"/>
    <x v="20"/>
    <x v="1"/>
    <x v="2"/>
    <n v="1597.6799999999998"/>
    <n v="2206.3200000000002"/>
    <n v="150"/>
    <n v="380.40000000000003"/>
    <n v="3804"/>
    <x v="1814"/>
  </r>
  <r>
    <x v="5"/>
    <x v="514"/>
    <x v="1920"/>
    <x v="0"/>
    <x v="2"/>
    <x v="2"/>
    <x v="2"/>
    <x v="7"/>
    <n v="477"/>
    <x v="0"/>
    <n v="477"/>
    <n v="33"/>
    <x v="24"/>
    <x v="0"/>
    <x v="0"/>
    <n v="200.34"/>
    <n v="276.65999999999997"/>
    <n v="0"/>
    <n v="0"/>
    <n v="0"/>
    <x v="1815"/>
  </r>
  <r>
    <x v="15"/>
    <x v="514"/>
    <x v="1921"/>
    <x v="5"/>
    <x v="1"/>
    <x v="2"/>
    <x v="5"/>
    <x v="4"/>
    <n v="1202"/>
    <x v="106"/>
    <n v="909.91399999999999"/>
    <n v="10"/>
    <x v="19"/>
    <x v="0"/>
    <x v="0"/>
    <n v="382.16388000000001"/>
    <n v="527.75011999999992"/>
    <n v="0"/>
    <n v="0"/>
    <n v="0"/>
    <x v="1816"/>
  </r>
  <r>
    <x v="26"/>
    <x v="515"/>
    <x v="1922"/>
    <x v="0"/>
    <x v="3"/>
    <x v="0"/>
    <x v="3"/>
    <x v="6"/>
    <n v="4326"/>
    <x v="0"/>
    <n v="4326"/>
    <n v="32"/>
    <x v="3"/>
    <x v="1"/>
    <x v="3"/>
    <n v="1816.9199999999998"/>
    <n v="2509.08"/>
    <n v="150"/>
    <n v="432.6"/>
    <n v="4326"/>
    <x v="1817"/>
  </r>
  <r>
    <x v="4"/>
    <x v="515"/>
    <x v="1923"/>
    <x v="2"/>
    <x v="1"/>
    <x v="1"/>
    <x v="5"/>
    <x v="5"/>
    <n v="1766"/>
    <x v="432"/>
    <n v="718.76200000000006"/>
    <n v="34"/>
    <x v="13"/>
    <x v="0"/>
    <x v="0"/>
    <n v="301.88004000000001"/>
    <n v="416.88196000000005"/>
    <n v="0"/>
    <n v="0"/>
    <n v="0"/>
    <x v="1818"/>
  </r>
  <r>
    <x v="30"/>
    <x v="515"/>
    <x v="1924"/>
    <x v="7"/>
    <x v="4"/>
    <x v="2"/>
    <x v="1"/>
    <x v="10"/>
    <n v="2526"/>
    <x v="0"/>
    <n v="2526"/>
    <n v="22"/>
    <x v="18"/>
    <x v="1"/>
    <x v="5"/>
    <n v="1060.92"/>
    <n v="1465.08"/>
    <n v="150"/>
    <n v="252.60000000000002"/>
    <n v="2526"/>
    <x v="1819"/>
  </r>
  <r>
    <x v="29"/>
    <x v="516"/>
    <x v="1925"/>
    <x v="5"/>
    <x v="2"/>
    <x v="0"/>
    <x v="2"/>
    <x v="5"/>
    <n v="481"/>
    <x v="0"/>
    <n v="481"/>
    <n v="20"/>
    <x v="31"/>
    <x v="0"/>
    <x v="0"/>
    <n v="202.01999999999998"/>
    <n v="278.98"/>
    <n v="0"/>
    <n v="0"/>
    <n v="0"/>
    <x v="1670"/>
  </r>
  <r>
    <x v="1"/>
    <x v="516"/>
    <x v="1926"/>
    <x v="1"/>
    <x v="1"/>
    <x v="2"/>
    <x v="6"/>
    <x v="10"/>
    <n v="1452"/>
    <x v="0"/>
    <n v="1452"/>
    <n v="7"/>
    <x v="3"/>
    <x v="1"/>
    <x v="7"/>
    <n v="609.84"/>
    <n v="842.16"/>
    <n v="150"/>
    <n v="145.20000000000002"/>
    <n v="1452"/>
    <x v="1820"/>
  </r>
  <r>
    <x v="44"/>
    <x v="516"/>
    <x v="1927"/>
    <x v="6"/>
    <x v="5"/>
    <x v="2"/>
    <x v="0"/>
    <x v="4"/>
    <n v="1983"/>
    <x v="0"/>
    <n v="1983"/>
    <n v="49"/>
    <x v="22"/>
    <x v="1"/>
    <x v="4"/>
    <n v="832.86"/>
    <n v="1150.1399999999999"/>
    <n v="150"/>
    <n v="198.3"/>
    <n v="1983"/>
    <x v="1821"/>
  </r>
  <r>
    <x v="21"/>
    <x v="516"/>
    <x v="1928"/>
    <x v="1"/>
    <x v="4"/>
    <x v="1"/>
    <x v="4"/>
    <x v="5"/>
    <n v="2504"/>
    <x v="0"/>
    <n v="2504"/>
    <n v="11"/>
    <x v="21"/>
    <x v="0"/>
    <x v="0"/>
    <n v="1051.68"/>
    <n v="1452.32"/>
    <n v="0"/>
    <n v="0"/>
    <n v="0"/>
    <x v="1822"/>
  </r>
  <r>
    <x v="40"/>
    <x v="517"/>
    <x v="1929"/>
    <x v="5"/>
    <x v="0"/>
    <x v="0"/>
    <x v="5"/>
    <x v="11"/>
    <n v="4193"/>
    <x v="0"/>
    <n v="4193"/>
    <n v="19"/>
    <x v="11"/>
    <x v="0"/>
    <x v="0"/>
    <n v="1761.06"/>
    <n v="2431.94"/>
    <n v="0"/>
    <n v="0"/>
    <n v="0"/>
    <x v="1823"/>
  </r>
  <r>
    <x v="16"/>
    <x v="517"/>
    <x v="1930"/>
    <x v="3"/>
    <x v="0"/>
    <x v="2"/>
    <x v="5"/>
    <x v="10"/>
    <n v="3817"/>
    <x v="43"/>
    <n v="1664.2120000000002"/>
    <n v="43"/>
    <x v="13"/>
    <x v="0"/>
    <x v="0"/>
    <n v="698.96904000000006"/>
    <n v="965.24296000000015"/>
    <n v="0"/>
    <n v="0"/>
    <n v="0"/>
    <x v="1824"/>
  </r>
  <r>
    <x v="1"/>
    <x v="517"/>
    <x v="1931"/>
    <x v="1"/>
    <x v="1"/>
    <x v="0"/>
    <x v="0"/>
    <x v="6"/>
    <n v="1665"/>
    <x v="413"/>
    <n v="1375.2900000000002"/>
    <n v="4"/>
    <x v="25"/>
    <x v="0"/>
    <x v="0"/>
    <n v="577.62180000000001"/>
    <n v="797.66820000000018"/>
    <n v="0"/>
    <n v="0"/>
    <n v="0"/>
    <x v="1825"/>
  </r>
  <r>
    <x v="3"/>
    <x v="517"/>
    <x v="1932"/>
    <x v="1"/>
    <x v="3"/>
    <x v="1"/>
    <x v="4"/>
    <x v="6"/>
    <n v="3265"/>
    <x v="0"/>
    <n v="3265"/>
    <n v="38"/>
    <x v="16"/>
    <x v="0"/>
    <x v="0"/>
    <n v="1371.3"/>
    <n v="1893.7"/>
    <n v="0"/>
    <n v="0"/>
    <n v="0"/>
    <x v="1826"/>
  </r>
  <r>
    <x v="20"/>
    <x v="518"/>
    <x v="1933"/>
    <x v="7"/>
    <x v="1"/>
    <x v="1"/>
    <x v="4"/>
    <x v="6"/>
    <n v="1016"/>
    <x v="0"/>
    <n v="1016"/>
    <n v="0"/>
    <x v="35"/>
    <x v="0"/>
    <x v="0"/>
    <n v="426.71999999999997"/>
    <n v="589.28"/>
    <n v="0"/>
    <n v="0"/>
    <n v="0"/>
    <x v="1827"/>
  </r>
  <r>
    <x v="9"/>
    <x v="518"/>
    <x v="1934"/>
    <x v="4"/>
    <x v="0"/>
    <x v="3"/>
    <x v="1"/>
    <x v="0"/>
    <n v="3866"/>
    <x v="433"/>
    <n v="2779.654"/>
    <n v="46"/>
    <x v="3"/>
    <x v="0"/>
    <x v="0"/>
    <n v="1167.4546800000001"/>
    <n v="1612.1993199999999"/>
    <n v="0"/>
    <n v="0"/>
    <n v="0"/>
    <x v="1828"/>
  </r>
  <r>
    <x v="17"/>
    <x v="518"/>
    <x v="1935"/>
    <x v="2"/>
    <x v="0"/>
    <x v="2"/>
    <x v="3"/>
    <x v="1"/>
    <n v="4315"/>
    <x v="232"/>
    <n v="2127.2950000000001"/>
    <n v="9"/>
    <x v="37"/>
    <x v="0"/>
    <x v="0"/>
    <n v="893.46389999999997"/>
    <n v="1233.8311000000001"/>
    <n v="0"/>
    <n v="0"/>
    <n v="0"/>
    <x v="1829"/>
  </r>
  <r>
    <x v="32"/>
    <x v="518"/>
    <x v="1936"/>
    <x v="4"/>
    <x v="4"/>
    <x v="2"/>
    <x v="5"/>
    <x v="4"/>
    <n v="2458"/>
    <x v="320"/>
    <n v="2332.6419999999998"/>
    <n v="21"/>
    <x v="8"/>
    <x v="1"/>
    <x v="3"/>
    <n v="979.70963999999992"/>
    <n v="1352.9323599999998"/>
    <n v="150"/>
    <n v="233.26419999999999"/>
    <n v="2332.6419999999998"/>
    <x v="1830"/>
  </r>
  <r>
    <x v="9"/>
    <x v="519"/>
    <x v="1937"/>
    <x v="4"/>
    <x v="0"/>
    <x v="0"/>
    <x v="4"/>
    <x v="7"/>
    <n v="4227"/>
    <x v="434"/>
    <n v="2988.4890000000005"/>
    <n v="35"/>
    <x v="33"/>
    <x v="0"/>
    <x v="0"/>
    <n v="1255.1653800000001"/>
    <n v="1733.3236200000003"/>
    <n v="0"/>
    <n v="0"/>
    <n v="0"/>
    <x v="1831"/>
  </r>
  <r>
    <x v="29"/>
    <x v="519"/>
    <x v="1938"/>
    <x v="5"/>
    <x v="2"/>
    <x v="3"/>
    <x v="2"/>
    <x v="8"/>
    <n v="358"/>
    <x v="307"/>
    <n v="150.71800000000002"/>
    <n v="36"/>
    <x v="3"/>
    <x v="1"/>
    <x v="3"/>
    <n v="63.301560000000002"/>
    <n v="87.416440000000023"/>
    <n v="150"/>
    <n v="15.071800000000003"/>
    <n v="150.71800000000002"/>
    <x v="1832"/>
  </r>
  <r>
    <x v="37"/>
    <x v="519"/>
    <x v="1939"/>
    <x v="4"/>
    <x v="3"/>
    <x v="2"/>
    <x v="6"/>
    <x v="6"/>
    <n v="3426"/>
    <x v="229"/>
    <n v="1617.0719999999999"/>
    <n v="6"/>
    <x v="40"/>
    <x v="0"/>
    <x v="0"/>
    <n v="679.17023999999992"/>
    <n v="937.90175999999997"/>
    <n v="0"/>
    <n v="0"/>
    <n v="0"/>
    <x v="1833"/>
  </r>
  <r>
    <x v="36"/>
    <x v="520"/>
    <x v="1940"/>
    <x v="5"/>
    <x v="3"/>
    <x v="2"/>
    <x v="5"/>
    <x v="7"/>
    <n v="3164"/>
    <x v="214"/>
    <n v="1727.5440000000001"/>
    <n v="20"/>
    <x v="7"/>
    <x v="1"/>
    <x v="3"/>
    <n v="725.56848000000002"/>
    <n v="1001.9755200000001"/>
    <n v="150"/>
    <n v="172.75440000000003"/>
    <n v="1727.5440000000001"/>
    <x v="1834"/>
  </r>
  <r>
    <x v="17"/>
    <x v="520"/>
    <x v="1941"/>
    <x v="2"/>
    <x v="0"/>
    <x v="1"/>
    <x v="5"/>
    <x v="7"/>
    <n v="3656"/>
    <x v="0"/>
    <n v="3656"/>
    <n v="37"/>
    <x v="37"/>
    <x v="1"/>
    <x v="1"/>
    <n v="1535.52"/>
    <n v="2120.48"/>
    <n v="150"/>
    <n v="365.6"/>
    <n v="3656"/>
    <x v="1835"/>
  </r>
  <r>
    <x v="36"/>
    <x v="520"/>
    <x v="1942"/>
    <x v="5"/>
    <x v="3"/>
    <x v="0"/>
    <x v="3"/>
    <x v="0"/>
    <n v="4492"/>
    <x v="0"/>
    <n v="4492"/>
    <n v="40"/>
    <x v="3"/>
    <x v="0"/>
    <x v="0"/>
    <n v="1886.6399999999999"/>
    <n v="2605.36"/>
    <n v="0"/>
    <n v="0"/>
    <n v="0"/>
    <x v="651"/>
  </r>
  <r>
    <x v="37"/>
    <x v="520"/>
    <x v="1943"/>
    <x v="4"/>
    <x v="3"/>
    <x v="3"/>
    <x v="1"/>
    <x v="9"/>
    <n v="3077"/>
    <x v="0"/>
    <n v="3077"/>
    <n v="24"/>
    <x v="3"/>
    <x v="0"/>
    <x v="0"/>
    <n v="1292.3399999999999"/>
    <n v="1784.66"/>
    <n v="0"/>
    <n v="0"/>
    <n v="0"/>
    <x v="1836"/>
  </r>
  <r>
    <x v="6"/>
    <x v="521"/>
    <x v="1944"/>
    <x v="0"/>
    <x v="4"/>
    <x v="3"/>
    <x v="0"/>
    <x v="8"/>
    <n v="2564"/>
    <x v="0"/>
    <n v="2564"/>
    <n v="41"/>
    <x v="24"/>
    <x v="0"/>
    <x v="0"/>
    <n v="1076.8799999999999"/>
    <n v="1487.1200000000001"/>
    <n v="0"/>
    <n v="0"/>
    <n v="0"/>
    <x v="759"/>
  </r>
  <r>
    <x v="34"/>
    <x v="521"/>
    <x v="1945"/>
    <x v="6"/>
    <x v="0"/>
    <x v="3"/>
    <x v="3"/>
    <x v="9"/>
    <n v="4062"/>
    <x v="0"/>
    <n v="4062"/>
    <n v="37"/>
    <x v="7"/>
    <x v="0"/>
    <x v="0"/>
    <n v="1706.04"/>
    <n v="2355.96"/>
    <n v="0"/>
    <n v="0"/>
    <n v="0"/>
    <x v="1837"/>
  </r>
  <r>
    <x v="46"/>
    <x v="521"/>
    <x v="1946"/>
    <x v="2"/>
    <x v="3"/>
    <x v="3"/>
    <x v="0"/>
    <x v="0"/>
    <n v="3059"/>
    <x v="0"/>
    <n v="3059"/>
    <n v="24"/>
    <x v="13"/>
    <x v="0"/>
    <x v="0"/>
    <n v="1284.78"/>
    <n v="1774.22"/>
    <n v="0"/>
    <n v="0"/>
    <n v="0"/>
    <x v="1838"/>
  </r>
  <r>
    <x v="28"/>
    <x v="521"/>
    <x v="1947"/>
    <x v="3"/>
    <x v="3"/>
    <x v="1"/>
    <x v="3"/>
    <x v="11"/>
    <n v="4024"/>
    <x v="0"/>
    <n v="4024"/>
    <n v="0"/>
    <x v="3"/>
    <x v="0"/>
    <x v="0"/>
    <n v="1690.08"/>
    <n v="2333.92"/>
    <n v="0"/>
    <n v="0"/>
    <n v="0"/>
    <x v="1839"/>
  </r>
  <r>
    <x v="31"/>
    <x v="522"/>
    <x v="1948"/>
    <x v="2"/>
    <x v="2"/>
    <x v="1"/>
    <x v="2"/>
    <x v="11"/>
    <n v="398"/>
    <x v="0"/>
    <n v="398"/>
    <n v="44"/>
    <x v="9"/>
    <x v="0"/>
    <x v="0"/>
    <n v="167.16"/>
    <n v="230.84"/>
    <n v="0"/>
    <n v="0"/>
    <n v="0"/>
    <x v="1610"/>
  </r>
  <r>
    <x v="42"/>
    <x v="522"/>
    <x v="1949"/>
    <x v="0"/>
    <x v="5"/>
    <x v="3"/>
    <x v="0"/>
    <x v="10"/>
    <n v="2629"/>
    <x v="322"/>
    <n v="1056.8580000000002"/>
    <n v="34"/>
    <x v="3"/>
    <x v="1"/>
    <x v="4"/>
    <n v="443.88036000000005"/>
    <n v="612.97764000000006"/>
    <n v="150"/>
    <n v="105.68580000000003"/>
    <n v="1056.8580000000002"/>
    <x v="1840"/>
  </r>
  <r>
    <x v="46"/>
    <x v="522"/>
    <x v="1950"/>
    <x v="2"/>
    <x v="3"/>
    <x v="0"/>
    <x v="4"/>
    <x v="6"/>
    <n v="4322"/>
    <x v="0"/>
    <n v="4322"/>
    <n v="39"/>
    <x v="38"/>
    <x v="1"/>
    <x v="4"/>
    <n v="1815.24"/>
    <n v="2506.7600000000002"/>
    <n v="150"/>
    <n v="432.20000000000005"/>
    <n v="4322"/>
    <x v="1841"/>
  </r>
  <r>
    <x v="37"/>
    <x v="523"/>
    <x v="1951"/>
    <x v="4"/>
    <x v="3"/>
    <x v="0"/>
    <x v="5"/>
    <x v="5"/>
    <n v="3161"/>
    <x v="147"/>
    <n v="2149.48"/>
    <n v="2"/>
    <x v="15"/>
    <x v="0"/>
    <x v="0"/>
    <n v="902.78160000000003"/>
    <n v="1246.6984"/>
    <n v="0"/>
    <n v="0"/>
    <n v="0"/>
    <x v="1842"/>
  </r>
  <r>
    <x v="17"/>
    <x v="523"/>
    <x v="1952"/>
    <x v="2"/>
    <x v="0"/>
    <x v="1"/>
    <x v="1"/>
    <x v="5"/>
    <n v="3866"/>
    <x v="378"/>
    <n v="3081.2019999999998"/>
    <n v="16"/>
    <x v="20"/>
    <x v="0"/>
    <x v="0"/>
    <n v="1294.10484"/>
    <n v="1787.0971599999998"/>
    <n v="0"/>
    <n v="0"/>
    <n v="0"/>
    <x v="1843"/>
  </r>
  <r>
    <x v="4"/>
    <x v="523"/>
    <x v="1953"/>
    <x v="2"/>
    <x v="1"/>
    <x v="3"/>
    <x v="0"/>
    <x v="10"/>
    <n v="1159"/>
    <x v="0"/>
    <n v="1159"/>
    <n v="33"/>
    <x v="3"/>
    <x v="1"/>
    <x v="6"/>
    <n v="486.78"/>
    <n v="672.22"/>
    <n v="150"/>
    <n v="115.9"/>
    <n v="1159"/>
    <x v="1281"/>
  </r>
  <r>
    <x v="5"/>
    <x v="523"/>
    <x v="1954"/>
    <x v="0"/>
    <x v="2"/>
    <x v="1"/>
    <x v="2"/>
    <x v="0"/>
    <n v="324"/>
    <x v="435"/>
    <n v="277.34399999999999"/>
    <n v="16"/>
    <x v="32"/>
    <x v="0"/>
    <x v="0"/>
    <n v="116.48447999999999"/>
    <n v="160.85952"/>
    <n v="0"/>
    <n v="0"/>
    <n v="0"/>
    <x v="1844"/>
  </r>
  <r>
    <x v="9"/>
    <x v="524"/>
    <x v="1955"/>
    <x v="4"/>
    <x v="0"/>
    <x v="1"/>
    <x v="0"/>
    <x v="4"/>
    <n v="4429"/>
    <x v="0"/>
    <n v="4429"/>
    <n v="25"/>
    <x v="8"/>
    <x v="0"/>
    <x v="0"/>
    <n v="1860.1799999999998"/>
    <n v="2568.8200000000002"/>
    <n v="0"/>
    <n v="0"/>
    <n v="0"/>
    <x v="1845"/>
  </r>
  <r>
    <x v="7"/>
    <x v="524"/>
    <x v="1956"/>
    <x v="3"/>
    <x v="5"/>
    <x v="1"/>
    <x v="5"/>
    <x v="8"/>
    <n v="2551"/>
    <x v="0"/>
    <n v="2551"/>
    <n v="26"/>
    <x v="30"/>
    <x v="1"/>
    <x v="2"/>
    <n v="1071.42"/>
    <n v="1479.58"/>
    <n v="150"/>
    <n v="255.10000000000002"/>
    <n v="2551"/>
    <x v="1846"/>
  </r>
  <r>
    <x v="28"/>
    <x v="524"/>
    <x v="1957"/>
    <x v="3"/>
    <x v="3"/>
    <x v="3"/>
    <x v="3"/>
    <x v="1"/>
    <n v="3213"/>
    <x v="43"/>
    <n v="1400.8680000000002"/>
    <n v="10"/>
    <x v="12"/>
    <x v="0"/>
    <x v="0"/>
    <n v="588.3645600000001"/>
    <n v="812.50344000000007"/>
    <n v="0"/>
    <n v="0"/>
    <n v="0"/>
    <x v="1847"/>
  </r>
  <r>
    <x v="6"/>
    <x v="524"/>
    <x v="1958"/>
    <x v="0"/>
    <x v="4"/>
    <x v="0"/>
    <x v="1"/>
    <x v="6"/>
    <n v="2081"/>
    <x v="0"/>
    <n v="2081"/>
    <n v="33"/>
    <x v="26"/>
    <x v="1"/>
    <x v="1"/>
    <n v="874.02"/>
    <n v="1206.98"/>
    <n v="150"/>
    <n v="208.10000000000002"/>
    <n v="2081"/>
    <x v="1848"/>
  </r>
  <r>
    <x v="30"/>
    <x v="525"/>
    <x v="1959"/>
    <x v="7"/>
    <x v="4"/>
    <x v="3"/>
    <x v="4"/>
    <x v="7"/>
    <n v="2375"/>
    <x v="0"/>
    <n v="2375"/>
    <n v="26"/>
    <x v="9"/>
    <x v="1"/>
    <x v="4"/>
    <n v="997.5"/>
    <n v="1377.5"/>
    <n v="150"/>
    <n v="237.5"/>
    <n v="2375"/>
    <x v="1849"/>
  </r>
  <r>
    <x v="37"/>
    <x v="525"/>
    <x v="1960"/>
    <x v="4"/>
    <x v="3"/>
    <x v="3"/>
    <x v="6"/>
    <x v="6"/>
    <n v="4466"/>
    <x v="0"/>
    <n v="4466"/>
    <n v="4"/>
    <x v="36"/>
    <x v="0"/>
    <x v="0"/>
    <n v="1875.72"/>
    <n v="2590.2799999999997"/>
    <n v="0"/>
    <n v="0"/>
    <n v="0"/>
    <x v="1850"/>
  </r>
  <r>
    <x v="8"/>
    <x v="525"/>
    <x v="1961"/>
    <x v="1"/>
    <x v="0"/>
    <x v="3"/>
    <x v="6"/>
    <x v="6"/>
    <n v="4121"/>
    <x v="0"/>
    <n v="4121"/>
    <n v="5"/>
    <x v="40"/>
    <x v="0"/>
    <x v="0"/>
    <n v="1730.82"/>
    <n v="2390.1800000000003"/>
    <n v="0"/>
    <n v="0"/>
    <n v="0"/>
    <x v="1851"/>
  </r>
  <r>
    <x v="7"/>
    <x v="525"/>
    <x v="1962"/>
    <x v="3"/>
    <x v="5"/>
    <x v="3"/>
    <x v="4"/>
    <x v="8"/>
    <n v="2615"/>
    <x v="0"/>
    <n v="2615"/>
    <n v="24"/>
    <x v="27"/>
    <x v="1"/>
    <x v="3"/>
    <n v="1098.3"/>
    <n v="1516.7"/>
    <n v="150"/>
    <n v="261.5"/>
    <n v="2615"/>
    <x v="1852"/>
  </r>
  <r>
    <x v="26"/>
    <x v="526"/>
    <x v="1963"/>
    <x v="0"/>
    <x v="3"/>
    <x v="3"/>
    <x v="1"/>
    <x v="6"/>
    <n v="3768"/>
    <x v="0"/>
    <n v="3768"/>
    <n v="5"/>
    <x v="1"/>
    <x v="0"/>
    <x v="0"/>
    <n v="1582.56"/>
    <n v="2185.44"/>
    <n v="0"/>
    <n v="0"/>
    <n v="0"/>
    <x v="1853"/>
  </r>
  <r>
    <x v="34"/>
    <x v="526"/>
    <x v="1964"/>
    <x v="6"/>
    <x v="0"/>
    <x v="3"/>
    <x v="2"/>
    <x v="5"/>
    <n v="4204"/>
    <x v="436"/>
    <n v="2825.0880000000002"/>
    <n v="45"/>
    <x v="26"/>
    <x v="1"/>
    <x v="4"/>
    <n v="1186.5369600000001"/>
    <n v="1638.5510400000001"/>
    <n v="150"/>
    <n v="282.50880000000001"/>
    <n v="2825.0880000000002"/>
    <x v="1854"/>
  </r>
  <r>
    <x v="23"/>
    <x v="526"/>
    <x v="1965"/>
    <x v="6"/>
    <x v="4"/>
    <x v="0"/>
    <x v="5"/>
    <x v="4"/>
    <n v="2590"/>
    <x v="0"/>
    <n v="2590"/>
    <n v="18"/>
    <x v="35"/>
    <x v="0"/>
    <x v="0"/>
    <n v="1087.8"/>
    <n v="1502.2"/>
    <n v="0"/>
    <n v="0"/>
    <n v="0"/>
    <x v="1855"/>
  </r>
  <r>
    <x v="27"/>
    <x v="526"/>
    <x v="1966"/>
    <x v="7"/>
    <x v="2"/>
    <x v="1"/>
    <x v="2"/>
    <x v="3"/>
    <n v="406"/>
    <x v="0"/>
    <n v="406"/>
    <n v="19"/>
    <x v="3"/>
    <x v="0"/>
    <x v="0"/>
    <n v="170.51999999999998"/>
    <n v="235.48000000000002"/>
    <n v="0"/>
    <n v="0"/>
    <n v="0"/>
    <x v="1399"/>
  </r>
  <r>
    <x v="26"/>
    <x v="527"/>
    <x v="1967"/>
    <x v="0"/>
    <x v="3"/>
    <x v="0"/>
    <x v="3"/>
    <x v="0"/>
    <n v="3872"/>
    <x v="437"/>
    <n v="2667.808"/>
    <n v="22"/>
    <x v="32"/>
    <x v="0"/>
    <x v="0"/>
    <n v="1120.47936"/>
    <n v="1547.32864"/>
    <n v="0"/>
    <n v="0"/>
    <n v="0"/>
    <x v="1856"/>
  </r>
  <r>
    <x v="42"/>
    <x v="527"/>
    <x v="1968"/>
    <x v="0"/>
    <x v="5"/>
    <x v="0"/>
    <x v="0"/>
    <x v="9"/>
    <n v="2124"/>
    <x v="0"/>
    <n v="2124"/>
    <n v="41"/>
    <x v="24"/>
    <x v="0"/>
    <x v="0"/>
    <n v="892.07999999999993"/>
    <n v="1231.92"/>
    <n v="0"/>
    <n v="0"/>
    <n v="0"/>
    <x v="900"/>
  </r>
  <r>
    <x v="4"/>
    <x v="527"/>
    <x v="1969"/>
    <x v="2"/>
    <x v="1"/>
    <x v="3"/>
    <x v="1"/>
    <x v="4"/>
    <n v="1746"/>
    <x v="0"/>
    <n v="1746"/>
    <n v="44"/>
    <x v="3"/>
    <x v="1"/>
    <x v="3"/>
    <n v="733.31999999999994"/>
    <n v="1012.6800000000001"/>
    <n v="150"/>
    <n v="174.60000000000002"/>
    <n v="1746"/>
    <x v="1857"/>
  </r>
  <r>
    <x v="46"/>
    <x v="528"/>
    <x v="1970"/>
    <x v="2"/>
    <x v="3"/>
    <x v="3"/>
    <x v="3"/>
    <x v="5"/>
    <n v="4191"/>
    <x v="0"/>
    <n v="4191"/>
    <n v="13"/>
    <x v="3"/>
    <x v="0"/>
    <x v="0"/>
    <n v="1760.22"/>
    <n v="2430.7799999999997"/>
    <n v="0"/>
    <n v="0"/>
    <n v="0"/>
    <x v="1858"/>
  </r>
  <r>
    <x v="42"/>
    <x v="528"/>
    <x v="1971"/>
    <x v="0"/>
    <x v="5"/>
    <x v="0"/>
    <x v="1"/>
    <x v="0"/>
    <n v="1942"/>
    <x v="0"/>
    <n v="1942"/>
    <n v="12"/>
    <x v="33"/>
    <x v="1"/>
    <x v="4"/>
    <n v="815.64"/>
    <n v="1126.3600000000001"/>
    <n v="150"/>
    <n v="194.20000000000002"/>
    <n v="1942"/>
    <x v="1859"/>
  </r>
  <r>
    <x v="41"/>
    <x v="528"/>
    <x v="1972"/>
    <x v="6"/>
    <x v="2"/>
    <x v="3"/>
    <x v="2"/>
    <x v="5"/>
    <n v="395"/>
    <x v="0"/>
    <n v="395"/>
    <n v="24"/>
    <x v="32"/>
    <x v="0"/>
    <x v="0"/>
    <n v="165.9"/>
    <n v="229.1"/>
    <n v="0"/>
    <n v="0"/>
    <n v="0"/>
    <x v="1860"/>
  </r>
  <r>
    <x v="32"/>
    <x v="528"/>
    <x v="1973"/>
    <x v="4"/>
    <x v="4"/>
    <x v="3"/>
    <x v="6"/>
    <x v="9"/>
    <n v="2235"/>
    <x v="0"/>
    <n v="2235"/>
    <n v="33"/>
    <x v="3"/>
    <x v="1"/>
    <x v="6"/>
    <n v="938.69999999999993"/>
    <n v="1296.3000000000002"/>
    <n v="150"/>
    <n v="223.5"/>
    <n v="2235"/>
    <x v="618"/>
  </r>
  <r>
    <x v="22"/>
    <x v="529"/>
    <x v="1974"/>
    <x v="2"/>
    <x v="4"/>
    <x v="3"/>
    <x v="2"/>
    <x v="10"/>
    <n v="2906"/>
    <x v="0"/>
    <n v="2906"/>
    <n v="16"/>
    <x v="40"/>
    <x v="0"/>
    <x v="0"/>
    <n v="1220.52"/>
    <n v="1685.48"/>
    <n v="0"/>
    <n v="0"/>
    <n v="0"/>
    <x v="1861"/>
  </r>
  <r>
    <x v="16"/>
    <x v="529"/>
    <x v="1975"/>
    <x v="3"/>
    <x v="0"/>
    <x v="1"/>
    <x v="3"/>
    <x v="11"/>
    <n v="3391"/>
    <x v="0"/>
    <n v="3391"/>
    <n v="27"/>
    <x v="4"/>
    <x v="0"/>
    <x v="0"/>
    <n v="1424.22"/>
    <n v="1966.78"/>
    <n v="0"/>
    <n v="0"/>
    <n v="0"/>
    <x v="1862"/>
  </r>
  <r>
    <x v="35"/>
    <x v="529"/>
    <x v="1976"/>
    <x v="4"/>
    <x v="1"/>
    <x v="2"/>
    <x v="6"/>
    <x v="0"/>
    <n v="1786"/>
    <x v="0"/>
    <n v="1786"/>
    <n v="11"/>
    <x v="3"/>
    <x v="0"/>
    <x v="0"/>
    <n v="750.12"/>
    <n v="1035.8800000000001"/>
    <n v="0"/>
    <n v="0"/>
    <n v="0"/>
    <x v="1863"/>
  </r>
  <r>
    <x v="24"/>
    <x v="529"/>
    <x v="1977"/>
    <x v="5"/>
    <x v="5"/>
    <x v="1"/>
    <x v="0"/>
    <x v="7"/>
    <n v="2717"/>
    <x v="438"/>
    <n v="2445.3000000000002"/>
    <n v="24"/>
    <x v="13"/>
    <x v="0"/>
    <x v="0"/>
    <n v="1027.0260000000001"/>
    <n v="1418.2740000000001"/>
    <n v="0"/>
    <n v="0"/>
    <n v="0"/>
    <x v="1864"/>
  </r>
  <r>
    <x v="33"/>
    <x v="530"/>
    <x v="1978"/>
    <x v="7"/>
    <x v="0"/>
    <x v="1"/>
    <x v="1"/>
    <x v="2"/>
    <n v="3487"/>
    <x v="0"/>
    <n v="3487"/>
    <n v="21"/>
    <x v="26"/>
    <x v="0"/>
    <x v="0"/>
    <n v="1464.54"/>
    <n v="2022.46"/>
    <n v="0"/>
    <n v="0"/>
    <n v="0"/>
    <x v="1865"/>
  </r>
  <r>
    <x v="44"/>
    <x v="530"/>
    <x v="1979"/>
    <x v="6"/>
    <x v="5"/>
    <x v="2"/>
    <x v="3"/>
    <x v="2"/>
    <n v="2593"/>
    <x v="0"/>
    <n v="2593"/>
    <n v="5"/>
    <x v="9"/>
    <x v="0"/>
    <x v="0"/>
    <n v="1089.06"/>
    <n v="1503.94"/>
    <n v="0"/>
    <n v="0"/>
    <n v="0"/>
    <x v="1866"/>
  </r>
  <r>
    <x v="30"/>
    <x v="530"/>
    <x v="1980"/>
    <x v="7"/>
    <x v="4"/>
    <x v="3"/>
    <x v="1"/>
    <x v="9"/>
    <n v="2934"/>
    <x v="0"/>
    <n v="2934"/>
    <n v="15"/>
    <x v="9"/>
    <x v="0"/>
    <x v="0"/>
    <n v="1232.28"/>
    <n v="1701.72"/>
    <n v="0"/>
    <n v="0"/>
    <n v="0"/>
    <x v="1382"/>
  </r>
  <r>
    <x v="1"/>
    <x v="530"/>
    <x v="1981"/>
    <x v="1"/>
    <x v="1"/>
    <x v="2"/>
    <x v="6"/>
    <x v="9"/>
    <n v="1356"/>
    <x v="0"/>
    <n v="1356"/>
    <n v="33"/>
    <x v="27"/>
    <x v="0"/>
    <x v="0"/>
    <n v="569.52"/>
    <n v="786.48"/>
    <n v="0"/>
    <n v="0"/>
    <n v="0"/>
    <x v="1867"/>
  </r>
  <r>
    <x v="18"/>
    <x v="531"/>
    <x v="1982"/>
    <x v="3"/>
    <x v="4"/>
    <x v="3"/>
    <x v="3"/>
    <x v="5"/>
    <n v="2841"/>
    <x v="385"/>
    <n v="1764.261"/>
    <n v="34"/>
    <x v="33"/>
    <x v="0"/>
    <x v="0"/>
    <n v="740.98961999999995"/>
    <n v="1023.27138"/>
    <n v="0"/>
    <n v="0"/>
    <n v="0"/>
    <x v="1868"/>
  </r>
  <r>
    <x v="13"/>
    <x v="531"/>
    <x v="1983"/>
    <x v="3"/>
    <x v="2"/>
    <x v="0"/>
    <x v="2"/>
    <x v="11"/>
    <n v="218"/>
    <x v="0"/>
    <n v="218"/>
    <n v="34"/>
    <x v="38"/>
    <x v="0"/>
    <x v="0"/>
    <n v="91.56"/>
    <n v="126.44"/>
    <n v="0"/>
    <n v="0"/>
    <n v="0"/>
    <x v="1869"/>
  </r>
  <r>
    <x v="10"/>
    <x v="531"/>
    <x v="1984"/>
    <x v="3"/>
    <x v="1"/>
    <x v="3"/>
    <x v="1"/>
    <x v="8"/>
    <n v="1402"/>
    <x v="0"/>
    <n v="1402"/>
    <n v="2"/>
    <x v="3"/>
    <x v="0"/>
    <x v="0"/>
    <n v="588.84"/>
    <n v="813.16"/>
    <n v="0"/>
    <n v="0"/>
    <n v="0"/>
    <x v="1870"/>
  </r>
  <r>
    <x v="35"/>
    <x v="531"/>
    <x v="1985"/>
    <x v="4"/>
    <x v="1"/>
    <x v="0"/>
    <x v="1"/>
    <x v="9"/>
    <n v="1525"/>
    <x v="0"/>
    <n v="1525"/>
    <n v="23"/>
    <x v="8"/>
    <x v="1"/>
    <x v="4"/>
    <n v="640.5"/>
    <n v="884.5"/>
    <n v="150"/>
    <n v="152.5"/>
    <n v="1525"/>
    <x v="1560"/>
  </r>
  <r>
    <x v="2"/>
    <x v="532"/>
    <x v="1986"/>
    <x v="1"/>
    <x v="2"/>
    <x v="2"/>
    <x v="2"/>
    <x v="9"/>
    <n v="169"/>
    <x v="0"/>
    <n v="169"/>
    <n v="50"/>
    <x v="21"/>
    <x v="0"/>
    <x v="0"/>
    <n v="70.98"/>
    <n v="98.02"/>
    <n v="0"/>
    <n v="0"/>
    <n v="0"/>
    <x v="1871"/>
  </r>
  <r>
    <x v="36"/>
    <x v="532"/>
    <x v="1987"/>
    <x v="5"/>
    <x v="3"/>
    <x v="1"/>
    <x v="6"/>
    <x v="6"/>
    <n v="3655"/>
    <x v="391"/>
    <n v="3329.7049999999999"/>
    <n v="43"/>
    <x v="19"/>
    <x v="0"/>
    <x v="0"/>
    <n v="1398.4760999999999"/>
    <n v="1931.2289000000001"/>
    <n v="0"/>
    <n v="0"/>
    <n v="0"/>
    <x v="1872"/>
  </r>
  <r>
    <x v="6"/>
    <x v="532"/>
    <x v="1988"/>
    <x v="0"/>
    <x v="4"/>
    <x v="2"/>
    <x v="3"/>
    <x v="6"/>
    <n v="2304"/>
    <x v="282"/>
    <n v="1866.2400000000002"/>
    <n v="42"/>
    <x v="31"/>
    <x v="0"/>
    <x v="0"/>
    <n v="783.82080000000008"/>
    <n v="1082.4192000000003"/>
    <n v="0"/>
    <n v="0"/>
    <n v="0"/>
    <x v="1873"/>
  </r>
  <r>
    <x v="23"/>
    <x v="532"/>
    <x v="1989"/>
    <x v="6"/>
    <x v="4"/>
    <x v="0"/>
    <x v="6"/>
    <x v="1"/>
    <n v="2276"/>
    <x v="413"/>
    <n v="1879.9760000000001"/>
    <n v="43"/>
    <x v="38"/>
    <x v="0"/>
    <x v="0"/>
    <n v="789.58992000000001"/>
    <n v="1090.3860800000002"/>
    <n v="0"/>
    <n v="0"/>
    <n v="0"/>
    <x v="1874"/>
  </r>
  <r>
    <x v="2"/>
    <x v="533"/>
    <x v="1990"/>
    <x v="1"/>
    <x v="2"/>
    <x v="3"/>
    <x v="2"/>
    <x v="4"/>
    <n v="292"/>
    <x v="0"/>
    <n v="292"/>
    <n v="36"/>
    <x v="30"/>
    <x v="0"/>
    <x v="0"/>
    <n v="122.64"/>
    <n v="169.36"/>
    <n v="0"/>
    <n v="0"/>
    <n v="0"/>
    <x v="1875"/>
  </r>
  <r>
    <x v="38"/>
    <x v="533"/>
    <x v="1991"/>
    <x v="0"/>
    <x v="1"/>
    <x v="2"/>
    <x v="0"/>
    <x v="0"/>
    <n v="982"/>
    <x v="85"/>
    <n v="801.31200000000001"/>
    <n v="29"/>
    <x v="2"/>
    <x v="0"/>
    <x v="0"/>
    <n v="336.55104"/>
    <n v="464.76096000000001"/>
    <n v="0"/>
    <n v="0"/>
    <n v="0"/>
    <x v="1876"/>
  </r>
  <r>
    <x v="3"/>
    <x v="533"/>
    <x v="1992"/>
    <x v="1"/>
    <x v="3"/>
    <x v="0"/>
    <x v="3"/>
    <x v="3"/>
    <n v="3218"/>
    <x v="0"/>
    <n v="3218"/>
    <n v="42"/>
    <x v="3"/>
    <x v="0"/>
    <x v="0"/>
    <n v="1351.56"/>
    <n v="1866.44"/>
    <n v="0"/>
    <n v="0"/>
    <n v="0"/>
    <x v="1877"/>
  </r>
  <r>
    <x v="9"/>
    <x v="533"/>
    <x v="1993"/>
    <x v="4"/>
    <x v="0"/>
    <x v="2"/>
    <x v="5"/>
    <x v="2"/>
    <n v="3920"/>
    <x v="0"/>
    <n v="3920"/>
    <n v="4"/>
    <x v="9"/>
    <x v="1"/>
    <x v="1"/>
    <n v="1646.3999999999999"/>
    <n v="2273.6000000000004"/>
    <n v="150"/>
    <n v="392"/>
    <n v="3920"/>
    <x v="1878"/>
  </r>
  <r>
    <x v="3"/>
    <x v="534"/>
    <x v="1994"/>
    <x v="1"/>
    <x v="3"/>
    <x v="0"/>
    <x v="6"/>
    <x v="4"/>
    <n v="3299"/>
    <x v="0"/>
    <n v="3299"/>
    <n v="35"/>
    <x v="2"/>
    <x v="0"/>
    <x v="0"/>
    <n v="1385.58"/>
    <n v="1913.42"/>
    <n v="0"/>
    <n v="0"/>
    <n v="0"/>
    <x v="559"/>
  </r>
  <r>
    <x v="38"/>
    <x v="534"/>
    <x v="1995"/>
    <x v="0"/>
    <x v="1"/>
    <x v="0"/>
    <x v="5"/>
    <x v="10"/>
    <n v="957"/>
    <x v="0"/>
    <n v="957"/>
    <n v="43"/>
    <x v="19"/>
    <x v="0"/>
    <x v="0"/>
    <n v="401.94"/>
    <n v="555.05999999999995"/>
    <n v="0"/>
    <n v="0"/>
    <n v="0"/>
    <x v="73"/>
  </r>
  <r>
    <x v="29"/>
    <x v="534"/>
    <x v="1996"/>
    <x v="5"/>
    <x v="2"/>
    <x v="0"/>
    <x v="2"/>
    <x v="4"/>
    <n v="305"/>
    <x v="0"/>
    <n v="305"/>
    <n v="27"/>
    <x v="3"/>
    <x v="0"/>
    <x v="0"/>
    <n v="128.1"/>
    <n v="176.9"/>
    <n v="0"/>
    <n v="0"/>
    <n v="0"/>
    <x v="1879"/>
  </r>
  <r>
    <x v="42"/>
    <x v="535"/>
    <x v="1997"/>
    <x v="0"/>
    <x v="5"/>
    <x v="0"/>
    <x v="3"/>
    <x v="9"/>
    <n v="2671"/>
    <x v="214"/>
    <n v="1458.3660000000002"/>
    <n v="9"/>
    <x v="32"/>
    <x v="0"/>
    <x v="0"/>
    <n v="612.51372000000003"/>
    <n v="845.85228000000018"/>
    <n v="0"/>
    <n v="0"/>
    <n v="0"/>
    <x v="1880"/>
  </r>
  <r>
    <x v="7"/>
    <x v="535"/>
    <x v="1998"/>
    <x v="3"/>
    <x v="5"/>
    <x v="1"/>
    <x v="4"/>
    <x v="5"/>
    <n v="2721"/>
    <x v="0"/>
    <n v="2721"/>
    <n v="26"/>
    <x v="32"/>
    <x v="0"/>
    <x v="0"/>
    <n v="1142.82"/>
    <n v="1578.18"/>
    <n v="0"/>
    <n v="0"/>
    <n v="0"/>
    <x v="1881"/>
  </r>
  <r>
    <x v="32"/>
    <x v="535"/>
    <x v="1999"/>
    <x v="4"/>
    <x v="4"/>
    <x v="2"/>
    <x v="4"/>
    <x v="0"/>
    <n v="2412"/>
    <x v="301"/>
    <n v="1415.8439999999998"/>
    <n v="8"/>
    <x v="3"/>
    <x v="1"/>
    <x v="3"/>
    <n v="594.65447999999992"/>
    <n v="821.1895199999999"/>
    <n v="150"/>
    <n v="141.58439999999999"/>
    <n v="1415.8439999999998"/>
    <x v="1882"/>
  </r>
  <r>
    <x v="39"/>
    <x v="535"/>
    <x v="2000"/>
    <x v="7"/>
    <x v="5"/>
    <x v="2"/>
    <x v="0"/>
    <x v="6"/>
    <n v="1953"/>
    <x v="0"/>
    <n v="1953"/>
    <n v="42"/>
    <x v="12"/>
    <x v="0"/>
    <x v="0"/>
    <n v="820.26"/>
    <n v="1132.74"/>
    <n v="0"/>
    <n v="0"/>
    <n v="0"/>
    <x v="1883"/>
  </r>
  <r>
    <x v="42"/>
    <x v="536"/>
    <x v="2001"/>
    <x v="0"/>
    <x v="5"/>
    <x v="2"/>
    <x v="1"/>
    <x v="9"/>
    <n v="2191"/>
    <x v="0"/>
    <n v="2191"/>
    <n v="3"/>
    <x v="25"/>
    <x v="0"/>
    <x v="0"/>
    <n v="920.21999999999991"/>
    <n v="1270.7800000000002"/>
    <n v="0"/>
    <n v="0"/>
    <n v="0"/>
    <x v="1884"/>
  </r>
  <r>
    <x v="34"/>
    <x v="536"/>
    <x v="2002"/>
    <x v="6"/>
    <x v="0"/>
    <x v="0"/>
    <x v="3"/>
    <x v="6"/>
    <n v="4346"/>
    <x v="0"/>
    <n v="4346"/>
    <n v="40"/>
    <x v="38"/>
    <x v="0"/>
    <x v="0"/>
    <n v="1825.32"/>
    <n v="2520.6800000000003"/>
    <n v="0"/>
    <n v="0"/>
    <n v="0"/>
    <x v="1490"/>
  </r>
  <r>
    <x v="12"/>
    <x v="536"/>
    <x v="2003"/>
    <x v="1"/>
    <x v="5"/>
    <x v="0"/>
    <x v="1"/>
    <x v="10"/>
    <n v="2492"/>
    <x v="0"/>
    <n v="2492"/>
    <n v="8"/>
    <x v="3"/>
    <x v="1"/>
    <x v="1"/>
    <n v="1046.6399999999999"/>
    <n v="1445.3600000000001"/>
    <n v="150"/>
    <n v="249.20000000000002"/>
    <n v="2492"/>
    <x v="1239"/>
  </r>
  <r>
    <x v="43"/>
    <x v="536"/>
    <x v="2004"/>
    <x v="4"/>
    <x v="5"/>
    <x v="2"/>
    <x v="1"/>
    <x v="1"/>
    <n v="1956"/>
    <x v="109"/>
    <n v="1130.568"/>
    <n v="4"/>
    <x v="38"/>
    <x v="0"/>
    <x v="0"/>
    <n v="474.83855999999997"/>
    <n v="655.72944000000007"/>
    <n v="0"/>
    <n v="0"/>
    <n v="0"/>
    <x v="1885"/>
  </r>
  <r>
    <x v="38"/>
    <x v="537"/>
    <x v="2005"/>
    <x v="0"/>
    <x v="1"/>
    <x v="2"/>
    <x v="5"/>
    <x v="7"/>
    <n v="1742"/>
    <x v="0"/>
    <n v="1742"/>
    <n v="30"/>
    <x v="3"/>
    <x v="0"/>
    <x v="0"/>
    <n v="731.64"/>
    <n v="1010.36"/>
    <n v="0"/>
    <n v="0"/>
    <n v="0"/>
    <x v="875"/>
  </r>
  <r>
    <x v="19"/>
    <x v="537"/>
    <x v="2006"/>
    <x v="2"/>
    <x v="5"/>
    <x v="1"/>
    <x v="4"/>
    <x v="5"/>
    <n v="2945"/>
    <x v="12"/>
    <n v="2777.1349999999998"/>
    <n v="17"/>
    <x v="19"/>
    <x v="1"/>
    <x v="4"/>
    <n v="1166.3966999999998"/>
    <n v="1610.7383"/>
    <n v="150"/>
    <n v="277.71350000000001"/>
    <n v="2777.1349999999998"/>
    <x v="1886"/>
  </r>
  <r>
    <x v="24"/>
    <x v="537"/>
    <x v="2007"/>
    <x v="5"/>
    <x v="5"/>
    <x v="1"/>
    <x v="4"/>
    <x v="8"/>
    <n v="2457"/>
    <x v="0"/>
    <n v="2457"/>
    <n v="8"/>
    <x v="41"/>
    <x v="0"/>
    <x v="0"/>
    <n v="1031.94"/>
    <n v="1425.06"/>
    <n v="0"/>
    <n v="0"/>
    <n v="0"/>
    <x v="1887"/>
  </r>
  <r>
    <x v="17"/>
    <x v="537"/>
    <x v="2008"/>
    <x v="2"/>
    <x v="0"/>
    <x v="1"/>
    <x v="0"/>
    <x v="8"/>
    <n v="4190"/>
    <x v="439"/>
    <n v="4055.92"/>
    <n v="46"/>
    <x v="3"/>
    <x v="0"/>
    <x v="0"/>
    <n v="1703.4864"/>
    <n v="2352.4336000000003"/>
    <n v="0"/>
    <n v="0"/>
    <n v="0"/>
    <x v="1888"/>
  </r>
  <r>
    <x v="43"/>
    <x v="538"/>
    <x v="2009"/>
    <x v="4"/>
    <x v="5"/>
    <x v="3"/>
    <x v="1"/>
    <x v="2"/>
    <n v="2446"/>
    <x v="0"/>
    <n v="2446"/>
    <n v="21"/>
    <x v="22"/>
    <x v="0"/>
    <x v="0"/>
    <n v="1027.32"/>
    <n v="1418.68"/>
    <n v="0"/>
    <n v="0"/>
    <n v="0"/>
    <x v="1889"/>
  </r>
  <r>
    <x v="0"/>
    <x v="538"/>
    <x v="2010"/>
    <x v="0"/>
    <x v="0"/>
    <x v="2"/>
    <x v="3"/>
    <x v="8"/>
    <n v="3404"/>
    <x v="0"/>
    <n v="3404"/>
    <n v="16"/>
    <x v="1"/>
    <x v="1"/>
    <x v="3"/>
    <n v="1429.6799999999998"/>
    <n v="1974.3200000000002"/>
    <n v="150"/>
    <n v="340.40000000000003"/>
    <n v="3404"/>
    <x v="1890"/>
  </r>
  <r>
    <x v="15"/>
    <x v="538"/>
    <x v="2011"/>
    <x v="5"/>
    <x v="1"/>
    <x v="2"/>
    <x v="6"/>
    <x v="11"/>
    <n v="1220"/>
    <x v="0"/>
    <n v="1220"/>
    <n v="35"/>
    <x v="16"/>
    <x v="1"/>
    <x v="6"/>
    <n v="512.4"/>
    <n v="707.6"/>
    <n v="150"/>
    <n v="122"/>
    <n v="1220"/>
    <x v="1891"/>
  </r>
  <r>
    <x v="27"/>
    <x v="538"/>
    <x v="2012"/>
    <x v="7"/>
    <x v="2"/>
    <x v="2"/>
    <x v="2"/>
    <x v="4"/>
    <n v="406"/>
    <x v="440"/>
    <n v="329.67200000000003"/>
    <n v="1"/>
    <x v="21"/>
    <x v="0"/>
    <x v="0"/>
    <n v="138.46224000000001"/>
    <n v="191.20976000000002"/>
    <n v="0"/>
    <n v="0"/>
    <n v="0"/>
    <x v="1892"/>
  </r>
  <r>
    <x v="2"/>
    <x v="538"/>
    <x v="2013"/>
    <x v="1"/>
    <x v="2"/>
    <x v="2"/>
    <x v="2"/>
    <x v="9"/>
    <n v="305"/>
    <x v="232"/>
    <n v="150.36500000000001"/>
    <n v="39"/>
    <x v="20"/>
    <x v="1"/>
    <x v="4"/>
    <n v="63.153300000000002"/>
    <n v="87.211700000000008"/>
    <n v="150"/>
    <n v="15.036500000000002"/>
    <n v="150.36500000000001"/>
    <x v="1893"/>
  </r>
  <r>
    <x v="42"/>
    <x v="539"/>
    <x v="2014"/>
    <x v="0"/>
    <x v="5"/>
    <x v="0"/>
    <x v="5"/>
    <x v="5"/>
    <n v="2432"/>
    <x v="0"/>
    <n v="2432"/>
    <n v="33"/>
    <x v="12"/>
    <x v="0"/>
    <x v="0"/>
    <n v="1021.4399999999999"/>
    <n v="1410.56"/>
    <n v="0"/>
    <n v="0"/>
    <n v="0"/>
    <x v="1894"/>
  </r>
  <r>
    <x v="24"/>
    <x v="539"/>
    <x v="2015"/>
    <x v="5"/>
    <x v="5"/>
    <x v="0"/>
    <x v="3"/>
    <x v="3"/>
    <n v="2071"/>
    <x v="0"/>
    <n v="2071"/>
    <n v="30"/>
    <x v="15"/>
    <x v="0"/>
    <x v="0"/>
    <n v="869.81999999999994"/>
    <n v="1201.18"/>
    <n v="0"/>
    <n v="0"/>
    <n v="0"/>
    <x v="1895"/>
  </r>
  <r>
    <x v="26"/>
    <x v="539"/>
    <x v="2016"/>
    <x v="0"/>
    <x v="3"/>
    <x v="0"/>
    <x v="1"/>
    <x v="6"/>
    <n v="3076"/>
    <x v="31"/>
    <n v="2848.3759999999997"/>
    <n v="42"/>
    <x v="19"/>
    <x v="1"/>
    <x v="4"/>
    <n v="1196.31792"/>
    <n v="1652.0580799999998"/>
    <n v="150"/>
    <n v="284.83760000000001"/>
    <n v="2848.3759999999997"/>
    <x v="1896"/>
  </r>
  <r>
    <x v="37"/>
    <x v="540"/>
    <x v="2017"/>
    <x v="4"/>
    <x v="3"/>
    <x v="1"/>
    <x v="5"/>
    <x v="8"/>
    <n v="4360"/>
    <x v="284"/>
    <n v="4120.2"/>
    <n v="8"/>
    <x v="3"/>
    <x v="1"/>
    <x v="1"/>
    <n v="1730.4839999999999"/>
    <n v="2389.7159999999999"/>
    <n v="150"/>
    <n v="412.02"/>
    <n v="4120.2"/>
    <x v="1897"/>
  </r>
  <r>
    <x v="11"/>
    <x v="540"/>
    <x v="2018"/>
    <x v="5"/>
    <x v="4"/>
    <x v="1"/>
    <x v="2"/>
    <x v="11"/>
    <n v="2334"/>
    <x v="0"/>
    <n v="2334"/>
    <n v="4"/>
    <x v="24"/>
    <x v="1"/>
    <x v="4"/>
    <n v="980.28"/>
    <n v="1353.72"/>
    <n v="150"/>
    <n v="233.4"/>
    <n v="2334"/>
    <x v="1898"/>
  </r>
  <r>
    <x v="27"/>
    <x v="540"/>
    <x v="2019"/>
    <x v="7"/>
    <x v="2"/>
    <x v="1"/>
    <x v="2"/>
    <x v="0"/>
    <n v="464"/>
    <x v="0"/>
    <n v="464"/>
    <n v="44"/>
    <x v="3"/>
    <x v="0"/>
    <x v="0"/>
    <n v="194.88"/>
    <n v="269.12"/>
    <n v="0"/>
    <n v="0"/>
    <n v="0"/>
    <x v="1705"/>
  </r>
  <r>
    <x v="4"/>
    <x v="540"/>
    <x v="2020"/>
    <x v="2"/>
    <x v="1"/>
    <x v="3"/>
    <x v="6"/>
    <x v="5"/>
    <n v="1045"/>
    <x v="0"/>
    <n v="1045"/>
    <n v="35"/>
    <x v="21"/>
    <x v="0"/>
    <x v="0"/>
    <n v="438.9"/>
    <n v="606.1"/>
    <n v="0"/>
    <n v="0"/>
    <n v="0"/>
    <x v="534"/>
  </r>
  <r>
    <x v="42"/>
    <x v="541"/>
    <x v="2021"/>
    <x v="0"/>
    <x v="5"/>
    <x v="1"/>
    <x v="5"/>
    <x v="2"/>
    <n v="2064"/>
    <x v="0"/>
    <n v="2064"/>
    <n v="49"/>
    <x v="5"/>
    <x v="1"/>
    <x v="7"/>
    <n v="866.88"/>
    <n v="1197.1199999999999"/>
    <n v="150"/>
    <n v="206.4"/>
    <n v="2064"/>
    <x v="503"/>
  </r>
  <r>
    <x v="30"/>
    <x v="541"/>
    <x v="2022"/>
    <x v="7"/>
    <x v="4"/>
    <x v="0"/>
    <x v="5"/>
    <x v="4"/>
    <n v="2298"/>
    <x v="0"/>
    <n v="2298"/>
    <n v="28"/>
    <x v="3"/>
    <x v="1"/>
    <x v="3"/>
    <n v="965.16"/>
    <n v="1332.8400000000001"/>
    <n v="150"/>
    <n v="229.8"/>
    <n v="2298"/>
    <x v="1899"/>
  </r>
  <r>
    <x v="1"/>
    <x v="541"/>
    <x v="2023"/>
    <x v="1"/>
    <x v="1"/>
    <x v="3"/>
    <x v="2"/>
    <x v="1"/>
    <n v="1563"/>
    <x v="0"/>
    <n v="1563"/>
    <n v="33"/>
    <x v="23"/>
    <x v="0"/>
    <x v="0"/>
    <n v="656.45999999999992"/>
    <n v="906.54000000000008"/>
    <n v="0"/>
    <n v="0"/>
    <n v="0"/>
    <x v="1900"/>
  </r>
  <r>
    <x v="25"/>
    <x v="541"/>
    <x v="2024"/>
    <x v="6"/>
    <x v="1"/>
    <x v="0"/>
    <x v="3"/>
    <x v="6"/>
    <n v="1755"/>
    <x v="441"/>
    <n v="1333.8"/>
    <n v="1"/>
    <x v="36"/>
    <x v="0"/>
    <x v="0"/>
    <n v="560.19599999999991"/>
    <n v="773.60400000000004"/>
    <n v="0"/>
    <n v="0"/>
    <n v="0"/>
    <x v="1901"/>
  </r>
  <r>
    <x v="20"/>
    <x v="542"/>
    <x v="2025"/>
    <x v="7"/>
    <x v="1"/>
    <x v="2"/>
    <x v="1"/>
    <x v="5"/>
    <n v="1382"/>
    <x v="0"/>
    <n v="1382"/>
    <n v="9"/>
    <x v="34"/>
    <x v="0"/>
    <x v="0"/>
    <n v="580.43999999999994"/>
    <n v="801.56000000000006"/>
    <n v="0"/>
    <n v="0"/>
    <n v="0"/>
    <x v="1902"/>
  </r>
  <r>
    <x v="40"/>
    <x v="542"/>
    <x v="2026"/>
    <x v="5"/>
    <x v="0"/>
    <x v="3"/>
    <x v="3"/>
    <x v="4"/>
    <n v="4016"/>
    <x v="0"/>
    <n v="4016"/>
    <n v="2"/>
    <x v="10"/>
    <x v="0"/>
    <x v="0"/>
    <n v="1686.72"/>
    <n v="2329.2799999999997"/>
    <n v="0"/>
    <n v="0"/>
    <n v="0"/>
    <x v="1250"/>
  </r>
  <r>
    <x v="41"/>
    <x v="542"/>
    <x v="2027"/>
    <x v="6"/>
    <x v="2"/>
    <x v="0"/>
    <x v="2"/>
    <x v="7"/>
    <n v="251"/>
    <x v="0"/>
    <n v="251"/>
    <n v="30"/>
    <x v="3"/>
    <x v="1"/>
    <x v="4"/>
    <n v="105.42"/>
    <n v="145.57999999999998"/>
    <n v="150"/>
    <n v="25.1"/>
    <n v="251"/>
    <x v="1903"/>
  </r>
  <r>
    <x v="38"/>
    <x v="542"/>
    <x v="2028"/>
    <x v="0"/>
    <x v="1"/>
    <x v="2"/>
    <x v="3"/>
    <x v="7"/>
    <n v="1179"/>
    <x v="0"/>
    <n v="1179"/>
    <n v="41"/>
    <x v="3"/>
    <x v="0"/>
    <x v="0"/>
    <n v="495.18"/>
    <n v="683.81999999999994"/>
    <n v="0"/>
    <n v="0"/>
    <n v="0"/>
    <x v="1904"/>
  </r>
  <r>
    <x v="8"/>
    <x v="542"/>
    <x v="2029"/>
    <x v="1"/>
    <x v="0"/>
    <x v="1"/>
    <x v="2"/>
    <x v="4"/>
    <n v="3648"/>
    <x v="0"/>
    <n v="3648"/>
    <n v="5"/>
    <x v="14"/>
    <x v="0"/>
    <x v="0"/>
    <n v="1532.1599999999999"/>
    <n v="2115.84"/>
    <n v="0"/>
    <n v="0"/>
    <n v="0"/>
    <x v="1108"/>
  </r>
  <r>
    <x v="24"/>
    <x v="543"/>
    <x v="2030"/>
    <x v="5"/>
    <x v="5"/>
    <x v="0"/>
    <x v="4"/>
    <x v="1"/>
    <n v="2175"/>
    <x v="378"/>
    <n v="1733.4749999999999"/>
    <n v="9"/>
    <x v="37"/>
    <x v="0"/>
    <x v="0"/>
    <n v="728.05949999999996"/>
    <n v="1005.4155"/>
    <n v="0"/>
    <n v="0"/>
    <n v="0"/>
    <x v="1905"/>
  </r>
  <r>
    <x v="12"/>
    <x v="543"/>
    <x v="2031"/>
    <x v="1"/>
    <x v="5"/>
    <x v="2"/>
    <x v="2"/>
    <x v="1"/>
    <n v="1978"/>
    <x v="98"/>
    <n v="1093.8339999999998"/>
    <n v="48"/>
    <x v="20"/>
    <x v="0"/>
    <x v="0"/>
    <n v="459.41027999999989"/>
    <n v="634.42372"/>
    <n v="0"/>
    <n v="0"/>
    <n v="0"/>
    <x v="1906"/>
  </r>
  <r>
    <x v="20"/>
    <x v="543"/>
    <x v="2032"/>
    <x v="7"/>
    <x v="1"/>
    <x v="1"/>
    <x v="6"/>
    <x v="1"/>
    <n v="1437"/>
    <x v="0"/>
    <n v="1437"/>
    <n v="21"/>
    <x v="13"/>
    <x v="1"/>
    <x v="4"/>
    <n v="603.54"/>
    <n v="833.46"/>
    <n v="150"/>
    <n v="143.70000000000002"/>
    <n v="1437"/>
    <x v="1741"/>
  </r>
  <r>
    <x v="0"/>
    <x v="544"/>
    <x v="2033"/>
    <x v="0"/>
    <x v="0"/>
    <x v="0"/>
    <x v="3"/>
    <x v="7"/>
    <n v="3024"/>
    <x v="442"/>
    <n v="2222.64"/>
    <n v="12"/>
    <x v="13"/>
    <x v="0"/>
    <x v="0"/>
    <n v="933.50879999999995"/>
    <n v="1289.1311999999998"/>
    <n v="0"/>
    <n v="0"/>
    <n v="0"/>
    <x v="1907"/>
  </r>
  <r>
    <x v="46"/>
    <x v="544"/>
    <x v="2034"/>
    <x v="2"/>
    <x v="3"/>
    <x v="0"/>
    <x v="1"/>
    <x v="7"/>
    <n v="4145"/>
    <x v="163"/>
    <n v="3000.98"/>
    <n v="16"/>
    <x v="3"/>
    <x v="0"/>
    <x v="0"/>
    <n v="1260.4115999999999"/>
    <n v="1740.5684000000001"/>
    <n v="0"/>
    <n v="0"/>
    <n v="0"/>
    <x v="1908"/>
  </r>
  <r>
    <x v="2"/>
    <x v="544"/>
    <x v="2035"/>
    <x v="1"/>
    <x v="2"/>
    <x v="0"/>
    <x v="2"/>
    <x v="0"/>
    <n v="373"/>
    <x v="94"/>
    <n v="318.54199999999997"/>
    <n v="7"/>
    <x v="30"/>
    <x v="0"/>
    <x v="0"/>
    <n v="133.78763999999998"/>
    <n v="184.75435999999999"/>
    <n v="0"/>
    <n v="0"/>
    <n v="0"/>
    <x v="1909"/>
  </r>
  <r>
    <x v="12"/>
    <x v="544"/>
    <x v="2036"/>
    <x v="1"/>
    <x v="5"/>
    <x v="0"/>
    <x v="0"/>
    <x v="2"/>
    <n v="2013"/>
    <x v="279"/>
    <n v="1183.644"/>
    <n v="22"/>
    <x v="3"/>
    <x v="1"/>
    <x v="4"/>
    <n v="497.13047999999998"/>
    <n v="686.51351999999997"/>
    <n v="150"/>
    <n v="118.3644"/>
    <n v="1183.644"/>
    <x v="1910"/>
  </r>
  <r>
    <x v="29"/>
    <x v="545"/>
    <x v="2037"/>
    <x v="5"/>
    <x v="2"/>
    <x v="0"/>
    <x v="2"/>
    <x v="10"/>
    <n v="427"/>
    <x v="290"/>
    <n v="280.53899999999999"/>
    <n v="41"/>
    <x v="3"/>
    <x v="0"/>
    <x v="0"/>
    <n v="117.82637999999999"/>
    <n v="162.71262000000002"/>
    <n v="0"/>
    <n v="0"/>
    <n v="0"/>
    <x v="1911"/>
  </r>
  <r>
    <x v="1"/>
    <x v="545"/>
    <x v="2038"/>
    <x v="1"/>
    <x v="1"/>
    <x v="2"/>
    <x v="0"/>
    <x v="8"/>
    <n v="1351"/>
    <x v="0"/>
    <n v="1351"/>
    <n v="49"/>
    <x v="32"/>
    <x v="0"/>
    <x v="0"/>
    <n v="567.41999999999996"/>
    <n v="783.58"/>
    <n v="0"/>
    <n v="0"/>
    <n v="0"/>
    <x v="1912"/>
  </r>
  <r>
    <x v="3"/>
    <x v="545"/>
    <x v="2039"/>
    <x v="1"/>
    <x v="3"/>
    <x v="2"/>
    <x v="3"/>
    <x v="0"/>
    <n v="4280"/>
    <x v="0"/>
    <n v="4280"/>
    <n v="35"/>
    <x v="1"/>
    <x v="0"/>
    <x v="0"/>
    <n v="1797.6"/>
    <n v="2482.4"/>
    <n v="0"/>
    <n v="0"/>
    <n v="0"/>
    <x v="1913"/>
  </r>
  <r>
    <x v="24"/>
    <x v="545"/>
    <x v="2040"/>
    <x v="5"/>
    <x v="5"/>
    <x v="3"/>
    <x v="0"/>
    <x v="7"/>
    <n v="2101"/>
    <x v="443"/>
    <n v="930.74299999999994"/>
    <n v="6"/>
    <x v="38"/>
    <x v="1"/>
    <x v="6"/>
    <n v="390.91205999999994"/>
    <n v="539.83094000000006"/>
    <n v="150"/>
    <n v="93.074299999999994"/>
    <n v="930.74299999999994"/>
    <x v="1914"/>
  </r>
  <r>
    <x v="25"/>
    <x v="546"/>
    <x v="2041"/>
    <x v="6"/>
    <x v="1"/>
    <x v="0"/>
    <x v="3"/>
    <x v="10"/>
    <n v="1628"/>
    <x v="208"/>
    <n v="1198.2080000000001"/>
    <n v="47"/>
    <x v="29"/>
    <x v="1"/>
    <x v="5"/>
    <n v="503.24736000000001"/>
    <n v="694.96064000000001"/>
    <n v="150"/>
    <n v="119.82080000000002"/>
    <n v="1198.2080000000001"/>
    <x v="1915"/>
  </r>
  <r>
    <x v="33"/>
    <x v="546"/>
    <x v="2042"/>
    <x v="7"/>
    <x v="0"/>
    <x v="1"/>
    <x v="1"/>
    <x v="4"/>
    <n v="3837"/>
    <x v="0"/>
    <n v="3837"/>
    <n v="0"/>
    <x v="26"/>
    <x v="0"/>
    <x v="0"/>
    <n v="1611.54"/>
    <n v="2225.46"/>
    <n v="0"/>
    <n v="0"/>
    <n v="0"/>
    <x v="1916"/>
  </r>
  <r>
    <x v="46"/>
    <x v="546"/>
    <x v="2043"/>
    <x v="2"/>
    <x v="3"/>
    <x v="2"/>
    <x v="1"/>
    <x v="5"/>
    <n v="3131"/>
    <x v="0"/>
    <n v="3131"/>
    <n v="0"/>
    <x v="26"/>
    <x v="0"/>
    <x v="0"/>
    <n v="1315.02"/>
    <n v="1815.98"/>
    <n v="0"/>
    <n v="0"/>
    <n v="0"/>
    <x v="1917"/>
  </r>
  <r>
    <x v="15"/>
    <x v="547"/>
    <x v="2044"/>
    <x v="5"/>
    <x v="1"/>
    <x v="2"/>
    <x v="6"/>
    <x v="6"/>
    <n v="1419"/>
    <x v="78"/>
    <n v="622.94099999999992"/>
    <n v="16"/>
    <x v="3"/>
    <x v="1"/>
    <x v="3"/>
    <n v="261.63521999999995"/>
    <n v="361.30577999999997"/>
    <n v="150"/>
    <n v="62.294099999999993"/>
    <n v="622.94099999999992"/>
    <x v="1918"/>
  </r>
  <r>
    <x v="24"/>
    <x v="547"/>
    <x v="2045"/>
    <x v="5"/>
    <x v="5"/>
    <x v="2"/>
    <x v="4"/>
    <x v="9"/>
    <n v="2803"/>
    <x v="0"/>
    <n v="2803"/>
    <n v="36"/>
    <x v="13"/>
    <x v="1"/>
    <x v="3"/>
    <n v="1177.26"/>
    <n v="1625.74"/>
    <n v="150"/>
    <n v="280.3"/>
    <n v="2803"/>
    <x v="1919"/>
  </r>
  <r>
    <x v="28"/>
    <x v="547"/>
    <x v="2046"/>
    <x v="3"/>
    <x v="3"/>
    <x v="0"/>
    <x v="3"/>
    <x v="2"/>
    <n v="3250"/>
    <x v="359"/>
    <n v="2223"/>
    <n v="38"/>
    <x v="10"/>
    <x v="0"/>
    <x v="0"/>
    <n v="933.66"/>
    <n v="1289.3400000000001"/>
    <n v="0"/>
    <n v="0"/>
    <n v="0"/>
    <x v="1920"/>
  </r>
  <r>
    <x v="7"/>
    <x v="547"/>
    <x v="2047"/>
    <x v="3"/>
    <x v="5"/>
    <x v="3"/>
    <x v="3"/>
    <x v="9"/>
    <n v="1845"/>
    <x v="444"/>
    <n v="1392.9749999999999"/>
    <n v="40"/>
    <x v="10"/>
    <x v="0"/>
    <x v="0"/>
    <n v="585.04949999999997"/>
    <n v="807.92549999999994"/>
    <n v="0"/>
    <n v="0"/>
    <n v="0"/>
    <x v="1921"/>
  </r>
  <r>
    <x v="23"/>
    <x v="548"/>
    <x v="2048"/>
    <x v="6"/>
    <x v="4"/>
    <x v="2"/>
    <x v="6"/>
    <x v="9"/>
    <n v="2683"/>
    <x v="116"/>
    <n v="2393.2359999999999"/>
    <n v="33"/>
    <x v="41"/>
    <x v="0"/>
    <x v="0"/>
    <n v="1005.1591199999999"/>
    <n v="1388.0768800000001"/>
    <n v="0"/>
    <n v="0"/>
    <n v="0"/>
    <x v="1922"/>
  </r>
  <r>
    <x v="7"/>
    <x v="548"/>
    <x v="2049"/>
    <x v="3"/>
    <x v="5"/>
    <x v="1"/>
    <x v="1"/>
    <x v="8"/>
    <n v="2880"/>
    <x v="175"/>
    <n v="1491.8400000000001"/>
    <n v="49"/>
    <x v="26"/>
    <x v="0"/>
    <x v="0"/>
    <n v="626.57280000000003"/>
    <n v="865.26720000000012"/>
    <n v="0"/>
    <n v="0"/>
    <n v="0"/>
    <x v="1923"/>
  </r>
  <r>
    <x v="46"/>
    <x v="548"/>
    <x v="2050"/>
    <x v="2"/>
    <x v="3"/>
    <x v="1"/>
    <x v="4"/>
    <x v="4"/>
    <n v="3566"/>
    <x v="0"/>
    <n v="3566"/>
    <n v="12"/>
    <x v="3"/>
    <x v="1"/>
    <x v="4"/>
    <n v="1497.72"/>
    <n v="2068.2799999999997"/>
    <n v="150"/>
    <n v="356.6"/>
    <n v="3566"/>
    <x v="1524"/>
  </r>
  <r>
    <x v="26"/>
    <x v="549"/>
    <x v="2051"/>
    <x v="0"/>
    <x v="3"/>
    <x v="1"/>
    <x v="6"/>
    <x v="8"/>
    <n v="3501"/>
    <x v="445"/>
    <n v="2772.7919999999999"/>
    <n v="3"/>
    <x v="4"/>
    <x v="1"/>
    <x v="5"/>
    <n v="1164.5726399999999"/>
    <n v="1608.2193600000001"/>
    <n v="150"/>
    <n v="277.2792"/>
    <n v="2772.7919999999999"/>
    <x v="1924"/>
  </r>
  <r>
    <x v="5"/>
    <x v="549"/>
    <x v="2052"/>
    <x v="0"/>
    <x v="2"/>
    <x v="3"/>
    <x v="2"/>
    <x v="1"/>
    <n v="260"/>
    <x v="0"/>
    <n v="260"/>
    <n v="49"/>
    <x v="19"/>
    <x v="0"/>
    <x v="0"/>
    <n v="109.2"/>
    <n v="150.80000000000001"/>
    <n v="0"/>
    <n v="0"/>
    <n v="0"/>
    <x v="853"/>
  </r>
  <r>
    <x v="8"/>
    <x v="549"/>
    <x v="2053"/>
    <x v="1"/>
    <x v="0"/>
    <x v="3"/>
    <x v="3"/>
    <x v="1"/>
    <n v="4094"/>
    <x v="0"/>
    <n v="4094"/>
    <n v="43"/>
    <x v="22"/>
    <x v="0"/>
    <x v="0"/>
    <n v="1719.48"/>
    <n v="2374.52"/>
    <n v="0"/>
    <n v="0"/>
    <n v="0"/>
    <x v="1925"/>
  </r>
  <r>
    <x v="31"/>
    <x v="549"/>
    <x v="2054"/>
    <x v="2"/>
    <x v="2"/>
    <x v="3"/>
    <x v="2"/>
    <x v="2"/>
    <n v="487"/>
    <x v="0"/>
    <n v="487"/>
    <n v="18"/>
    <x v="3"/>
    <x v="0"/>
    <x v="0"/>
    <n v="204.54"/>
    <n v="282.46000000000004"/>
    <n v="0"/>
    <n v="0"/>
    <n v="0"/>
    <x v="1926"/>
  </r>
  <r>
    <x v="2"/>
    <x v="550"/>
    <x v="2055"/>
    <x v="1"/>
    <x v="2"/>
    <x v="3"/>
    <x v="2"/>
    <x v="6"/>
    <n v="359"/>
    <x v="393"/>
    <n v="315.92"/>
    <n v="18"/>
    <x v="35"/>
    <x v="1"/>
    <x v="3"/>
    <n v="132.68639999999999"/>
    <n v="183.23360000000002"/>
    <n v="150"/>
    <n v="31.592000000000002"/>
    <n v="315.92"/>
    <x v="1927"/>
  </r>
  <r>
    <x v="46"/>
    <x v="550"/>
    <x v="2056"/>
    <x v="2"/>
    <x v="3"/>
    <x v="1"/>
    <x v="2"/>
    <x v="11"/>
    <n v="3579"/>
    <x v="174"/>
    <n v="2011.3980000000001"/>
    <n v="28"/>
    <x v="22"/>
    <x v="0"/>
    <x v="0"/>
    <n v="844.78715999999997"/>
    <n v="1166.6108400000003"/>
    <n v="0"/>
    <n v="0"/>
    <n v="0"/>
    <x v="1928"/>
  </r>
  <r>
    <x v="13"/>
    <x v="550"/>
    <x v="2057"/>
    <x v="3"/>
    <x v="2"/>
    <x v="0"/>
    <x v="2"/>
    <x v="1"/>
    <n v="481"/>
    <x v="0"/>
    <n v="481"/>
    <n v="16"/>
    <x v="30"/>
    <x v="0"/>
    <x v="0"/>
    <n v="202.01999999999998"/>
    <n v="278.98"/>
    <n v="0"/>
    <n v="0"/>
    <n v="0"/>
    <x v="1670"/>
  </r>
  <r>
    <x v="35"/>
    <x v="550"/>
    <x v="2058"/>
    <x v="4"/>
    <x v="1"/>
    <x v="2"/>
    <x v="6"/>
    <x v="6"/>
    <n v="1288"/>
    <x v="161"/>
    <n v="591.19200000000001"/>
    <n v="15"/>
    <x v="1"/>
    <x v="0"/>
    <x v="0"/>
    <n v="248.30063999999999"/>
    <n v="342.89136000000002"/>
    <n v="0"/>
    <n v="0"/>
    <n v="0"/>
    <x v="1929"/>
  </r>
  <r>
    <x v="37"/>
    <x v="551"/>
    <x v="2059"/>
    <x v="4"/>
    <x v="3"/>
    <x v="2"/>
    <x v="1"/>
    <x v="3"/>
    <n v="4064"/>
    <x v="0"/>
    <n v="4064"/>
    <n v="25"/>
    <x v="14"/>
    <x v="0"/>
    <x v="0"/>
    <n v="1706.8799999999999"/>
    <n v="2357.12"/>
    <n v="0"/>
    <n v="0"/>
    <n v="0"/>
    <x v="1930"/>
  </r>
  <r>
    <x v="17"/>
    <x v="551"/>
    <x v="2060"/>
    <x v="2"/>
    <x v="0"/>
    <x v="3"/>
    <x v="4"/>
    <x v="2"/>
    <n v="3763"/>
    <x v="146"/>
    <n v="2084.7020000000002"/>
    <n v="15"/>
    <x v="12"/>
    <x v="0"/>
    <x v="0"/>
    <n v="875.57484000000011"/>
    <n v="1209.12716"/>
    <n v="0"/>
    <n v="0"/>
    <n v="0"/>
    <x v="1931"/>
  </r>
  <r>
    <x v="13"/>
    <x v="551"/>
    <x v="2061"/>
    <x v="3"/>
    <x v="2"/>
    <x v="2"/>
    <x v="2"/>
    <x v="8"/>
    <n v="375"/>
    <x v="0"/>
    <n v="375"/>
    <n v="38"/>
    <x v="30"/>
    <x v="1"/>
    <x v="3"/>
    <n v="157.5"/>
    <n v="217.5"/>
    <n v="150"/>
    <n v="37.5"/>
    <n v="375"/>
    <x v="1932"/>
  </r>
  <r>
    <x v="47"/>
    <x v="551"/>
    <x v="2062"/>
    <x v="4"/>
    <x v="2"/>
    <x v="2"/>
    <x v="2"/>
    <x v="8"/>
    <n v="318"/>
    <x v="0"/>
    <n v="318"/>
    <n v="15"/>
    <x v="16"/>
    <x v="1"/>
    <x v="3"/>
    <n v="133.56"/>
    <n v="184.44"/>
    <n v="150"/>
    <n v="31.8"/>
    <n v="318"/>
    <x v="1933"/>
  </r>
  <r>
    <x v="3"/>
    <x v="552"/>
    <x v="2063"/>
    <x v="1"/>
    <x v="3"/>
    <x v="0"/>
    <x v="1"/>
    <x v="11"/>
    <n v="3560"/>
    <x v="0"/>
    <n v="3560"/>
    <n v="24"/>
    <x v="3"/>
    <x v="0"/>
    <x v="0"/>
    <n v="1495.2"/>
    <n v="2064.8000000000002"/>
    <n v="0"/>
    <n v="0"/>
    <n v="0"/>
    <x v="1934"/>
  </r>
  <r>
    <x v="20"/>
    <x v="552"/>
    <x v="2064"/>
    <x v="7"/>
    <x v="1"/>
    <x v="0"/>
    <x v="5"/>
    <x v="1"/>
    <n v="1515"/>
    <x v="0"/>
    <n v="1515"/>
    <n v="25"/>
    <x v="33"/>
    <x v="1"/>
    <x v="3"/>
    <n v="636.29999999999995"/>
    <n v="878.7"/>
    <n v="150"/>
    <n v="151.5"/>
    <n v="1515"/>
    <x v="1935"/>
  </r>
  <r>
    <x v="6"/>
    <x v="552"/>
    <x v="2065"/>
    <x v="0"/>
    <x v="4"/>
    <x v="1"/>
    <x v="0"/>
    <x v="1"/>
    <n v="2811"/>
    <x v="0"/>
    <n v="2811"/>
    <n v="49"/>
    <x v="3"/>
    <x v="0"/>
    <x v="0"/>
    <n v="1180.6199999999999"/>
    <n v="1630.38"/>
    <n v="0"/>
    <n v="0"/>
    <n v="0"/>
    <x v="1936"/>
  </r>
  <r>
    <x v="32"/>
    <x v="553"/>
    <x v="2066"/>
    <x v="4"/>
    <x v="4"/>
    <x v="0"/>
    <x v="3"/>
    <x v="10"/>
    <n v="2751"/>
    <x v="0"/>
    <n v="2751"/>
    <n v="9"/>
    <x v="32"/>
    <x v="0"/>
    <x v="0"/>
    <n v="1155.4199999999998"/>
    <n v="1595.5800000000002"/>
    <n v="0"/>
    <n v="0"/>
    <n v="0"/>
    <x v="1937"/>
  </r>
  <r>
    <x v="35"/>
    <x v="553"/>
    <x v="2067"/>
    <x v="4"/>
    <x v="1"/>
    <x v="1"/>
    <x v="0"/>
    <x v="1"/>
    <n v="1598"/>
    <x v="261"/>
    <n v="1102.6199999999999"/>
    <n v="25"/>
    <x v="3"/>
    <x v="0"/>
    <x v="0"/>
    <n v="463.10039999999992"/>
    <n v="639.51959999999997"/>
    <n v="0"/>
    <n v="0"/>
    <n v="0"/>
    <x v="1938"/>
  </r>
  <r>
    <x v="27"/>
    <x v="553"/>
    <x v="2068"/>
    <x v="7"/>
    <x v="2"/>
    <x v="3"/>
    <x v="2"/>
    <x v="11"/>
    <n v="480"/>
    <x v="0"/>
    <n v="480"/>
    <n v="27"/>
    <x v="35"/>
    <x v="1"/>
    <x v="3"/>
    <n v="201.6"/>
    <n v="278.39999999999998"/>
    <n v="150"/>
    <n v="48"/>
    <n v="480"/>
    <x v="1939"/>
  </r>
  <r>
    <x v="37"/>
    <x v="553"/>
    <x v="2069"/>
    <x v="4"/>
    <x v="3"/>
    <x v="0"/>
    <x v="4"/>
    <x v="4"/>
    <n v="4170"/>
    <x v="305"/>
    <n v="3702.96"/>
    <n v="23"/>
    <x v="3"/>
    <x v="0"/>
    <x v="0"/>
    <n v="1555.2431999999999"/>
    <n v="2147.7168000000001"/>
    <n v="0"/>
    <n v="0"/>
    <n v="0"/>
    <x v="1940"/>
  </r>
  <r>
    <x v="7"/>
    <x v="554"/>
    <x v="2070"/>
    <x v="3"/>
    <x v="5"/>
    <x v="0"/>
    <x v="0"/>
    <x v="1"/>
    <n v="1930"/>
    <x v="80"/>
    <n v="1601.8999999999999"/>
    <n v="5"/>
    <x v="31"/>
    <x v="0"/>
    <x v="0"/>
    <n v="672.79799999999989"/>
    <n v="929.10199999999998"/>
    <n v="0"/>
    <n v="0"/>
    <n v="0"/>
    <x v="1941"/>
  </r>
  <r>
    <x v="2"/>
    <x v="554"/>
    <x v="2071"/>
    <x v="1"/>
    <x v="2"/>
    <x v="3"/>
    <x v="2"/>
    <x v="1"/>
    <n v="246"/>
    <x v="0"/>
    <n v="246"/>
    <n v="0"/>
    <x v="32"/>
    <x v="0"/>
    <x v="0"/>
    <n v="103.32"/>
    <n v="142.68"/>
    <n v="0"/>
    <n v="0"/>
    <n v="0"/>
    <x v="1942"/>
  </r>
  <r>
    <x v="21"/>
    <x v="554"/>
    <x v="2072"/>
    <x v="1"/>
    <x v="4"/>
    <x v="1"/>
    <x v="6"/>
    <x v="2"/>
    <n v="2619"/>
    <x v="0"/>
    <n v="2619"/>
    <n v="37"/>
    <x v="33"/>
    <x v="0"/>
    <x v="0"/>
    <n v="1099.98"/>
    <n v="1519.02"/>
    <n v="0"/>
    <n v="0"/>
    <n v="0"/>
    <x v="718"/>
  </r>
  <r>
    <x v="27"/>
    <x v="554"/>
    <x v="2073"/>
    <x v="7"/>
    <x v="2"/>
    <x v="3"/>
    <x v="2"/>
    <x v="7"/>
    <n v="424"/>
    <x v="0"/>
    <n v="424"/>
    <n v="21"/>
    <x v="5"/>
    <x v="0"/>
    <x v="0"/>
    <n v="178.07999999999998"/>
    <n v="245.92000000000002"/>
    <n v="0"/>
    <n v="0"/>
    <n v="0"/>
    <x v="898"/>
  </r>
  <r>
    <x v="35"/>
    <x v="555"/>
    <x v="2074"/>
    <x v="4"/>
    <x v="1"/>
    <x v="3"/>
    <x v="6"/>
    <x v="11"/>
    <n v="1663"/>
    <x v="0"/>
    <n v="1663"/>
    <n v="18"/>
    <x v="5"/>
    <x v="1"/>
    <x v="4"/>
    <n v="698.45999999999992"/>
    <n v="964.54000000000008"/>
    <n v="150"/>
    <n v="166.3"/>
    <n v="1663"/>
    <x v="1943"/>
  </r>
  <r>
    <x v="33"/>
    <x v="555"/>
    <x v="2075"/>
    <x v="7"/>
    <x v="0"/>
    <x v="2"/>
    <x v="3"/>
    <x v="4"/>
    <n v="4136"/>
    <x v="0"/>
    <n v="4136"/>
    <n v="46"/>
    <x v="14"/>
    <x v="1"/>
    <x v="5"/>
    <n v="1737.12"/>
    <n v="2398.88"/>
    <n v="150"/>
    <n v="413.6"/>
    <n v="4136"/>
    <x v="1944"/>
  </r>
  <r>
    <x v="40"/>
    <x v="555"/>
    <x v="2076"/>
    <x v="5"/>
    <x v="0"/>
    <x v="0"/>
    <x v="0"/>
    <x v="6"/>
    <n v="4199"/>
    <x v="0"/>
    <n v="4199"/>
    <n v="5"/>
    <x v="3"/>
    <x v="0"/>
    <x v="0"/>
    <n v="1763.58"/>
    <n v="2435.42"/>
    <n v="0"/>
    <n v="0"/>
    <n v="0"/>
    <x v="1945"/>
  </r>
  <r>
    <x v="3"/>
    <x v="555"/>
    <x v="2077"/>
    <x v="1"/>
    <x v="3"/>
    <x v="3"/>
    <x v="0"/>
    <x v="2"/>
    <n v="3075"/>
    <x v="0"/>
    <n v="3075"/>
    <n v="13"/>
    <x v="3"/>
    <x v="1"/>
    <x v="6"/>
    <n v="1291.5"/>
    <n v="1783.5"/>
    <n v="150"/>
    <n v="307.5"/>
    <n v="3075"/>
    <x v="285"/>
  </r>
  <r>
    <x v="14"/>
    <x v="556"/>
    <x v="2078"/>
    <x v="6"/>
    <x v="3"/>
    <x v="1"/>
    <x v="4"/>
    <x v="7"/>
    <n v="3053"/>
    <x v="0"/>
    <n v="3053"/>
    <n v="47"/>
    <x v="10"/>
    <x v="0"/>
    <x v="0"/>
    <n v="1282.26"/>
    <n v="1770.74"/>
    <n v="0"/>
    <n v="0"/>
    <n v="0"/>
    <x v="1946"/>
  </r>
  <r>
    <x v="29"/>
    <x v="556"/>
    <x v="2079"/>
    <x v="5"/>
    <x v="2"/>
    <x v="0"/>
    <x v="2"/>
    <x v="3"/>
    <n v="327"/>
    <x v="0"/>
    <n v="327"/>
    <n v="11"/>
    <x v="36"/>
    <x v="0"/>
    <x v="0"/>
    <n v="137.34"/>
    <n v="189.66"/>
    <n v="0"/>
    <n v="0"/>
    <n v="0"/>
    <x v="456"/>
  </r>
  <r>
    <x v="27"/>
    <x v="556"/>
    <x v="2080"/>
    <x v="7"/>
    <x v="2"/>
    <x v="1"/>
    <x v="2"/>
    <x v="1"/>
    <n v="310"/>
    <x v="0"/>
    <n v="310"/>
    <n v="6"/>
    <x v="23"/>
    <x v="1"/>
    <x v="3"/>
    <n v="130.19999999999999"/>
    <n v="179.8"/>
    <n v="150"/>
    <n v="31"/>
    <n v="310"/>
    <x v="1947"/>
  </r>
  <r>
    <x v="6"/>
    <x v="556"/>
    <x v="2081"/>
    <x v="0"/>
    <x v="4"/>
    <x v="0"/>
    <x v="3"/>
    <x v="1"/>
    <n v="2359"/>
    <x v="176"/>
    <n v="1493.2470000000001"/>
    <n v="18"/>
    <x v="23"/>
    <x v="0"/>
    <x v="0"/>
    <n v="627.16373999999996"/>
    <n v="866.08326000000011"/>
    <n v="0"/>
    <n v="0"/>
    <n v="0"/>
    <x v="1948"/>
  </r>
  <r>
    <x v="14"/>
    <x v="557"/>
    <x v="2082"/>
    <x v="6"/>
    <x v="3"/>
    <x v="3"/>
    <x v="2"/>
    <x v="5"/>
    <n v="3867"/>
    <x v="6"/>
    <n v="1604.8050000000001"/>
    <n v="19"/>
    <x v="37"/>
    <x v="1"/>
    <x v="6"/>
    <n v="674.0181"/>
    <n v="930.78690000000006"/>
    <n v="150"/>
    <n v="160.48050000000001"/>
    <n v="1604.8050000000001"/>
    <x v="1949"/>
  </r>
  <r>
    <x v="44"/>
    <x v="557"/>
    <x v="2083"/>
    <x v="6"/>
    <x v="5"/>
    <x v="3"/>
    <x v="3"/>
    <x v="0"/>
    <n v="1863"/>
    <x v="233"/>
    <n v="1205.3610000000001"/>
    <n v="12"/>
    <x v="2"/>
    <x v="0"/>
    <x v="0"/>
    <n v="506.25162"/>
    <n v="699.1093800000001"/>
    <n v="0"/>
    <n v="0"/>
    <n v="0"/>
    <x v="1950"/>
  </r>
  <r>
    <x v="34"/>
    <x v="557"/>
    <x v="2084"/>
    <x v="6"/>
    <x v="0"/>
    <x v="0"/>
    <x v="5"/>
    <x v="0"/>
    <n v="3847"/>
    <x v="0"/>
    <n v="3847"/>
    <n v="30"/>
    <x v="40"/>
    <x v="0"/>
    <x v="0"/>
    <n v="1615.74"/>
    <n v="2231.2600000000002"/>
    <n v="0"/>
    <n v="0"/>
    <n v="0"/>
    <x v="1951"/>
  </r>
  <r>
    <x v="27"/>
    <x v="558"/>
    <x v="2085"/>
    <x v="7"/>
    <x v="2"/>
    <x v="3"/>
    <x v="2"/>
    <x v="9"/>
    <n v="284"/>
    <x v="91"/>
    <n v="148.816"/>
    <n v="42"/>
    <x v="8"/>
    <x v="0"/>
    <x v="0"/>
    <n v="62.502719999999997"/>
    <n v="86.313280000000006"/>
    <n v="0"/>
    <n v="0"/>
    <n v="0"/>
    <x v="1952"/>
  </r>
  <r>
    <x v="28"/>
    <x v="558"/>
    <x v="2086"/>
    <x v="3"/>
    <x v="3"/>
    <x v="1"/>
    <x v="6"/>
    <x v="2"/>
    <n v="4098"/>
    <x v="0"/>
    <n v="4098"/>
    <n v="27"/>
    <x v="3"/>
    <x v="0"/>
    <x v="0"/>
    <n v="1721.1599999999999"/>
    <n v="2376.84"/>
    <n v="0"/>
    <n v="0"/>
    <n v="0"/>
    <x v="1953"/>
  </r>
  <r>
    <x v="32"/>
    <x v="558"/>
    <x v="2087"/>
    <x v="4"/>
    <x v="4"/>
    <x v="2"/>
    <x v="3"/>
    <x v="5"/>
    <n v="2870"/>
    <x v="0"/>
    <n v="2870"/>
    <n v="32"/>
    <x v="32"/>
    <x v="0"/>
    <x v="0"/>
    <n v="1205.3999999999999"/>
    <n v="1664.6000000000001"/>
    <n v="0"/>
    <n v="0"/>
    <n v="0"/>
    <x v="1954"/>
  </r>
  <r>
    <x v="39"/>
    <x v="558"/>
    <x v="2088"/>
    <x v="7"/>
    <x v="5"/>
    <x v="1"/>
    <x v="5"/>
    <x v="1"/>
    <n v="2787"/>
    <x v="0"/>
    <n v="2787"/>
    <n v="7"/>
    <x v="26"/>
    <x v="1"/>
    <x v="4"/>
    <n v="1170.54"/>
    <n v="1616.46"/>
    <n v="150"/>
    <n v="278.7"/>
    <n v="2787"/>
    <x v="1955"/>
  </r>
  <r>
    <x v="34"/>
    <x v="559"/>
    <x v="2089"/>
    <x v="6"/>
    <x v="0"/>
    <x v="1"/>
    <x v="3"/>
    <x v="0"/>
    <n v="3421"/>
    <x v="0"/>
    <n v="3421"/>
    <n v="5"/>
    <x v="35"/>
    <x v="0"/>
    <x v="0"/>
    <n v="1436.82"/>
    <n v="1984.18"/>
    <n v="0"/>
    <n v="0"/>
    <n v="0"/>
    <x v="1956"/>
  </r>
  <r>
    <x v="30"/>
    <x v="559"/>
    <x v="2090"/>
    <x v="7"/>
    <x v="4"/>
    <x v="2"/>
    <x v="1"/>
    <x v="4"/>
    <n v="2409"/>
    <x v="0"/>
    <n v="2409"/>
    <n v="26"/>
    <x v="21"/>
    <x v="0"/>
    <x v="0"/>
    <n v="1011.78"/>
    <n v="1397.22"/>
    <n v="0"/>
    <n v="0"/>
    <n v="0"/>
    <x v="1957"/>
  </r>
  <r>
    <x v="41"/>
    <x v="559"/>
    <x v="2091"/>
    <x v="6"/>
    <x v="2"/>
    <x v="3"/>
    <x v="2"/>
    <x v="4"/>
    <n v="260"/>
    <x v="0"/>
    <n v="260"/>
    <n v="33"/>
    <x v="3"/>
    <x v="0"/>
    <x v="0"/>
    <n v="109.2"/>
    <n v="150.80000000000001"/>
    <n v="0"/>
    <n v="0"/>
    <n v="0"/>
    <x v="853"/>
  </r>
  <r>
    <x v="11"/>
    <x v="559"/>
    <x v="2092"/>
    <x v="5"/>
    <x v="4"/>
    <x v="0"/>
    <x v="6"/>
    <x v="8"/>
    <n v="3000"/>
    <x v="0"/>
    <n v="3000"/>
    <n v="20"/>
    <x v="29"/>
    <x v="0"/>
    <x v="0"/>
    <n v="1260"/>
    <n v="1740"/>
    <n v="0"/>
    <n v="0"/>
    <n v="0"/>
    <x v="1065"/>
  </r>
  <r>
    <x v="18"/>
    <x v="560"/>
    <x v="2093"/>
    <x v="3"/>
    <x v="4"/>
    <x v="2"/>
    <x v="4"/>
    <x v="0"/>
    <n v="2873"/>
    <x v="446"/>
    <n v="2235.194"/>
    <n v="35"/>
    <x v="12"/>
    <x v="1"/>
    <x v="4"/>
    <n v="938.78147999999999"/>
    <n v="1296.4125199999999"/>
    <n v="150"/>
    <n v="223.51940000000002"/>
    <n v="2235.194"/>
    <x v="1958"/>
  </r>
  <r>
    <x v="27"/>
    <x v="560"/>
    <x v="2094"/>
    <x v="7"/>
    <x v="2"/>
    <x v="3"/>
    <x v="2"/>
    <x v="6"/>
    <n v="186"/>
    <x v="0"/>
    <n v="186"/>
    <n v="41"/>
    <x v="5"/>
    <x v="1"/>
    <x v="3"/>
    <n v="78.11999999999999"/>
    <n v="107.88000000000001"/>
    <n v="150"/>
    <n v="18.600000000000001"/>
    <n v="186"/>
    <x v="1959"/>
  </r>
  <r>
    <x v="23"/>
    <x v="560"/>
    <x v="2095"/>
    <x v="6"/>
    <x v="4"/>
    <x v="1"/>
    <x v="6"/>
    <x v="6"/>
    <n v="2646"/>
    <x v="447"/>
    <n v="1833.6780000000001"/>
    <n v="10"/>
    <x v="34"/>
    <x v="1"/>
    <x v="3"/>
    <n v="770.14476000000002"/>
    <n v="1063.5332400000002"/>
    <n v="150"/>
    <n v="183.36780000000002"/>
    <n v="1833.6780000000001"/>
    <x v="1960"/>
  </r>
  <r>
    <x v="3"/>
    <x v="560"/>
    <x v="2096"/>
    <x v="1"/>
    <x v="3"/>
    <x v="0"/>
    <x v="1"/>
    <x v="10"/>
    <n v="3414"/>
    <x v="0"/>
    <n v="3414"/>
    <n v="27"/>
    <x v="38"/>
    <x v="0"/>
    <x v="0"/>
    <n v="1433.8799999999999"/>
    <n v="1980.1200000000001"/>
    <n v="0"/>
    <n v="0"/>
    <n v="0"/>
    <x v="1961"/>
  </r>
  <r>
    <x v="17"/>
    <x v="561"/>
    <x v="2097"/>
    <x v="2"/>
    <x v="0"/>
    <x v="1"/>
    <x v="1"/>
    <x v="1"/>
    <n v="3801"/>
    <x v="0"/>
    <n v="3801"/>
    <n v="30"/>
    <x v="5"/>
    <x v="0"/>
    <x v="0"/>
    <n v="1596.4199999999998"/>
    <n v="2204.58"/>
    <n v="0"/>
    <n v="0"/>
    <n v="0"/>
    <x v="1962"/>
  </r>
  <r>
    <x v="28"/>
    <x v="561"/>
    <x v="2098"/>
    <x v="3"/>
    <x v="3"/>
    <x v="2"/>
    <x v="6"/>
    <x v="11"/>
    <n v="4399"/>
    <x v="0"/>
    <n v="4399"/>
    <n v="46"/>
    <x v="24"/>
    <x v="0"/>
    <x v="0"/>
    <n v="1847.58"/>
    <n v="2551.42"/>
    <n v="0"/>
    <n v="0"/>
    <n v="0"/>
    <x v="1963"/>
  </r>
  <r>
    <x v="30"/>
    <x v="561"/>
    <x v="2099"/>
    <x v="7"/>
    <x v="4"/>
    <x v="0"/>
    <x v="0"/>
    <x v="6"/>
    <n v="2387"/>
    <x v="0"/>
    <n v="2387"/>
    <n v="35"/>
    <x v="41"/>
    <x v="0"/>
    <x v="0"/>
    <n v="1002.54"/>
    <n v="1384.46"/>
    <n v="0"/>
    <n v="0"/>
    <n v="0"/>
    <x v="1964"/>
  </r>
  <r>
    <x v="20"/>
    <x v="561"/>
    <x v="2100"/>
    <x v="7"/>
    <x v="1"/>
    <x v="2"/>
    <x v="4"/>
    <x v="2"/>
    <n v="1310"/>
    <x v="0"/>
    <n v="1310"/>
    <n v="27"/>
    <x v="7"/>
    <x v="0"/>
    <x v="0"/>
    <n v="550.19999999999993"/>
    <n v="759.80000000000007"/>
    <n v="0"/>
    <n v="0"/>
    <n v="0"/>
    <x v="1965"/>
  </r>
  <r>
    <x v="2"/>
    <x v="562"/>
    <x v="2101"/>
    <x v="1"/>
    <x v="2"/>
    <x v="2"/>
    <x v="2"/>
    <x v="4"/>
    <n v="374"/>
    <x v="0"/>
    <n v="374"/>
    <n v="47"/>
    <x v="14"/>
    <x v="0"/>
    <x v="0"/>
    <n v="157.07999999999998"/>
    <n v="216.92000000000002"/>
    <n v="0"/>
    <n v="0"/>
    <n v="0"/>
    <x v="1966"/>
  </r>
  <r>
    <x v="6"/>
    <x v="562"/>
    <x v="2102"/>
    <x v="0"/>
    <x v="4"/>
    <x v="3"/>
    <x v="5"/>
    <x v="10"/>
    <n v="2515"/>
    <x v="0"/>
    <n v="2515"/>
    <n v="26"/>
    <x v="35"/>
    <x v="1"/>
    <x v="3"/>
    <n v="1056.3"/>
    <n v="1458.7"/>
    <n v="150"/>
    <n v="251.5"/>
    <n v="2515"/>
    <x v="725"/>
  </r>
  <r>
    <x v="38"/>
    <x v="562"/>
    <x v="2103"/>
    <x v="0"/>
    <x v="1"/>
    <x v="0"/>
    <x v="5"/>
    <x v="8"/>
    <n v="926"/>
    <x v="0"/>
    <n v="926"/>
    <n v="1"/>
    <x v="10"/>
    <x v="1"/>
    <x v="3"/>
    <n v="388.91999999999996"/>
    <n v="537.08000000000004"/>
    <n v="150"/>
    <n v="92.600000000000009"/>
    <n v="926"/>
    <x v="1967"/>
  </r>
  <r>
    <x v="13"/>
    <x v="562"/>
    <x v="2104"/>
    <x v="3"/>
    <x v="2"/>
    <x v="3"/>
    <x v="2"/>
    <x v="5"/>
    <n v="470"/>
    <x v="0"/>
    <n v="470"/>
    <n v="16"/>
    <x v="30"/>
    <x v="1"/>
    <x v="5"/>
    <n v="197.4"/>
    <n v="272.60000000000002"/>
    <n v="150"/>
    <n v="47"/>
    <n v="470"/>
    <x v="1968"/>
  </r>
  <r>
    <x v="10"/>
    <x v="563"/>
    <x v="2105"/>
    <x v="3"/>
    <x v="1"/>
    <x v="3"/>
    <x v="1"/>
    <x v="0"/>
    <n v="1216"/>
    <x v="0"/>
    <n v="1216"/>
    <n v="41"/>
    <x v="36"/>
    <x v="1"/>
    <x v="4"/>
    <n v="510.71999999999997"/>
    <n v="705.28"/>
    <n v="150"/>
    <n v="121.60000000000001"/>
    <n v="1216"/>
    <x v="1969"/>
  </r>
  <r>
    <x v="29"/>
    <x v="563"/>
    <x v="2106"/>
    <x v="5"/>
    <x v="2"/>
    <x v="1"/>
    <x v="2"/>
    <x v="4"/>
    <n v="341"/>
    <x v="448"/>
    <n v="209.715"/>
    <n v="43"/>
    <x v="11"/>
    <x v="0"/>
    <x v="0"/>
    <n v="88.080299999999994"/>
    <n v="121.63470000000001"/>
    <n v="0"/>
    <n v="0"/>
    <n v="0"/>
    <x v="1970"/>
  </r>
  <r>
    <x v="29"/>
    <x v="563"/>
    <x v="2107"/>
    <x v="5"/>
    <x v="2"/>
    <x v="0"/>
    <x v="2"/>
    <x v="0"/>
    <n v="485"/>
    <x v="0"/>
    <n v="485"/>
    <n v="26"/>
    <x v="4"/>
    <x v="0"/>
    <x v="0"/>
    <n v="203.7"/>
    <n v="281.3"/>
    <n v="0"/>
    <n v="0"/>
    <n v="0"/>
    <x v="1971"/>
  </r>
  <r>
    <x v="43"/>
    <x v="563"/>
    <x v="2108"/>
    <x v="4"/>
    <x v="5"/>
    <x v="0"/>
    <x v="0"/>
    <x v="9"/>
    <n v="1929"/>
    <x v="0"/>
    <n v="1929"/>
    <n v="32"/>
    <x v="1"/>
    <x v="0"/>
    <x v="0"/>
    <n v="810.18"/>
    <n v="1118.8200000000002"/>
    <n v="0"/>
    <n v="0"/>
    <n v="0"/>
    <x v="1972"/>
  </r>
  <r>
    <x v="26"/>
    <x v="564"/>
    <x v="2109"/>
    <x v="0"/>
    <x v="3"/>
    <x v="3"/>
    <x v="1"/>
    <x v="7"/>
    <n v="3778"/>
    <x v="449"/>
    <n v="3487.0940000000001"/>
    <n v="23"/>
    <x v="2"/>
    <x v="1"/>
    <x v="3"/>
    <n v="1464.5794799999999"/>
    <n v="2022.5145200000002"/>
    <n v="150"/>
    <n v="348.70940000000002"/>
    <n v="3487.0940000000001"/>
    <x v="1973"/>
  </r>
  <r>
    <x v="45"/>
    <x v="564"/>
    <x v="2110"/>
    <x v="7"/>
    <x v="3"/>
    <x v="2"/>
    <x v="2"/>
    <x v="2"/>
    <n v="4295"/>
    <x v="333"/>
    <n v="3938.5150000000003"/>
    <n v="5"/>
    <x v="22"/>
    <x v="1"/>
    <x v="3"/>
    <n v="1654.1763000000001"/>
    <n v="2284.3387000000002"/>
    <n v="150"/>
    <n v="393.85150000000004"/>
    <n v="3938.5150000000003"/>
    <x v="1974"/>
  </r>
  <r>
    <x v="13"/>
    <x v="564"/>
    <x v="2111"/>
    <x v="3"/>
    <x v="2"/>
    <x v="3"/>
    <x v="2"/>
    <x v="11"/>
    <n v="285"/>
    <x v="0"/>
    <n v="285"/>
    <n v="43"/>
    <x v="3"/>
    <x v="0"/>
    <x v="0"/>
    <n v="119.69999999999999"/>
    <n v="165.3"/>
    <n v="0"/>
    <n v="0"/>
    <n v="0"/>
    <x v="583"/>
  </r>
  <r>
    <x v="33"/>
    <x v="565"/>
    <x v="2112"/>
    <x v="7"/>
    <x v="0"/>
    <x v="2"/>
    <x v="6"/>
    <x v="1"/>
    <n v="4273"/>
    <x v="450"/>
    <n v="4025.1659999999997"/>
    <n v="12"/>
    <x v="38"/>
    <x v="1"/>
    <x v="1"/>
    <n v="1690.5697199999997"/>
    <n v="2334.5962799999998"/>
    <n v="150"/>
    <n v="402.51659999999998"/>
    <n v="4025.1659999999997"/>
    <x v="1975"/>
  </r>
  <r>
    <x v="13"/>
    <x v="565"/>
    <x v="2113"/>
    <x v="3"/>
    <x v="2"/>
    <x v="1"/>
    <x v="2"/>
    <x v="0"/>
    <n v="279"/>
    <x v="451"/>
    <n v="136.71"/>
    <n v="17"/>
    <x v="41"/>
    <x v="0"/>
    <x v="0"/>
    <n v="57.418199999999999"/>
    <n v="79.291800000000009"/>
    <n v="0"/>
    <n v="0"/>
    <n v="0"/>
    <x v="1976"/>
  </r>
  <r>
    <x v="19"/>
    <x v="565"/>
    <x v="2114"/>
    <x v="2"/>
    <x v="5"/>
    <x v="0"/>
    <x v="3"/>
    <x v="10"/>
    <n v="2290"/>
    <x v="452"/>
    <n v="1957.95"/>
    <n v="13"/>
    <x v="33"/>
    <x v="0"/>
    <x v="0"/>
    <n v="822.33899999999994"/>
    <n v="1135.6110000000001"/>
    <n v="0"/>
    <n v="0"/>
    <n v="0"/>
    <x v="1977"/>
  </r>
  <r>
    <x v="5"/>
    <x v="565"/>
    <x v="2115"/>
    <x v="0"/>
    <x v="2"/>
    <x v="1"/>
    <x v="2"/>
    <x v="1"/>
    <n v="251"/>
    <x v="372"/>
    <n v="125.751"/>
    <n v="0"/>
    <x v="9"/>
    <x v="0"/>
    <x v="0"/>
    <n v="52.815420000000003"/>
    <n v="72.935580000000002"/>
    <n v="0"/>
    <n v="0"/>
    <n v="0"/>
    <x v="1381"/>
  </r>
  <r>
    <x v="26"/>
    <x v="566"/>
    <x v="2116"/>
    <x v="0"/>
    <x v="3"/>
    <x v="1"/>
    <x v="0"/>
    <x v="5"/>
    <n v="3887"/>
    <x v="384"/>
    <n v="2336.087"/>
    <n v="28"/>
    <x v="33"/>
    <x v="1"/>
    <x v="6"/>
    <n v="981.15653999999995"/>
    <n v="1354.93046"/>
    <n v="150"/>
    <n v="233.6087"/>
    <n v="2336.087"/>
    <x v="1978"/>
  </r>
  <r>
    <x v="6"/>
    <x v="566"/>
    <x v="2117"/>
    <x v="0"/>
    <x v="4"/>
    <x v="0"/>
    <x v="1"/>
    <x v="8"/>
    <n v="2621"/>
    <x v="0"/>
    <n v="2621"/>
    <n v="12"/>
    <x v="14"/>
    <x v="0"/>
    <x v="0"/>
    <n v="1100.82"/>
    <n v="1520.18"/>
    <n v="0"/>
    <n v="0"/>
    <n v="0"/>
    <x v="1979"/>
  </r>
  <r>
    <x v="32"/>
    <x v="566"/>
    <x v="2118"/>
    <x v="4"/>
    <x v="4"/>
    <x v="1"/>
    <x v="6"/>
    <x v="8"/>
    <n v="2249"/>
    <x v="0"/>
    <n v="2249"/>
    <n v="4"/>
    <x v="37"/>
    <x v="0"/>
    <x v="0"/>
    <n v="944.57999999999993"/>
    <n v="1304.42"/>
    <n v="0"/>
    <n v="0"/>
    <n v="0"/>
    <x v="1980"/>
  </r>
  <r>
    <x v="4"/>
    <x v="566"/>
    <x v="2119"/>
    <x v="2"/>
    <x v="1"/>
    <x v="0"/>
    <x v="1"/>
    <x v="0"/>
    <n v="1166"/>
    <x v="0"/>
    <n v="1166"/>
    <n v="1"/>
    <x v="24"/>
    <x v="0"/>
    <x v="0"/>
    <n v="489.71999999999997"/>
    <n v="676.28"/>
    <n v="0"/>
    <n v="0"/>
    <n v="0"/>
    <x v="1981"/>
  </r>
  <r>
    <x v="10"/>
    <x v="566"/>
    <x v="2120"/>
    <x v="3"/>
    <x v="1"/>
    <x v="2"/>
    <x v="1"/>
    <x v="6"/>
    <n v="917"/>
    <x v="24"/>
    <n v="856.47799999999995"/>
    <n v="6"/>
    <x v="3"/>
    <x v="0"/>
    <x v="0"/>
    <n v="359.72075999999998"/>
    <n v="496.75723999999997"/>
    <n v="0"/>
    <n v="0"/>
    <n v="0"/>
    <x v="1982"/>
  </r>
  <r>
    <x v="6"/>
    <x v="567"/>
    <x v="2121"/>
    <x v="0"/>
    <x v="4"/>
    <x v="2"/>
    <x v="1"/>
    <x v="3"/>
    <n v="2400"/>
    <x v="0"/>
    <n v="2400"/>
    <n v="10"/>
    <x v="26"/>
    <x v="0"/>
    <x v="0"/>
    <n v="1008"/>
    <n v="1392"/>
    <n v="0"/>
    <n v="0"/>
    <n v="0"/>
    <x v="1983"/>
  </r>
  <r>
    <x v="40"/>
    <x v="567"/>
    <x v="2122"/>
    <x v="5"/>
    <x v="0"/>
    <x v="2"/>
    <x v="1"/>
    <x v="5"/>
    <n v="3398"/>
    <x v="0"/>
    <n v="3398"/>
    <n v="17"/>
    <x v="11"/>
    <x v="0"/>
    <x v="0"/>
    <n v="1427.1599999999999"/>
    <n v="1970.8400000000001"/>
    <n v="0"/>
    <n v="0"/>
    <n v="0"/>
    <x v="1600"/>
  </r>
  <r>
    <x v="17"/>
    <x v="567"/>
    <x v="2123"/>
    <x v="2"/>
    <x v="0"/>
    <x v="3"/>
    <x v="1"/>
    <x v="6"/>
    <n v="3673"/>
    <x v="256"/>
    <n v="2053.2069999999999"/>
    <n v="25"/>
    <x v="3"/>
    <x v="1"/>
    <x v="3"/>
    <n v="862.3469399999999"/>
    <n v="1190.86006"/>
    <n v="150"/>
    <n v="205.32069999999999"/>
    <n v="2053.2069999999999"/>
    <x v="1984"/>
  </r>
  <r>
    <x v="14"/>
    <x v="568"/>
    <x v="2124"/>
    <x v="6"/>
    <x v="3"/>
    <x v="1"/>
    <x v="6"/>
    <x v="1"/>
    <n v="4233"/>
    <x v="0"/>
    <n v="4233"/>
    <n v="13"/>
    <x v="16"/>
    <x v="0"/>
    <x v="0"/>
    <n v="1777.86"/>
    <n v="2455.1400000000003"/>
    <n v="0"/>
    <n v="0"/>
    <n v="0"/>
    <x v="1985"/>
  </r>
  <r>
    <x v="26"/>
    <x v="568"/>
    <x v="2125"/>
    <x v="0"/>
    <x v="3"/>
    <x v="3"/>
    <x v="5"/>
    <x v="11"/>
    <n v="3064"/>
    <x v="0"/>
    <n v="3064"/>
    <n v="8"/>
    <x v="4"/>
    <x v="0"/>
    <x v="0"/>
    <n v="1286.8799999999999"/>
    <n v="1777.1200000000001"/>
    <n v="0"/>
    <n v="0"/>
    <n v="0"/>
    <x v="1986"/>
  </r>
  <r>
    <x v="4"/>
    <x v="568"/>
    <x v="2126"/>
    <x v="2"/>
    <x v="1"/>
    <x v="3"/>
    <x v="1"/>
    <x v="0"/>
    <n v="1741"/>
    <x v="0"/>
    <n v="1741"/>
    <n v="9"/>
    <x v="3"/>
    <x v="0"/>
    <x v="0"/>
    <n v="731.22"/>
    <n v="1009.78"/>
    <n v="0"/>
    <n v="0"/>
    <n v="0"/>
    <x v="1987"/>
  </r>
  <r>
    <x v="34"/>
    <x v="568"/>
    <x v="2127"/>
    <x v="6"/>
    <x v="0"/>
    <x v="1"/>
    <x v="1"/>
    <x v="6"/>
    <n v="3397"/>
    <x v="453"/>
    <n v="2493.3980000000001"/>
    <n v="21"/>
    <x v="28"/>
    <x v="1"/>
    <x v="4"/>
    <n v="1047.2271599999999"/>
    <n v="1446.1708400000002"/>
    <n v="150"/>
    <n v="249.33980000000003"/>
    <n v="2493.3980000000001"/>
    <x v="1988"/>
  </r>
  <r>
    <x v="2"/>
    <x v="569"/>
    <x v="2128"/>
    <x v="1"/>
    <x v="2"/>
    <x v="0"/>
    <x v="2"/>
    <x v="1"/>
    <n v="268"/>
    <x v="0"/>
    <n v="268"/>
    <n v="38"/>
    <x v="31"/>
    <x v="0"/>
    <x v="0"/>
    <n v="112.56"/>
    <n v="155.44"/>
    <n v="0"/>
    <n v="0"/>
    <n v="0"/>
    <x v="921"/>
  </r>
  <r>
    <x v="37"/>
    <x v="569"/>
    <x v="2129"/>
    <x v="4"/>
    <x v="3"/>
    <x v="1"/>
    <x v="6"/>
    <x v="10"/>
    <n v="3730"/>
    <x v="0"/>
    <n v="3730"/>
    <n v="36"/>
    <x v="29"/>
    <x v="0"/>
    <x v="0"/>
    <n v="1566.6"/>
    <n v="2163.4"/>
    <n v="0"/>
    <n v="0"/>
    <n v="0"/>
    <x v="1989"/>
  </r>
  <r>
    <x v="27"/>
    <x v="569"/>
    <x v="2130"/>
    <x v="7"/>
    <x v="2"/>
    <x v="2"/>
    <x v="2"/>
    <x v="9"/>
    <n v="447"/>
    <x v="0"/>
    <n v="447"/>
    <n v="47"/>
    <x v="24"/>
    <x v="1"/>
    <x v="4"/>
    <n v="187.73999999999998"/>
    <n v="259.26"/>
    <n v="150"/>
    <n v="44.7"/>
    <n v="447"/>
    <x v="1990"/>
  </r>
  <r>
    <x v="43"/>
    <x v="569"/>
    <x v="2131"/>
    <x v="4"/>
    <x v="5"/>
    <x v="0"/>
    <x v="6"/>
    <x v="6"/>
    <n v="2813"/>
    <x v="0"/>
    <n v="2813"/>
    <n v="37"/>
    <x v="36"/>
    <x v="0"/>
    <x v="0"/>
    <n v="1181.46"/>
    <n v="1631.54"/>
    <n v="0"/>
    <n v="0"/>
    <n v="0"/>
    <x v="1991"/>
  </r>
  <r>
    <x v="42"/>
    <x v="570"/>
    <x v="2132"/>
    <x v="0"/>
    <x v="5"/>
    <x v="2"/>
    <x v="3"/>
    <x v="2"/>
    <n v="1998"/>
    <x v="0"/>
    <n v="1998"/>
    <n v="4"/>
    <x v="12"/>
    <x v="1"/>
    <x v="3"/>
    <n v="839.16"/>
    <n v="1158.8400000000001"/>
    <n v="150"/>
    <n v="199.8"/>
    <n v="1998"/>
    <x v="1992"/>
  </r>
  <r>
    <x v="29"/>
    <x v="570"/>
    <x v="2133"/>
    <x v="5"/>
    <x v="2"/>
    <x v="1"/>
    <x v="2"/>
    <x v="2"/>
    <n v="285"/>
    <x v="29"/>
    <n v="257.92500000000001"/>
    <n v="9"/>
    <x v="28"/>
    <x v="1"/>
    <x v="4"/>
    <n v="108.32850000000001"/>
    <n v="149.59649999999999"/>
    <n v="150"/>
    <n v="25.792500000000004"/>
    <n v="257.92500000000001"/>
    <x v="1993"/>
  </r>
  <r>
    <x v="13"/>
    <x v="570"/>
    <x v="2134"/>
    <x v="3"/>
    <x v="2"/>
    <x v="3"/>
    <x v="2"/>
    <x v="0"/>
    <n v="262"/>
    <x v="429"/>
    <n v="109.77800000000001"/>
    <n v="35"/>
    <x v="35"/>
    <x v="0"/>
    <x v="0"/>
    <n v="46.106760000000001"/>
    <n v="63.671240000000004"/>
    <n v="0"/>
    <n v="0"/>
    <n v="0"/>
    <x v="1994"/>
  </r>
  <r>
    <x v="12"/>
    <x v="570"/>
    <x v="2135"/>
    <x v="1"/>
    <x v="5"/>
    <x v="0"/>
    <x v="2"/>
    <x v="5"/>
    <n v="2861"/>
    <x v="0"/>
    <n v="2861"/>
    <n v="0"/>
    <x v="12"/>
    <x v="0"/>
    <x v="0"/>
    <n v="1201.6199999999999"/>
    <n v="1659.38"/>
    <n v="0"/>
    <n v="0"/>
    <n v="0"/>
    <x v="1995"/>
  </r>
  <r>
    <x v="42"/>
    <x v="571"/>
    <x v="2136"/>
    <x v="0"/>
    <x v="5"/>
    <x v="3"/>
    <x v="6"/>
    <x v="6"/>
    <n v="2405"/>
    <x v="0"/>
    <n v="2405"/>
    <n v="23"/>
    <x v="18"/>
    <x v="0"/>
    <x v="0"/>
    <n v="1010.0999999999999"/>
    <n v="1394.9"/>
    <n v="0"/>
    <n v="0"/>
    <n v="0"/>
    <x v="1996"/>
  </r>
  <r>
    <x v="30"/>
    <x v="571"/>
    <x v="2137"/>
    <x v="7"/>
    <x v="4"/>
    <x v="3"/>
    <x v="0"/>
    <x v="1"/>
    <n v="2040"/>
    <x v="0"/>
    <n v="2040"/>
    <n v="17"/>
    <x v="2"/>
    <x v="0"/>
    <x v="0"/>
    <n v="856.8"/>
    <n v="1183.2"/>
    <n v="0"/>
    <n v="0"/>
    <n v="0"/>
    <x v="1997"/>
  </r>
  <r>
    <x v="1"/>
    <x v="571"/>
    <x v="2138"/>
    <x v="1"/>
    <x v="1"/>
    <x v="2"/>
    <x v="6"/>
    <x v="8"/>
    <n v="1353"/>
    <x v="0"/>
    <n v="1353"/>
    <n v="7"/>
    <x v="22"/>
    <x v="1"/>
    <x v="3"/>
    <n v="568.26"/>
    <n v="784.74"/>
    <n v="150"/>
    <n v="135.30000000000001"/>
    <n v="1353"/>
    <x v="1998"/>
  </r>
  <r>
    <x v="10"/>
    <x v="571"/>
    <x v="2139"/>
    <x v="3"/>
    <x v="1"/>
    <x v="2"/>
    <x v="2"/>
    <x v="8"/>
    <n v="1579"/>
    <x v="0"/>
    <n v="1579"/>
    <n v="48"/>
    <x v="2"/>
    <x v="0"/>
    <x v="0"/>
    <n v="663.18"/>
    <n v="915.82"/>
    <n v="0"/>
    <n v="0"/>
    <n v="0"/>
    <x v="1999"/>
  </r>
  <r>
    <x v="28"/>
    <x v="572"/>
    <x v="2140"/>
    <x v="3"/>
    <x v="3"/>
    <x v="3"/>
    <x v="6"/>
    <x v="7"/>
    <n v="4361"/>
    <x v="165"/>
    <n v="4086.2570000000001"/>
    <n v="1"/>
    <x v="8"/>
    <x v="1"/>
    <x v="4"/>
    <n v="1716.22794"/>
    <n v="2370.0290599999998"/>
    <n v="150"/>
    <n v="408.62570000000005"/>
    <n v="4086.2570000000001"/>
    <x v="2000"/>
  </r>
  <r>
    <x v="10"/>
    <x v="572"/>
    <x v="2141"/>
    <x v="3"/>
    <x v="1"/>
    <x v="2"/>
    <x v="1"/>
    <x v="7"/>
    <n v="1572"/>
    <x v="235"/>
    <n v="1300.0439999999999"/>
    <n v="21"/>
    <x v="14"/>
    <x v="1"/>
    <x v="6"/>
    <n v="546.01847999999995"/>
    <n v="754.02551999999991"/>
    <n v="150"/>
    <n v="130.0044"/>
    <n v="1300.0439999999999"/>
    <x v="2001"/>
  </r>
  <r>
    <x v="33"/>
    <x v="572"/>
    <x v="2142"/>
    <x v="7"/>
    <x v="0"/>
    <x v="3"/>
    <x v="4"/>
    <x v="1"/>
    <n v="4129"/>
    <x v="454"/>
    <n v="3773.9059999999999"/>
    <n v="5"/>
    <x v="3"/>
    <x v="1"/>
    <x v="4"/>
    <n v="1585.04052"/>
    <n v="2188.8654799999999"/>
    <n v="150"/>
    <n v="377.39060000000001"/>
    <n v="3773.9059999999999"/>
    <x v="2002"/>
  </r>
  <r>
    <x v="23"/>
    <x v="572"/>
    <x v="2143"/>
    <x v="6"/>
    <x v="4"/>
    <x v="3"/>
    <x v="1"/>
    <x v="8"/>
    <n v="2351"/>
    <x v="0"/>
    <n v="2351"/>
    <n v="21"/>
    <x v="25"/>
    <x v="0"/>
    <x v="0"/>
    <n v="987.42"/>
    <n v="1363.58"/>
    <n v="0"/>
    <n v="0"/>
    <n v="0"/>
    <x v="907"/>
  </r>
  <r>
    <x v="2"/>
    <x v="572"/>
    <x v="2144"/>
    <x v="1"/>
    <x v="2"/>
    <x v="2"/>
    <x v="2"/>
    <x v="2"/>
    <n v="483"/>
    <x v="0"/>
    <n v="483"/>
    <n v="47"/>
    <x v="3"/>
    <x v="0"/>
    <x v="0"/>
    <n v="202.85999999999999"/>
    <n v="280.14"/>
    <n v="0"/>
    <n v="0"/>
    <n v="0"/>
    <x v="2003"/>
  </r>
  <r>
    <x v="21"/>
    <x v="573"/>
    <x v="2145"/>
    <x v="1"/>
    <x v="4"/>
    <x v="3"/>
    <x v="5"/>
    <x v="1"/>
    <n v="2876"/>
    <x v="0"/>
    <n v="2876"/>
    <n v="43"/>
    <x v="6"/>
    <x v="1"/>
    <x v="5"/>
    <n v="1207.9199999999998"/>
    <n v="1668.0800000000002"/>
    <n v="150"/>
    <n v="287.60000000000002"/>
    <n v="2876"/>
    <x v="2004"/>
  </r>
  <r>
    <x v="41"/>
    <x v="573"/>
    <x v="2146"/>
    <x v="6"/>
    <x v="2"/>
    <x v="0"/>
    <x v="2"/>
    <x v="10"/>
    <n v="218"/>
    <x v="0"/>
    <n v="218"/>
    <n v="17"/>
    <x v="4"/>
    <x v="1"/>
    <x v="4"/>
    <n v="91.56"/>
    <n v="126.44"/>
    <n v="150"/>
    <n v="21.8"/>
    <n v="218"/>
    <x v="974"/>
  </r>
  <r>
    <x v="19"/>
    <x v="573"/>
    <x v="2147"/>
    <x v="2"/>
    <x v="5"/>
    <x v="2"/>
    <x v="6"/>
    <x v="9"/>
    <n v="2606"/>
    <x v="391"/>
    <n v="2374.0660000000003"/>
    <n v="19"/>
    <x v="41"/>
    <x v="0"/>
    <x v="0"/>
    <n v="997.10772000000009"/>
    <n v="1376.9582800000003"/>
    <n v="0"/>
    <n v="0"/>
    <n v="0"/>
    <x v="2005"/>
  </r>
  <r>
    <x v="17"/>
    <x v="574"/>
    <x v="2148"/>
    <x v="2"/>
    <x v="0"/>
    <x v="1"/>
    <x v="6"/>
    <x v="8"/>
    <n v="3971"/>
    <x v="164"/>
    <n v="2473.933"/>
    <n v="6"/>
    <x v="3"/>
    <x v="1"/>
    <x v="5"/>
    <n v="1039.05186"/>
    <n v="1434.88114"/>
    <n v="150"/>
    <n v="247.39330000000001"/>
    <n v="2473.933"/>
    <x v="2006"/>
  </r>
  <r>
    <x v="41"/>
    <x v="574"/>
    <x v="2149"/>
    <x v="6"/>
    <x v="2"/>
    <x v="3"/>
    <x v="2"/>
    <x v="4"/>
    <n v="376"/>
    <x v="0"/>
    <n v="376"/>
    <n v="22"/>
    <x v="39"/>
    <x v="0"/>
    <x v="0"/>
    <n v="157.91999999999999"/>
    <n v="218.08"/>
    <n v="0"/>
    <n v="0"/>
    <n v="0"/>
    <x v="2007"/>
  </r>
  <r>
    <x v="43"/>
    <x v="574"/>
    <x v="2150"/>
    <x v="4"/>
    <x v="5"/>
    <x v="2"/>
    <x v="0"/>
    <x v="5"/>
    <n v="2550"/>
    <x v="38"/>
    <n v="1139.8500000000001"/>
    <n v="12"/>
    <x v="37"/>
    <x v="0"/>
    <x v="0"/>
    <n v="478.73700000000002"/>
    <n v="661.11300000000006"/>
    <n v="0"/>
    <n v="0"/>
    <n v="0"/>
    <x v="2008"/>
  </r>
  <r>
    <x v="11"/>
    <x v="574"/>
    <x v="2151"/>
    <x v="5"/>
    <x v="4"/>
    <x v="2"/>
    <x v="3"/>
    <x v="11"/>
    <n v="2191"/>
    <x v="380"/>
    <n v="1237.915"/>
    <n v="22"/>
    <x v="35"/>
    <x v="1"/>
    <x v="1"/>
    <n v="519.92430000000002"/>
    <n v="717.99069999999995"/>
    <n v="150"/>
    <n v="123.7915"/>
    <n v="1237.915"/>
    <x v="2009"/>
  </r>
  <r>
    <x v="2"/>
    <x v="575"/>
    <x v="2152"/>
    <x v="1"/>
    <x v="2"/>
    <x v="0"/>
    <x v="2"/>
    <x v="11"/>
    <n v="289"/>
    <x v="117"/>
    <n v="182.648"/>
    <n v="46"/>
    <x v="29"/>
    <x v="1"/>
    <x v="3"/>
    <n v="76.712159999999997"/>
    <n v="105.93584"/>
    <n v="150"/>
    <n v="18.264800000000001"/>
    <n v="182.648"/>
    <x v="2010"/>
  </r>
  <r>
    <x v="25"/>
    <x v="575"/>
    <x v="2153"/>
    <x v="6"/>
    <x v="1"/>
    <x v="2"/>
    <x v="0"/>
    <x v="2"/>
    <n v="1546"/>
    <x v="455"/>
    <n v="745.17200000000003"/>
    <n v="43"/>
    <x v="39"/>
    <x v="0"/>
    <x v="0"/>
    <n v="312.97224"/>
    <n v="432.19976000000003"/>
    <n v="0"/>
    <n v="0"/>
    <n v="0"/>
    <x v="2011"/>
  </r>
  <r>
    <x v="3"/>
    <x v="575"/>
    <x v="2154"/>
    <x v="1"/>
    <x v="3"/>
    <x v="3"/>
    <x v="3"/>
    <x v="2"/>
    <n v="3586"/>
    <x v="347"/>
    <n v="2897.4880000000003"/>
    <n v="38"/>
    <x v="3"/>
    <x v="1"/>
    <x v="4"/>
    <n v="1216.94496"/>
    <n v="1680.5430400000002"/>
    <n v="150"/>
    <n v="289.74880000000002"/>
    <n v="2897.4880000000003"/>
    <x v="2012"/>
  </r>
  <r>
    <x v="23"/>
    <x v="575"/>
    <x v="2155"/>
    <x v="6"/>
    <x v="4"/>
    <x v="1"/>
    <x v="2"/>
    <x v="6"/>
    <n v="2290"/>
    <x v="21"/>
    <n v="1941.9199999999998"/>
    <n v="25"/>
    <x v="14"/>
    <x v="0"/>
    <x v="0"/>
    <n v="815.60639999999989"/>
    <n v="1126.3136"/>
    <n v="0"/>
    <n v="0"/>
    <n v="0"/>
    <x v="2013"/>
  </r>
  <r>
    <x v="39"/>
    <x v="576"/>
    <x v="2156"/>
    <x v="7"/>
    <x v="5"/>
    <x v="3"/>
    <x v="6"/>
    <x v="2"/>
    <n v="2660"/>
    <x v="0"/>
    <n v="2660"/>
    <n v="50"/>
    <x v="32"/>
    <x v="0"/>
    <x v="0"/>
    <n v="1117.2"/>
    <n v="1542.8"/>
    <n v="0"/>
    <n v="0"/>
    <n v="0"/>
    <x v="2014"/>
  </r>
  <r>
    <x v="29"/>
    <x v="576"/>
    <x v="2157"/>
    <x v="5"/>
    <x v="2"/>
    <x v="0"/>
    <x v="2"/>
    <x v="10"/>
    <n v="286"/>
    <x v="456"/>
    <n v="151.86600000000001"/>
    <n v="26"/>
    <x v="16"/>
    <x v="0"/>
    <x v="0"/>
    <n v="63.783720000000002"/>
    <n v="88.082280000000011"/>
    <n v="0"/>
    <n v="0"/>
    <n v="0"/>
    <x v="2015"/>
  </r>
  <r>
    <x v="44"/>
    <x v="576"/>
    <x v="2158"/>
    <x v="6"/>
    <x v="5"/>
    <x v="1"/>
    <x v="4"/>
    <x v="4"/>
    <n v="2361"/>
    <x v="0"/>
    <n v="2361"/>
    <n v="26"/>
    <x v="20"/>
    <x v="0"/>
    <x v="0"/>
    <n v="991.62"/>
    <n v="1369.38"/>
    <n v="0"/>
    <n v="0"/>
    <n v="0"/>
    <x v="2016"/>
  </r>
  <r>
    <x v="0"/>
    <x v="577"/>
    <x v="2159"/>
    <x v="0"/>
    <x v="0"/>
    <x v="3"/>
    <x v="4"/>
    <x v="7"/>
    <n v="3742"/>
    <x v="0"/>
    <n v="3742"/>
    <n v="6"/>
    <x v="30"/>
    <x v="0"/>
    <x v="0"/>
    <n v="1571.6399999999999"/>
    <n v="2170.36"/>
    <n v="0"/>
    <n v="0"/>
    <n v="0"/>
    <x v="2017"/>
  </r>
  <r>
    <x v="7"/>
    <x v="577"/>
    <x v="2160"/>
    <x v="3"/>
    <x v="5"/>
    <x v="1"/>
    <x v="4"/>
    <x v="1"/>
    <n v="1943"/>
    <x v="0"/>
    <n v="1943"/>
    <n v="40"/>
    <x v="29"/>
    <x v="0"/>
    <x v="0"/>
    <n v="816.06"/>
    <n v="1126.94"/>
    <n v="0"/>
    <n v="0"/>
    <n v="0"/>
    <x v="2018"/>
  </r>
  <r>
    <x v="26"/>
    <x v="577"/>
    <x v="2161"/>
    <x v="0"/>
    <x v="3"/>
    <x v="3"/>
    <x v="1"/>
    <x v="6"/>
    <n v="3809"/>
    <x v="0"/>
    <n v="3809"/>
    <n v="9"/>
    <x v="3"/>
    <x v="0"/>
    <x v="0"/>
    <n v="1599.78"/>
    <n v="2209.2200000000003"/>
    <n v="0"/>
    <n v="0"/>
    <n v="0"/>
    <x v="2019"/>
  </r>
  <r>
    <x v="41"/>
    <x v="577"/>
    <x v="2162"/>
    <x v="6"/>
    <x v="2"/>
    <x v="0"/>
    <x v="2"/>
    <x v="2"/>
    <n v="422"/>
    <x v="0"/>
    <n v="422"/>
    <n v="2"/>
    <x v="16"/>
    <x v="1"/>
    <x v="5"/>
    <n v="177.23999999999998"/>
    <n v="244.76000000000002"/>
    <n v="150"/>
    <n v="42.2"/>
    <n v="422"/>
    <x v="2020"/>
  </r>
  <r>
    <x v="37"/>
    <x v="578"/>
    <x v="2163"/>
    <x v="4"/>
    <x v="3"/>
    <x v="0"/>
    <x v="0"/>
    <x v="7"/>
    <n v="3863"/>
    <x v="0"/>
    <n v="3863"/>
    <n v="46"/>
    <x v="2"/>
    <x v="0"/>
    <x v="0"/>
    <n v="1622.46"/>
    <n v="2240.54"/>
    <n v="0"/>
    <n v="0"/>
    <n v="0"/>
    <x v="2021"/>
  </r>
  <r>
    <x v="2"/>
    <x v="578"/>
    <x v="2164"/>
    <x v="1"/>
    <x v="2"/>
    <x v="3"/>
    <x v="2"/>
    <x v="3"/>
    <n v="424"/>
    <x v="457"/>
    <n v="290.86399999999998"/>
    <n v="40"/>
    <x v="23"/>
    <x v="0"/>
    <x v="0"/>
    <n v="122.16287999999999"/>
    <n v="168.70112"/>
    <n v="0"/>
    <n v="0"/>
    <n v="0"/>
    <x v="2022"/>
  </r>
  <r>
    <x v="31"/>
    <x v="578"/>
    <x v="2165"/>
    <x v="2"/>
    <x v="2"/>
    <x v="3"/>
    <x v="2"/>
    <x v="2"/>
    <n v="473"/>
    <x v="0"/>
    <n v="473"/>
    <n v="6"/>
    <x v="18"/>
    <x v="1"/>
    <x v="4"/>
    <n v="198.66"/>
    <n v="274.34000000000003"/>
    <n v="150"/>
    <n v="47.300000000000004"/>
    <n v="473"/>
    <x v="2023"/>
  </r>
  <r>
    <x v="46"/>
    <x v="579"/>
    <x v="2166"/>
    <x v="2"/>
    <x v="3"/>
    <x v="1"/>
    <x v="6"/>
    <x v="11"/>
    <n v="3857"/>
    <x v="303"/>
    <n v="3220.5949999999998"/>
    <n v="11"/>
    <x v="0"/>
    <x v="0"/>
    <x v="0"/>
    <n v="1352.6498999999999"/>
    <n v="1867.9450999999999"/>
    <n v="0"/>
    <n v="0"/>
    <n v="0"/>
    <x v="2024"/>
  </r>
  <r>
    <x v="37"/>
    <x v="579"/>
    <x v="2167"/>
    <x v="4"/>
    <x v="3"/>
    <x v="1"/>
    <x v="5"/>
    <x v="7"/>
    <n v="4008"/>
    <x v="0"/>
    <n v="4008"/>
    <n v="27"/>
    <x v="22"/>
    <x v="0"/>
    <x v="0"/>
    <n v="1683.36"/>
    <n v="2324.6400000000003"/>
    <n v="0"/>
    <n v="0"/>
    <n v="0"/>
    <x v="2025"/>
  </r>
  <r>
    <x v="36"/>
    <x v="579"/>
    <x v="2168"/>
    <x v="5"/>
    <x v="3"/>
    <x v="1"/>
    <x v="2"/>
    <x v="8"/>
    <n v="3570"/>
    <x v="0"/>
    <n v="3570"/>
    <n v="45"/>
    <x v="19"/>
    <x v="0"/>
    <x v="0"/>
    <n v="1499.3999999999999"/>
    <n v="2070.6000000000004"/>
    <n v="0"/>
    <n v="0"/>
    <n v="0"/>
    <x v="2026"/>
  </r>
  <r>
    <x v="2"/>
    <x v="579"/>
    <x v="2169"/>
    <x v="1"/>
    <x v="2"/>
    <x v="0"/>
    <x v="2"/>
    <x v="8"/>
    <n v="357"/>
    <x v="0"/>
    <n v="357"/>
    <n v="42"/>
    <x v="16"/>
    <x v="0"/>
    <x v="0"/>
    <n v="149.94"/>
    <n v="207.06"/>
    <n v="0"/>
    <n v="0"/>
    <n v="0"/>
    <x v="1480"/>
  </r>
  <r>
    <x v="1"/>
    <x v="580"/>
    <x v="2170"/>
    <x v="1"/>
    <x v="1"/>
    <x v="1"/>
    <x v="0"/>
    <x v="2"/>
    <n v="1567"/>
    <x v="0"/>
    <n v="1567"/>
    <n v="39"/>
    <x v="20"/>
    <x v="0"/>
    <x v="0"/>
    <n v="658.14"/>
    <n v="908.86"/>
    <n v="0"/>
    <n v="0"/>
    <n v="0"/>
    <x v="1002"/>
  </r>
  <r>
    <x v="10"/>
    <x v="580"/>
    <x v="2171"/>
    <x v="3"/>
    <x v="1"/>
    <x v="3"/>
    <x v="0"/>
    <x v="2"/>
    <n v="1055"/>
    <x v="0"/>
    <n v="1055"/>
    <n v="10"/>
    <x v="38"/>
    <x v="0"/>
    <x v="0"/>
    <n v="443.09999999999997"/>
    <n v="611.90000000000009"/>
    <n v="0"/>
    <n v="0"/>
    <n v="0"/>
    <x v="2027"/>
  </r>
  <r>
    <x v="19"/>
    <x v="580"/>
    <x v="2172"/>
    <x v="2"/>
    <x v="5"/>
    <x v="1"/>
    <x v="1"/>
    <x v="11"/>
    <n v="2722"/>
    <x v="0"/>
    <n v="2722"/>
    <n v="1"/>
    <x v="32"/>
    <x v="1"/>
    <x v="3"/>
    <n v="1143.24"/>
    <n v="1578.76"/>
    <n v="150"/>
    <n v="272.2"/>
    <n v="2722"/>
    <x v="2028"/>
  </r>
  <r>
    <x v="31"/>
    <x v="580"/>
    <x v="2173"/>
    <x v="2"/>
    <x v="2"/>
    <x v="1"/>
    <x v="2"/>
    <x v="8"/>
    <n v="275"/>
    <x v="86"/>
    <n v="124.30000000000003"/>
    <n v="40"/>
    <x v="2"/>
    <x v="1"/>
    <x v="3"/>
    <n v="52.20600000000001"/>
    <n v="72.094000000000023"/>
    <n v="150"/>
    <n v="12.430000000000003"/>
    <n v="124.30000000000003"/>
    <x v="2029"/>
  </r>
  <r>
    <x v="11"/>
    <x v="581"/>
    <x v="2174"/>
    <x v="5"/>
    <x v="4"/>
    <x v="3"/>
    <x v="0"/>
    <x v="1"/>
    <n v="2286"/>
    <x v="0"/>
    <n v="2286"/>
    <n v="20"/>
    <x v="18"/>
    <x v="0"/>
    <x v="0"/>
    <n v="960.12"/>
    <n v="1325.88"/>
    <n v="0"/>
    <n v="0"/>
    <n v="0"/>
    <x v="2030"/>
  </r>
  <r>
    <x v="36"/>
    <x v="581"/>
    <x v="2175"/>
    <x v="5"/>
    <x v="3"/>
    <x v="3"/>
    <x v="4"/>
    <x v="7"/>
    <n v="3677"/>
    <x v="0"/>
    <n v="3677"/>
    <n v="23"/>
    <x v="33"/>
    <x v="1"/>
    <x v="4"/>
    <n v="1544.34"/>
    <n v="2132.66"/>
    <n v="150"/>
    <n v="367.70000000000005"/>
    <n v="3677"/>
    <x v="20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168A3B-3201-4706-BC28-366DB39DCBDE}"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colHeaderCaption="Category">
  <location ref="H106:J117" firstHeaderRow="0" firstDataRow="1" firstDataCol="1"/>
  <pivotFields count="24">
    <pivotField axis="axisRow" showAll="0" measureFilter="1" sortType="descending">
      <items count="49">
        <item x="29"/>
        <item x="11"/>
        <item x="24"/>
        <item x="40"/>
        <item x="36"/>
        <item x="15"/>
        <item x="31"/>
        <item x="22"/>
        <item x="19"/>
        <item x="17"/>
        <item x="46"/>
        <item x="4"/>
        <item x="27"/>
        <item x="30"/>
        <item x="39"/>
        <item x="33"/>
        <item x="45"/>
        <item x="20"/>
        <item x="41"/>
        <item x="23"/>
        <item x="44"/>
        <item x="34"/>
        <item x="14"/>
        <item x="25"/>
        <item x="47"/>
        <item x="32"/>
        <item x="43"/>
        <item x="9"/>
        <item x="37"/>
        <item x="35"/>
        <item x="13"/>
        <item x="18"/>
        <item x="7"/>
        <item x="16"/>
        <item x="28"/>
        <item x="10"/>
        <item x="2"/>
        <item x="21"/>
        <item x="12"/>
        <item x="8"/>
        <item x="3"/>
        <item x="1"/>
        <item x="5"/>
        <item x="6"/>
        <item x="42"/>
        <item x="0"/>
        <item x="26"/>
        <item x="38"/>
        <item t="default"/>
      </items>
      <autoSortScope>
        <pivotArea dataOnly="0" outline="0" fieldPosition="0">
          <references count="1">
            <reference field="4294967294" count="1" selected="0">
              <x v="1"/>
            </reference>
          </references>
        </pivotArea>
      </autoSortScope>
    </pivotField>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dataField="1" showAll="0"/>
    <pivotField showAll="0"/>
    <pivotField showAll="0">
      <items count="7">
        <item x="2"/>
        <item x="4"/>
        <item x="5"/>
        <item x="0"/>
        <item x="3"/>
        <item x="1"/>
        <item t="default"/>
      </items>
    </pivotField>
    <pivotField showAll="0">
      <items count="5">
        <item x="0"/>
        <item x="3"/>
        <item x="2"/>
        <item x="1"/>
        <item t="default"/>
      </items>
    </pivotField>
    <pivotField showAll="0"/>
    <pivotField showAll="0"/>
    <pivotField showAll="0"/>
    <pivotField dataField="1" numFmtId="9" showAll="0"/>
    <pivotField showAll="0"/>
    <pivotField showAll="0"/>
    <pivotField showAll="0"/>
    <pivotField showAll="0"/>
    <pivotField showAll="0"/>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1">
    <i>
      <x v="31"/>
    </i>
    <i>
      <x v="47"/>
    </i>
    <i>
      <x v="11"/>
    </i>
    <i>
      <x v="22"/>
    </i>
    <i>
      <x v="6"/>
    </i>
    <i>
      <x v="1"/>
    </i>
    <i>
      <x v="14"/>
    </i>
    <i>
      <x v="4"/>
    </i>
    <i>
      <x v="16"/>
    </i>
    <i>
      <x v="20"/>
    </i>
    <i t="grand">
      <x/>
    </i>
  </rowItems>
  <colFields count="1">
    <field x="-2"/>
  </colFields>
  <colItems count="2">
    <i>
      <x/>
    </i>
    <i i="1">
      <x v="1"/>
    </i>
  </colItems>
  <dataFields count="2">
    <dataField name="Average of Markdown%" fld="9" subtotal="average" baseField="5" baseItem="1" numFmtId="10"/>
    <dataField name="Count of Order_ID" fld="2" subtotal="count" baseField="0" baseItem="0"/>
  </dataFields>
  <formats count="3">
    <format dxfId="264">
      <pivotArea outline="0" collapsedLevelsAreSubtotals="1" fieldPosition="0"/>
    </format>
    <format dxfId="265">
      <pivotArea dataOnly="0" labelOnly="1" outline="0" axis="axisValues" fieldPosition="0"/>
    </format>
    <format dxfId="266">
      <pivotArea outline="0" fieldPosition="0">
        <references count="1">
          <reference field="4294967294" count="1">
            <x v="0"/>
          </reference>
        </references>
      </pivotArea>
    </format>
  </formats>
  <pivotTableStyleInfo name="PivotStyleMedium7"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21786-C081-40D3-89A3-D41DAEA08A2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colHeaderCaption="Category">
  <location ref="E106:F111" firstHeaderRow="1" firstDataRow="1"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showAll="0"/>
    <pivotField showAll="0"/>
    <pivotField showAll="0">
      <items count="7">
        <item x="2"/>
        <item x="4"/>
        <item x="5"/>
        <item x="0"/>
        <item x="3"/>
        <item x="1"/>
        <item t="default"/>
      </items>
    </pivotField>
    <pivotField axis="axisRow" showAll="0">
      <items count="5">
        <item x="0"/>
        <item x="3"/>
        <item x="2"/>
        <item x="1"/>
        <item t="default"/>
      </items>
    </pivotField>
    <pivotField showAll="0"/>
    <pivotField showAll="0"/>
    <pivotField showAll="0"/>
    <pivotField dataField="1" numFmtId="9" showAll="0"/>
    <pivotField showAll="0"/>
    <pivotField showAll="0"/>
    <pivotField showAll="0"/>
    <pivotField showAll="0"/>
    <pivotField showAll="0"/>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Average of Markdown%" fld="9" subtotal="average" baseField="5" baseItem="1" numFmtId="10"/>
  </dataFields>
  <formats count="3">
    <format dxfId="297">
      <pivotArea outline="0" collapsedLevelsAreSubtotals="1" fieldPosition="0"/>
    </format>
    <format dxfId="298">
      <pivotArea dataOnly="0" labelOnly="1" outline="0" axis="axisValues" fieldPosition="0"/>
    </format>
    <format dxfId="299">
      <pivotArea outline="0" fieldPosition="0">
        <references count="1">
          <reference field="4294967294" count="1">
            <x v="0"/>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121BC4-0D97-42A7-914F-7F14B2EBEF1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ies" colHeaderCaption="Category">
  <location ref="A106:C113" firstHeaderRow="0" firstDataRow="1"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dataField="1" showAll="0"/>
    <pivotField showAll="0"/>
    <pivotField axis="axisRow" showAll="0" sortType="descending">
      <items count="7">
        <item x="2"/>
        <item x="4"/>
        <item x="5"/>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pivotField showAll="0"/>
    <pivotField dataField="1" showAll="0"/>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4"/>
    </i>
    <i>
      <x v="5"/>
    </i>
    <i>
      <x v="3"/>
    </i>
    <i>
      <x v="2"/>
    </i>
    <i t="grand">
      <x/>
    </i>
  </rowItems>
  <colFields count="1">
    <field x="-2"/>
  </colFields>
  <colItems count="2">
    <i>
      <x/>
    </i>
    <i i="1">
      <x v="1"/>
    </i>
  </colItems>
  <dataFields count="2">
    <dataField name="No. of Orders" fld="2" subtotal="count" baseField="0" baseItem="0" numFmtId="1"/>
    <dataField name="No of Return Orders" fld="14" subtotal="count" baseField="0" baseItem="0"/>
  </dataFields>
  <formats count="2">
    <format dxfId="295">
      <pivotArea outline="0" collapsedLevelsAreSubtotals="1" fieldPosition="0"/>
    </format>
    <format dxfId="296">
      <pivotArea dataOnly="0" labelOnly="1" outline="0" axis="axisValues"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824D14-923C-41D0-A989-5A40A64EBFA4}"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Brand" colHeaderCaption="Category">
  <location ref="D92:K102" firstHeaderRow="1" firstDataRow="2"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dataField="1" showAll="0"/>
    <pivotField axis="axisRow" showAll="0">
      <items count="9">
        <item x="5"/>
        <item x="2"/>
        <item x="7"/>
        <item x="6"/>
        <item x="4"/>
        <item x="3"/>
        <item x="1"/>
        <item x="0"/>
        <item t="default"/>
      </items>
    </pivotField>
    <pivotField axis="axisCol" showAll="0">
      <items count="7">
        <item x="2"/>
        <item x="4"/>
        <item x="5"/>
        <item x="0"/>
        <item x="3"/>
        <item x="1"/>
        <item t="default"/>
      </items>
    </pivotField>
    <pivotField showAll="0"/>
    <pivotField showAll="0"/>
    <pivotField showAll="0"/>
    <pivotField showAll="0"/>
    <pivotField numFmtId="9" showAll="0"/>
    <pivotField showAll="0"/>
    <pivotField showAll="0"/>
    <pivotField showAll="0"/>
    <pivotField showAll="0"/>
    <pivotField showAll="0">
      <items count="9">
        <item x="1"/>
        <item x="5"/>
        <item x="6"/>
        <item x="4"/>
        <item x="3"/>
        <item x="2"/>
        <item x="7"/>
        <item h="1" x="0"/>
        <item t="default"/>
      </items>
    </pivotField>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Fields count="1">
    <field x="4"/>
  </colFields>
  <colItems count="7">
    <i>
      <x/>
    </i>
    <i>
      <x v="1"/>
    </i>
    <i>
      <x v="2"/>
    </i>
    <i>
      <x v="3"/>
    </i>
    <i>
      <x v="4"/>
    </i>
    <i>
      <x v="5"/>
    </i>
    <i t="grand">
      <x/>
    </i>
  </colItems>
  <dataFields count="1">
    <dataField name="No. of Orders" fld="2" subtotal="count" baseField="0" baseItem="0"/>
  </dataFields>
  <formats count="1">
    <format dxfId="294">
      <pivotArea outline="0" collapsedLevelsAreSubtotals="1"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FD4A70-F683-4846-9BD8-5475335A4914}"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Brands" colHeaderCaption="Category">
  <location ref="A92:B101" firstHeaderRow="1" firstDataRow="1"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dataField="1" showAll="0"/>
    <pivotField axis="axisRow" showAll="0" sortType="descending">
      <items count="9">
        <item x="5"/>
        <item x="2"/>
        <item x="7"/>
        <item x="6"/>
        <item x="4"/>
        <item x="3"/>
        <item x="1"/>
        <item x="0"/>
        <item t="default"/>
      </items>
      <autoSortScope>
        <pivotArea dataOnly="0" outline="0" fieldPosition="0">
          <references count="1">
            <reference field="4294967294" count="1" selected="0">
              <x v="0"/>
            </reference>
          </references>
        </pivotArea>
      </autoSortScope>
    </pivotField>
    <pivotField showAll="0">
      <items count="7">
        <item x="2"/>
        <item x="4"/>
        <item x="5"/>
        <item x="0"/>
        <item x="3"/>
        <item x="1"/>
        <item t="default"/>
      </items>
    </pivotField>
    <pivotField showAll="0"/>
    <pivotField showAll="0"/>
    <pivotField showAll="0"/>
    <pivotField showAll="0"/>
    <pivotField numFmtId="9" showAll="0"/>
    <pivotField showAll="0"/>
    <pivotField showAll="0"/>
    <pivotField showAll="0"/>
    <pivotField showAll="0"/>
    <pivotField showAll="0">
      <items count="9">
        <item x="1"/>
        <item x="5"/>
        <item x="6"/>
        <item x="4"/>
        <item x="3"/>
        <item x="2"/>
        <item x="7"/>
        <item h="1" x="0"/>
        <item t="default"/>
      </items>
    </pivotField>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7"/>
    </i>
    <i>
      <x v="1"/>
    </i>
    <i>
      <x v="5"/>
    </i>
    <i>
      <x v="4"/>
    </i>
    <i>
      <x v="6"/>
    </i>
    <i>
      <x/>
    </i>
    <i>
      <x v="2"/>
    </i>
    <i>
      <x v="3"/>
    </i>
    <i t="grand">
      <x/>
    </i>
  </rowItems>
  <colItems count="1">
    <i/>
  </colItems>
  <dataFields count="1">
    <dataField name="No. of Orders" fld="2" subtotal="count" baseField="0" baseItem="0"/>
  </dataFields>
  <formats count="1">
    <format dxfId="293">
      <pivotArea outline="0" collapsedLevelsAreSubtotals="1"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F373E0-BB9E-4968-A6E7-64B0E9D4A172}"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lour" colHeaderCaption="Size">
  <location ref="A49:H62" firstHeaderRow="1" firstDataRow="2" firstDataCol="1" rowPageCount="1" colPageCount="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dataField="1" showAll="0"/>
    <pivotField showAll="0"/>
    <pivotField showAll="0"/>
    <pivotField showAll="0"/>
    <pivotField axis="axisCol" showAll="0">
      <items count="9">
        <item x="1"/>
        <item x="6"/>
        <item x="3"/>
        <item x="0"/>
        <item x="5"/>
        <item x="4"/>
        <item h="1" m="1" x="7"/>
        <item h="1" x="2"/>
        <item t="default"/>
      </items>
    </pivotField>
    <pivotField axis="axisRow" showAll="0">
      <items count="13">
        <item x="8"/>
        <item x="2"/>
        <item x="5"/>
        <item x="11"/>
        <item x="4"/>
        <item x="6"/>
        <item h="1" x="3"/>
        <item x="9"/>
        <item x="1"/>
        <item x="10"/>
        <item x="0"/>
        <item x="7"/>
        <item t="default"/>
      </items>
    </pivotField>
    <pivotField showAll="0"/>
    <pivotField numFmtId="9" showAll="0"/>
    <pivotField showAll="0"/>
    <pivotField showAll="0"/>
    <pivotField showAll="0"/>
    <pivotField axis="axisPage" showAll="0">
      <items count="3">
        <item x="0"/>
        <item x="1"/>
        <item t="default"/>
      </items>
    </pivotField>
    <pivotField showAll="0"/>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2">
    <i>
      <x/>
    </i>
    <i>
      <x v="1"/>
    </i>
    <i>
      <x v="2"/>
    </i>
    <i>
      <x v="3"/>
    </i>
    <i>
      <x v="4"/>
    </i>
    <i>
      <x v="5"/>
    </i>
    <i>
      <x v="7"/>
    </i>
    <i>
      <x v="8"/>
    </i>
    <i>
      <x v="9"/>
    </i>
    <i>
      <x v="10"/>
    </i>
    <i>
      <x v="11"/>
    </i>
    <i t="grand">
      <x/>
    </i>
  </rowItems>
  <colFields count="1">
    <field x="6"/>
  </colFields>
  <colItems count="7">
    <i>
      <x/>
    </i>
    <i>
      <x v="1"/>
    </i>
    <i>
      <x v="2"/>
    </i>
    <i>
      <x v="3"/>
    </i>
    <i>
      <x v="4"/>
    </i>
    <i>
      <x v="5"/>
    </i>
    <i t="grand">
      <x/>
    </i>
  </colItems>
  <pageFields count="1">
    <pageField fld="13" item="1" hier="-1"/>
  </pageFields>
  <dataFields count="1">
    <dataField name="No. of ORDERS" fld="2" subtotal="count" baseField="0" baseItem="0"/>
  </dataFields>
  <formats count="1">
    <format dxfId="292">
      <pivotArea outline="0" collapsedLevelsAreSubtotals="1"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3AA4C9-728A-4297-8068-BE63B9AE76C4}" name="PivotTable2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Season" colHeaderCaption="Category">
  <location ref="J42:L47" firstHeaderRow="0" firstDataRow="1"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dataField="1" showAll="0"/>
    <pivotField showAll="0">
      <items count="9">
        <item x="5"/>
        <item x="2"/>
        <item x="7"/>
        <item x="6"/>
        <item x="4"/>
        <item x="3"/>
        <item x="1"/>
        <item x="0"/>
        <item t="default"/>
      </items>
    </pivotField>
    <pivotField showAll="0">
      <items count="7">
        <item x="2"/>
        <item x="4"/>
        <item x="5"/>
        <item x="0"/>
        <item x="3"/>
        <item x="1"/>
        <item t="default"/>
      </items>
    </pivotField>
    <pivotField axis="axisRow" showAll="0">
      <items count="5">
        <item x="0"/>
        <item x="3"/>
        <item x="2"/>
        <item x="1"/>
        <item t="default"/>
      </items>
    </pivotField>
    <pivotField showAll="0"/>
    <pivotField showAll="0"/>
    <pivotField showAll="0"/>
    <pivotField numFmtId="9" showAll="0"/>
    <pivotField showAll="0"/>
    <pivotField showAll="0"/>
    <pivotField showAll="0"/>
    <pivotField showAll="0"/>
    <pivotField dataField="1" showAll="0"/>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5">
    <i>
      <x/>
    </i>
    <i>
      <x v="1"/>
    </i>
    <i>
      <x v="2"/>
    </i>
    <i>
      <x v="3"/>
    </i>
    <i t="grand">
      <x/>
    </i>
  </rowItems>
  <colFields count="1">
    <field x="-2"/>
  </colFields>
  <colItems count="2">
    <i>
      <x/>
    </i>
    <i i="1">
      <x v="1"/>
    </i>
  </colItems>
  <dataFields count="2">
    <dataField name="No. of Orders" fld="2" subtotal="count" baseField="0" baseItem="0" numFmtId="1"/>
    <dataField name="No. of Return Orders" fld="14" subtotal="count" baseField="0" baseItem="0"/>
  </dataFields>
  <formats count="2">
    <format dxfId="290">
      <pivotArea outline="0" collapsedLevelsAreSubtotals="1" fieldPosition="0"/>
    </format>
    <format dxfId="291">
      <pivotArea dataOnly="0" labelOnly="1" outline="0" axis="axisValues"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DE5F14-2308-43B0-A7D7-04819B91304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s" colHeaderCaption="Category">
  <location ref="D66:K76" firstHeaderRow="1" firstDataRow="2"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showAll="0"/>
    <pivotField axis="axisRow" showAll="0">
      <items count="9">
        <item x="5"/>
        <item x="2"/>
        <item x="7"/>
        <item x="6"/>
        <item x="4"/>
        <item x="3"/>
        <item x="1"/>
        <item x="0"/>
        <item t="default"/>
      </items>
    </pivotField>
    <pivotField axis="axisCol" showAll="0">
      <items count="7">
        <item x="2"/>
        <item x="4"/>
        <item x="5"/>
        <item x="0"/>
        <item x="3"/>
        <item x="1"/>
        <item t="default"/>
      </items>
    </pivotField>
    <pivotField showAll="0"/>
    <pivotField showAll="0"/>
    <pivotField showAll="0"/>
    <pivotField showAll="0"/>
    <pivotField dataField="1" numFmtId="9" showAll="0"/>
    <pivotField showAll="0"/>
    <pivotField showAll="0"/>
    <pivotField showAll="0"/>
    <pivotField showAll="0"/>
    <pivotField showAll="0">
      <items count="9">
        <item x="1"/>
        <item x="5"/>
        <item x="6"/>
        <item x="4"/>
        <item x="3"/>
        <item x="2"/>
        <item x="7"/>
        <item x="0"/>
        <item t="default"/>
      </items>
    </pivotField>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Fields count="1">
    <field x="4"/>
  </colFields>
  <colItems count="7">
    <i>
      <x/>
    </i>
    <i>
      <x v="1"/>
    </i>
    <i>
      <x v="2"/>
    </i>
    <i>
      <x v="3"/>
    </i>
    <i>
      <x v="4"/>
    </i>
    <i>
      <x v="5"/>
    </i>
    <i t="grand">
      <x/>
    </i>
  </colItems>
  <dataFields count="1">
    <dataField name="Average of Markdown%" fld="9" subtotal="average" baseField="3" baseItem="0" numFmtId="10"/>
  </dataFields>
  <formats count="3">
    <format dxfId="300">
      <pivotArea outline="0" collapsedLevelsAreSubtotals="1" fieldPosition="0"/>
    </format>
    <format dxfId="301">
      <pivotArea dataOnly="0" labelOnly="1" outline="0" axis="axisValues" fieldPosition="0"/>
    </format>
    <format dxfId="302">
      <pivotArea outline="0" fieldPosition="0">
        <references count="1">
          <reference field="4294967294" count="1">
            <x v="0"/>
          </reference>
        </references>
      </pivotArea>
    </format>
  </formats>
  <conditionalFormats count="6">
    <conditionalFormat priority="6">
      <pivotAreas count="1">
        <pivotArea type="data" collapsedLevelsAreSubtotals="1" fieldPosition="0">
          <references count="3">
            <reference field="4294967294" count="1" selected="0">
              <x v="0"/>
            </reference>
            <reference field="3" count="8">
              <x v="0"/>
              <x v="1"/>
              <x v="2"/>
              <x v="3"/>
              <x v="4"/>
              <x v="5"/>
              <x v="6"/>
              <x v="7"/>
            </reference>
            <reference field="4" count="1" selected="0">
              <x v="5"/>
            </reference>
          </references>
        </pivotArea>
      </pivotAreas>
    </conditionalFormat>
    <conditionalFormat priority="7">
      <pivotAreas count="1">
        <pivotArea type="data" collapsedLevelsAreSubtotals="1" fieldPosition="0">
          <references count="3">
            <reference field="4294967294" count="1" selected="0">
              <x v="0"/>
            </reference>
            <reference field="3" count="8">
              <x v="0"/>
              <x v="1"/>
              <x v="2"/>
              <x v="3"/>
              <x v="4"/>
              <x v="5"/>
              <x v="6"/>
              <x v="7"/>
            </reference>
            <reference field="4" count="1" selected="0">
              <x v="4"/>
            </reference>
          </references>
        </pivotArea>
      </pivotAreas>
    </conditionalFormat>
    <conditionalFormat priority="8">
      <pivotAreas count="1">
        <pivotArea type="data" collapsedLevelsAreSubtotals="1" fieldPosition="0">
          <references count="3">
            <reference field="4294967294" count="1" selected="0">
              <x v="0"/>
            </reference>
            <reference field="3" count="8">
              <x v="0"/>
              <x v="1"/>
              <x v="2"/>
              <x v="3"/>
              <x v="4"/>
              <x v="5"/>
              <x v="6"/>
              <x v="7"/>
            </reference>
            <reference field="4" count="1" selected="0">
              <x v="3"/>
            </reference>
          </references>
        </pivotArea>
      </pivotAreas>
    </conditionalFormat>
    <conditionalFormat priority="9">
      <pivotAreas count="1">
        <pivotArea type="data" collapsedLevelsAreSubtotals="1" fieldPosition="0">
          <references count="3">
            <reference field="4294967294" count="1" selected="0">
              <x v="0"/>
            </reference>
            <reference field="3" count="8">
              <x v="0"/>
              <x v="1"/>
              <x v="2"/>
              <x v="3"/>
              <x v="4"/>
              <x v="5"/>
              <x v="6"/>
              <x v="7"/>
            </reference>
            <reference field="4" count="1" selected="0">
              <x v="2"/>
            </reference>
          </references>
        </pivotArea>
      </pivotAreas>
    </conditionalFormat>
    <conditionalFormat priority="10">
      <pivotAreas count="1">
        <pivotArea type="data" collapsedLevelsAreSubtotals="1" fieldPosition="0">
          <references count="3">
            <reference field="4294967294" count="1" selected="0">
              <x v="0"/>
            </reference>
            <reference field="3" count="8">
              <x v="0"/>
              <x v="1"/>
              <x v="2"/>
              <x v="3"/>
              <x v="4"/>
              <x v="5"/>
              <x v="6"/>
              <x v="7"/>
            </reference>
            <reference field="4" count="1" selected="0">
              <x v="1"/>
            </reference>
          </references>
        </pivotArea>
      </pivotAreas>
    </conditionalFormat>
    <conditionalFormat priority="13">
      <pivotAreas count="1">
        <pivotArea type="data" collapsedLevelsAreSubtotals="1" fieldPosition="0">
          <references count="3">
            <reference field="4294967294" count="1" selected="0">
              <x v="0"/>
            </reference>
            <reference field="3" count="8">
              <x v="0"/>
              <x v="1"/>
              <x v="2"/>
              <x v="3"/>
              <x v="4"/>
              <x v="5"/>
              <x v="6"/>
              <x v="7"/>
            </reference>
            <reference field="4" count="1" selected="0">
              <x v="0"/>
            </reference>
          </references>
        </pivotArea>
      </pivotAreas>
    </conditionalFormat>
  </conditional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943709-9CE8-4E0D-830B-17A01D33D478}"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colHeaderCaption="Category">
  <location ref="A20:H44" firstHeaderRow="1" firstDataRow="2" firstDataCol="1"/>
  <pivotFields count="24">
    <pivotField showAll="0"/>
    <pivotField axis="axisRow"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dataField="1" showAll="0"/>
    <pivotField showAll="0"/>
    <pivotField axis="axisCol" showAll="0">
      <items count="7">
        <item x="2"/>
        <item x="4"/>
        <item x="5"/>
        <item x="0"/>
        <item x="3"/>
        <item x="1"/>
        <item t="default"/>
      </items>
    </pivotField>
    <pivotField showAll="0"/>
    <pivotField showAll="0"/>
    <pivotField showAll="0"/>
    <pivotField showAll="0"/>
    <pivotField numFmtId="9" showAll="0"/>
    <pivotField showAll="0"/>
    <pivotField showAll="0"/>
    <pivotField showAll="0"/>
    <pivotField showAll="0"/>
    <pivotField showAll="0"/>
    <pivotField numFmtId="44" showAll="0"/>
    <pivotField showAll="0"/>
    <pivotField showAll="0"/>
    <pivotField showAll="0"/>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23"/>
    <field x="21"/>
    <field x="1"/>
  </rowFields>
  <rowItems count="23">
    <i>
      <x v="1"/>
    </i>
    <i r="1">
      <x v="4"/>
    </i>
    <i r="1">
      <x v="5"/>
    </i>
    <i r="1">
      <x v="6"/>
    </i>
    <i r="1">
      <x v="7"/>
    </i>
    <i r="1">
      <x v="8"/>
    </i>
    <i r="1">
      <x v="9"/>
    </i>
    <i r="1">
      <x v="10"/>
    </i>
    <i r="1">
      <x v="11"/>
    </i>
    <i r="1">
      <x v="12"/>
    </i>
    <i>
      <x v="2"/>
    </i>
    <i r="1">
      <x v="1"/>
    </i>
    <i r="1">
      <x v="2"/>
    </i>
    <i r="1">
      <x v="3"/>
    </i>
    <i r="1">
      <x v="4"/>
    </i>
    <i r="1">
      <x v="5"/>
    </i>
    <i r="1">
      <x v="6"/>
    </i>
    <i r="1">
      <x v="7"/>
    </i>
    <i r="1">
      <x v="8"/>
    </i>
    <i r="1">
      <x v="9"/>
    </i>
    <i r="1">
      <x v="10"/>
    </i>
    <i r="1">
      <x v="11"/>
    </i>
    <i t="grand">
      <x/>
    </i>
  </rowItems>
  <colFields count="1">
    <field x="4"/>
  </colFields>
  <colItems count="7">
    <i>
      <x/>
    </i>
    <i>
      <x v="1"/>
    </i>
    <i>
      <x v="2"/>
    </i>
    <i>
      <x v="3"/>
    </i>
    <i>
      <x v="4"/>
    </i>
    <i>
      <x v="5"/>
    </i>
    <i t="grand">
      <x/>
    </i>
  </colItems>
  <dataFields count="1">
    <dataField name="No. of Orders" fld="2" subtotal="count" baseField="0" baseItem="0"/>
  </dataFields>
  <formats count="1">
    <format dxfId="289">
      <pivotArea outline="0" collapsedLevelsAreSubtotals="1" fieldPosition="0"/>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9B3C32-C476-4B39-BFF7-C419957D1F0B}" name="PivotTable2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Return Reason" colHeaderCaption="Category">
  <location ref="A79:B87" firstHeaderRow="1" firstDataRow="1"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showAll="0"/>
    <pivotField showAll="0">
      <items count="9">
        <item x="5"/>
        <item x="2"/>
        <item x="7"/>
        <item x="6"/>
        <item x="4"/>
        <item x="3"/>
        <item x="1"/>
        <item x="0"/>
        <item t="default"/>
      </items>
    </pivotField>
    <pivotField showAll="0">
      <items count="7">
        <item x="2"/>
        <item x="4"/>
        <item x="5"/>
        <item x="0"/>
        <item x="3"/>
        <item x="1"/>
        <item t="default"/>
      </items>
    </pivotField>
    <pivotField showAll="0"/>
    <pivotField showAll="0"/>
    <pivotField showAll="0"/>
    <pivotField showAll="0"/>
    <pivotField numFmtId="9" showAll="0"/>
    <pivotField showAll="0"/>
    <pivotField showAll="0"/>
    <pivotField showAll="0"/>
    <pivotField dataField="1" showAll="0"/>
    <pivotField axis="axisRow" showAll="0" sortType="descending">
      <items count="9">
        <item x="1"/>
        <item x="5"/>
        <item x="6"/>
        <item x="4"/>
        <item x="3"/>
        <item x="2"/>
        <item x="7"/>
        <item h="1" x="0"/>
        <item t="default"/>
      </items>
      <autoSortScope>
        <pivotArea dataOnly="0" outline="0" fieldPosition="0">
          <references count="1">
            <reference field="4294967294" count="1" selected="0">
              <x v="0"/>
            </reference>
          </references>
        </pivotArea>
      </autoSortScope>
    </pivotField>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4"/>
  </rowFields>
  <rowItems count="8">
    <i>
      <x v="4"/>
    </i>
    <i>
      <x v="3"/>
    </i>
    <i>
      <x v="1"/>
    </i>
    <i>
      <x v="2"/>
    </i>
    <i>
      <x/>
    </i>
    <i>
      <x v="6"/>
    </i>
    <i>
      <x v="5"/>
    </i>
    <i t="grand">
      <x/>
    </i>
  </rowItems>
  <colItems count="1">
    <i/>
  </colItems>
  <dataFields count="1">
    <dataField name="No of Returns" fld="13" subtotal="count" baseField="0" baseItem="0" numFmtId="1"/>
  </dataFields>
  <formats count="1">
    <format dxfId="288">
      <pivotArea outline="0" collapsedLevelsAreSubtotals="1" fieldPosition="0"/>
    </format>
  </format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4" count="1" selected="0">
            <x v="4"/>
          </reference>
        </references>
      </pivotArea>
    </chartFormat>
    <chartFormat chart="3" format="11">
      <pivotArea type="data" outline="0" fieldPosition="0">
        <references count="2">
          <reference field="4294967294" count="1" selected="0">
            <x v="0"/>
          </reference>
          <reference field="14" count="1" selected="0">
            <x v="3"/>
          </reference>
        </references>
      </pivotArea>
    </chartFormat>
    <chartFormat chart="3" format="12">
      <pivotArea type="data" outline="0" fieldPosition="0">
        <references count="2">
          <reference field="4294967294" count="1" selected="0">
            <x v="0"/>
          </reference>
          <reference field="14" count="1" selected="0">
            <x v="1"/>
          </reference>
        </references>
      </pivotArea>
    </chartFormat>
    <chartFormat chart="3" format="13">
      <pivotArea type="data" outline="0" fieldPosition="0">
        <references count="2">
          <reference field="4294967294" count="1" selected="0">
            <x v="0"/>
          </reference>
          <reference field="14" count="1" selected="0">
            <x v="2"/>
          </reference>
        </references>
      </pivotArea>
    </chartFormat>
    <chartFormat chart="3" format="14">
      <pivotArea type="data" outline="0" fieldPosition="0">
        <references count="2">
          <reference field="4294967294" count="1" selected="0">
            <x v="0"/>
          </reference>
          <reference field="14" count="1" selected="0">
            <x v="0"/>
          </reference>
        </references>
      </pivotArea>
    </chartFormat>
    <chartFormat chart="3" format="15">
      <pivotArea type="data" outline="0" fieldPosition="0">
        <references count="2">
          <reference field="4294967294" count="1" selected="0">
            <x v="0"/>
          </reference>
          <reference field="14" count="1" selected="0">
            <x v="6"/>
          </reference>
        </references>
      </pivotArea>
    </chartFormat>
    <chartFormat chart="3" format="16">
      <pivotArea type="data" outline="0" fieldPosition="0">
        <references count="2">
          <reference field="4294967294" count="1" selected="0">
            <x v="0"/>
          </reference>
          <reference field="14" count="1" selected="0">
            <x v="5"/>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B119B2-6F4F-431F-81FF-65E1B40C25B1}"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Selling Product" colHeaderCaption="Category">
  <location ref="J6:K17" firstHeaderRow="1" firstDataRow="1" firstDataCol="1"/>
  <pivotFields count="24">
    <pivotField axis="axisRow" showAll="0" measureFilter="1" sortType="descending">
      <items count="49">
        <item x="29"/>
        <item x="11"/>
        <item x="24"/>
        <item x="40"/>
        <item x="36"/>
        <item x="15"/>
        <item x="31"/>
        <item x="22"/>
        <item x="19"/>
        <item x="17"/>
        <item x="46"/>
        <item x="4"/>
        <item x="27"/>
        <item x="30"/>
        <item x="39"/>
        <item x="33"/>
        <item x="45"/>
        <item x="20"/>
        <item x="41"/>
        <item x="23"/>
        <item x="44"/>
        <item x="34"/>
        <item x="14"/>
        <item x="25"/>
        <item x="47"/>
        <item x="32"/>
        <item x="43"/>
        <item x="9"/>
        <item x="37"/>
        <item x="35"/>
        <item x="13"/>
        <item x="18"/>
        <item x="7"/>
        <item x="16"/>
        <item x="28"/>
        <item x="10"/>
        <item x="2"/>
        <item x="21"/>
        <item x="12"/>
        <item x="8"/>
        <item x="3"/>
        <item x="1"/>
        <item x="5"/>
        <item x="6"/>
        <item x="42"/>
        <item x="0"/>
        <item x="26"/>
        <item x="38"/>
        <item t="default"/>
      </items>
      <autoSortScope>
        <pivotArea dataOnly="0" outline="0" fieldPosition="0">
          <references count="1">
            <reference field="4294967294" count="1" selected="0">
              <x v="0"/>
            </reference>
          </references>
        </pivotArea>
      </autoSortScope>
    </pivotField>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pivotField showAll="0"/>
    <pivotField showAll="0"/>
    <pivotField numFmtId="44" showAll="0"/>
    <pivotField showAll="0"/>
    <pivotField showAll="0"/>
    <pivotField showAll="0"/>
    <pivotField showAll="0"/>
    <pivotField dataField="1" numFmtId="2" showAll="0">
      <items count="2033">
        <item x="1658"/>
        <item x="129"/>
        <item x="1022"/>
        <item x="642"/>
        <item x="1271"/>
        <item x="1689"/>
        <item x="1684"/>
        <item x="1718"/>
        <item x="334"/>
        <item x="1348"/>
        <item x="429"/>
        <item x="910"/>
        <item x="1817"/>
        <item x="1229"/>
        <item x="1841"/>
        <item x="1404"/>
        <item x="1498"/>
        <item x="3"/>
        <item x="533"/>
        <item x="1013"/>
        <item x="104"/>
        <item x="1523"/>
        <item x="137"/>
        <item x="1673"/>
        <item x="459"/>
        <item x="1204"/>
        <item x="11"/>
        <item x="804"/>
        <item x="1019"/>
        <item x="430"/>
        <item x="238"/>
        <item x="1944"/>
        <item x="868"/>
        <item x="883"/>
        <item x="1897"/>
        <item x="953"/>
        <item x="2000"/>
        <item x="527"/>
        <item x="304"/>
        <item x="59"/>
        <item x="120"/>
        <item x="1339"/>
        <item x="1975"/>
        <item x="413"/>
        <item x="1555"/>
        <item x="489"/>
        <item x="220"/>
        <item x="1098"/>
        <item x="987"/>
        <item x="1974"/>
        <item x="1878"/>
        <item x="1168"/>
        <item x="1146"/>
        <item x="53"/>
        <item x="1069"/>
        <item x="123"/>
        <item x="1571"/>
        <item x="475"/>
        <item x="158"/>
        <item x="1676"/>
        <item x="1811"/>
        <item x="1232"/>
        <item x="128"/>
        <item x="1814"/>
        <item x="678"/>
        <item x="1100"/>
        <item x="494"/>
        <item x="645"/>
        <item x="1386"/>
        <item x="2002"/>
        <item x="1228"/>
        <item x="704"/>
        <item x="1349"/>
        <item x="960"/>
        <item x="870"/>
        <item x="1528"/>
        <item x="1376"/>
        <item x="1140"/>
        <item x="491"/>
        <item x="247"/>
        <item x="2031"/>
        <item x="1191"/>
        <item x="1835"/>
        <item x="169"/>
        <item x="63"/>
        <item x="701"/>
        <item x="252"/>
        <item x="275"/>
        <item x="590"/>
        <item x="1030"/>
        <item x="1163"/>
        <item x="108"/>
        <item x="1524"/>
        <item x="177"/>
        <item x="706"/>
        <item x="55"/>
        <item x="438"/>
        <item x="1973"/>
        <item x="1194"/>
        <item x="468"/>
        <item x="1531"/>
        <item x="250"/>
        <item x="119"/>
        <item x="1547"/>
        <item x="814"/>
        <item x="872"/>
        <item x="1566"/>
        <item x="1810"/>
        <item x="1781"/>
        <item x="1095"/>
        <item x="1890"/>
        <item x="1726"/>
        <item x="1507"/>
        <item x="1087"/>
        <item x="1452"/>
        <item x="139"/>
        <item x="1040"/>
        <item x="751"/>
        <item x="531"/>
        <item x="593"/>
        <item x="579"/>
        <item x="995"/>
        <item x="408"/>
        <item x="1269"/>
        <item x="1409"/>
        <item x="1773"/>
        <item x="1458"/>
        <item x="816"/>
        <item x="1564"/>
        <item x="537"/>
        <item x="1317"/>
        <item x="994"/>
        <item x="365"/>
        <item x="1174"/>
        <item x="1080"/>
        <item x="1694"/>
        <item x="926"/>
        <item x="674"/>
        <item x="1511"/>
        <item x="1252"/>
        <item x="1023"/>
        <item x="142"/>
        <item x="285"/>
        <item x="560"/>
        <item x="1312"/>
        <item x="201"/>
        <item x="1470"/>
        <item x="630"/>
        <item x="43"/>
        <item x="1290"/>
        <item x="673"/>
        <item x="799"/>
        <item x="903"/>
        <item x="105"/>
        <item x="102"/>
        <item x="1791"/>
        <item x="834"/>
        <item x="1733"/>
        <item x="1548"/>
        <item x="1009"/>
        <item x="1745"/>
        <item x="2012"/>
        <item x="691"/>
        <item x="1018"/>
        <item x="1363"/>
        <item x="2004"/>
        <item x="1896"/>
        <item x="46"/>
        <item x="1626"/>
        <item x="936"/>
        <item x="498"/>
        <item x="1737"/>
        <item x="1854"/>
        <item x="160"/>
        <item x="1150"/>
        <item x="1497"/>
        <item x="1919"/>
        <item x="1955"/>
        <item x="1445"/>
        <item x="1886"/>
        <item x="1924"/>
        <item x="422"/>
        <item x="793"/>
        <item x="1288"/>
        <item x="293"/>
        <item x="1588"/>
        <item x="909"/>
        <item x="1280"/>
        <item x="2028"/>
        <item x="38"/>
        <item x="1797"/>
        <item x="1706"/>
        <item x="12"/>
        <item x="1270"/>
        <item x="646"/>
        <item x="28"/>
        <item x="1485"/>
        <item x="1707"/>
        <item x="74"/>
        <item x="1020"/>
        <item x="1576"/>
        <item x="1775"/>
        <item x="695"/>
        <item x="1411"/>
        <item x="1506"/>
        <item x="1654"/>
        <item x="768"/>
        <item x="1277"/>
        <item x="1852"/>
        <item x="778"/>
        <item x="428"/>
        <item x="68"/>
        <item x="281"/>
        <item x="585"/>
        <item x="1846"/>
        <item x="309"/>
        <item x="291"/>
        <item x="1819"/>
        <item x="1755"/>
        <item x="725"/>
        <item x="993"/>
        <item x="1988"/>
        <item x="1239"/>
        <item x="716"/>
        <item x="2006"/>
        <item x="761"/>
        <item x="174"/>
        <item x="1046"/>
        <item x="829"/>
        <item x="185"/>
        <item x="1661"/>
        <item x="495"/>
        <item x="501"/>
        <item x="50"/>
        <item x="1138"/>
        <item x="840"/>
        <item x="1287"/>
        <item x="387"/>
        <item x="1849"/>
        <item x="737"/>
        <item x="801"/>
        <item x="1766"/>
        <item x="948"/>
        <item x="1978"/>
        <item x="1898"/>
        <item x="1830"/>
        <item x="1039"/>
        <item x="632"/>
        <item x="1131"/>
        <item x="1097"/>
        <item x="156"/>
        <item x="1899"/>
        <item x="1519"/>
        <item x="311"/>
        <item x="242"/>
        <item x="75"/>
        <item x="121"/>
        <item x="1210"/>
        <item x="253"/>
        <item x="592"/>
        <item x="1958"/>
        <item x="618"/>
        <item x="1494"/>
        <item x="597"/>
        <item x="663"/>
        <item x="1303"/>
        <item x="1575"/>
        <item x="806"/>
        <item x="622"/>
        <item x="335"/>
        <item x="360"/>
        <item x="546"/>
        <item x="809"/>
        <item x="638"/>
        <item x="950"/>
        <item x="746"/>
        <item x="1202"/>
        <item x="1029"/>
        <item x="297"/>
        <item x="1044"/>
        <item x="1597"/>
        <item x="1128"/>
        <item x="1848"/>
        <item x="1366"/>
        <item x="1752"/>
        <item x="218"/>
        <item x="7"/>
        <item x="1460"/>
        <item x="503"/>
        <item x="1758"/>
        <item x="39"/>
        <item x="486"/>
        <item x="1455"/>
        <item x="1675"/>
        <item x="1685"/>
        <item x="1984"/>
        <item x="101"/>
        <item x="1200"/>
        <item x="1068"/>
        <item x="770"/>
        <item x="956"/>
        <item x="1183"/>
        <item x="1729"/>
        <item x="631"/>
        <item x="1774"/>
        <item x="1487"/>
        <item x="828"/>
        <item x="1992"/>
        <item x="470"/>
        <item x="88"/>
        <item x="885"/>
        <item x="1821"/>
        <item x="25"/>
        <item x="924"/>
        <item x="269"/>
        <item x="1221"/>
        <item x="1081"/>
        <item x="1740"/>
        <item x="1859"/>
        <item x="1356"/>
        <item x="1465"/>
        <item x="52"/>
        <item x="395"/>
        <item x="1762"/>
        <item x="1624"/>
        <item x="1761"/>
        <item x="431"/>
        <item x="1439"/>
        <item x="1960"/>
        <item x="715"/>
        <item x="831"/>
        <item x="493"/>
        <item x="397"/>
        <item x="322"/>
        <item x="1722"/>
        <item x="553"/>
        <item x="830"/>
        <item x="1512"/>
        <item x="690"/>
        <item x="1857"/>
        <item x="694"/>
        <item x="191"/>
        <item x="1834"/>
        <item x="1805"/>
        <item x="100"/>
        <item x="808"/>
        <item x="1493"/>
        <item x="1604"/>
        <item x="1492"/>
        <item x="1625"/>
        <item x="664"/>
        <item x="1943"/>
        <item x="1296"/>
        <item x="274"/>
        <item x="1753"/>
        <item x="1949"/>
        <item x="240"/>
        <item x="342"/>
        <item x="1714"/>
        <item x="1233"/>
        <item x="1489"/>
        <item x="233"/>
        <item x="1643"/>
        <item x="1235"/>
        <item x="1560"/>
        <item x="272"/>
        <item x="766"/>
        <item x="1935"/>
        <item x="1175"/>
        <item x="971"/>
        <item x="655"/>
        <item x="554"/>
        <item x="771"/>
        <item x="208"/>
        <item x="1047"/>
        <item x="1428"/>
        <item x="847"/>
        <item x="1110"/>
        <item x="244"/>
        <item x="1820"/>
        <item x="1340"/>
        <item x="1057"/>
        <item x="1741"/>
        <item x="712"/>
        <item x="812"/>
        <item x="1882"/>
        <item x="1786"/>
        <item x="1300"/>
        <item x="359"/>
        <item x="1637"/>
        <item x="931"/>
        <item x="1102"/>
        <item x="1091"/>
        <item x="1268"/>
        <item x="1035"/>
        <item x="112"/>
        <item x="1094"/>
        <item x="1585"/>
        <item x="1005"/>
        <item x="1998"/>
        <item x="550"/>
        <item x="1589"/>
        <item x="1151"/>
        <item x="777"/>
        <item x="1318"/>
        <item x="788"/>
        <item x="709"/>
        <item x="1012"/>
        <item x="1509"/>
        <item x="2001"/>
        <item x="1209"/>
        <item x="40"/>
        <item x="251"/>
        <item x="639"/>
        <item x="471"/>
        <item x="629"/>
        <item x="18"/>
        <item x="103"/>
        <item x="99"/>
        <item x="2009"/>
        <item x="577"/>
        <item x="1304"/>
        <item x="67"/>
        <item x="1891"/>
        <item x="1969"/>
        <item x="520"/>
        <item x="14"/>
        <item x="1915"/>
        <item x="1910"/>
        <item x="1767"/>
        <item x="1628"/>
        <item x="1802"/>
        <item x="1240"/>
        <item x="147"/>
        <item x="1369"/>
        <item x="1281"/>
        <item x="620"/>
        <item x="490"/>
        <item x="407"/>
        <item x="1127"/>
        <item x="733"/>
        <item x="1721"/>
        <item x="266"/>
        <item x="892"/>
        <item x="1157"/>
        <item x="348"/>
        <item x="1011"/>
        <item x="416"/>
        <item x="454"/>
        <item x="886"/>
        <item x="1840"/>
        <item x="1015"/>
        <item x="1751"/>
        <item x="565"/>
        <item x="125"/>
        <item x="1249"/>
        <item x="625"/>
        <item x="511"/>
        <item x="1188"/>
        <item x="1357"/>
        <item x="1007"/>
        <item x="96"/>
        <item x="1119"/>
        <item x="171"/>
        <item x="578"/>
        <item x="282"/>
        <item x="1914"/>
        <item x="1967"/>
        <item x="1549"/>
        <item x="1695"/>
        <item x="1259"/>
        <item x="1503"/>
        <item x="1577"/>
        <item x="731"/>
        <item x="563"/>
        <item x="1550"/>
        <item x="393"/>
        <item x="402"/>
        <item x="1026"/>
        <item x="580"/>
        <item x="148"/>
        <item x="996"/>
        <item x="24"/>
        <item x="186"/>
        <item x="1918"/>
        <item x="1398"/>
        <item x="312"/>
        <item x="1770"/>
        <item x="1394"/>
        <item x="1640"/>
        <item x="743"/>
        <item x="1939"/>
        <item x="1010"/>
        <item x="2023"/>
        <item x="1584"/>
        <item x="1968"/>
        <item x="15"/>
        <item x="278"/>
        <item x="317"/>
        <item x="979"/>
        <item x="1413"/>
        <item x="1990"/>
        <item x="1396"/>
        <item x="697"/>
        <item x="295"/>
        <item x="1414"/>
        <item x="2020"/>
        <item x="519"/>
        <item x="1186"/>
        <item x="1502"/>
        <item x="446"/>
        <item x="1686"/>
        <item x="1514"/>
        <item x="569"/>
        <item x="1426"/>
        <item x="1055"/>
        <item x="608"/>
        <item x="1389"/>
        <item x="1147"/>
        <item x="1932"/>
        <item x="717"/>
        <item x="1160"/>
        <item x="1749"/>
        <item x="1056"/>
        <item x="904"/>
        <item x="1463"/>
        <item x="213"/>
        <item x="1611"/>
        <item x="616"/>
        <item x="426"/>
        <item x="794"/>
        <item x="172"/>
        <item x="1715"/>
        <item x="66"/>
        <item x="1190"/>
        <item x="1933"/>
        <item x="1927"/>
        <item x="1947"/>
        <item x="1182"/>
        <item x="600"/>
        <item x="692"/>
        <item x="400"/>
        <item x="77"/>
        <item x="989"/>
        <item x="693"/>
        <item x="352"/>
        <item x="902"/>
        <item x="133"/>
        <item x="1756"/>
        <item x="857"/>
        <item x="1698"/>
        <item x="1993"/>
        <item x="1374"/>
        <item x="22"/>
        <item x="1903"/>
        <item x="443"/>
        <item x="377"/>
        <item x="792"/>
        <item x="1806"/>
        <item x="439"/>
        <item x="974"/>
        <item x="264"/>
        <item x="1219"/>
        <item x="1772"/>
        <item x="1449"/>
        <item x="1660"/>
        <item x="1674"/>
        <item x="897"/>
        <item x="1291"/>
        <item x="1959"/>
        <item x="542"/>
        <item x="2010"/>
        <item x="1565"/>
        <item x="1165"/>
        <item x="448"/>
        <item x="1101"/>
        <item x="124"/>
        <item x="1187"/>
        <item x="5"/>
        <item x="1067"/>
        <item x="1530"/>
        <item x="482"/>
        <item x="1832"/>
        <item x="1893"/>
        <item x="1454"/>
        <item x="850"/>
        <item x="1305"/>
        <item x="508"/>
        <item x="930"/>
        <item x="1371"/>
        <item x="1513"/>
        <item x="2029"/>
        <item x="906"/>
        <item x="1681"/>
        <item x="1461"/>
        <item x="1743"/>
        <item x="1468"/>
        <item x="54"/>
        <item x="772"/>
        <item x="47"/>
        <item x="652"/>
        <item x="396"/>
        <item x="1216"/>
        <item x="1613"/>
        <item x="1634"/>
        <item x="1994"/>
        <item x="871"/>
        <item x="1381"/>
        <item x="1329"/>
        <item x="1976"/>
        <item x="288"/>
        <item x="523"/>
        <item x="972"/>
        <item x="784"/>
        <item x="258"/>
        <item x="1563"/>
        <item x="1024"/>
        <item x="1952"/>
        <item x="1274"/>
        <item x="827"/>
        <item x="1782"/>
        <item x="2015"/>
        <item x="279"/>
        <item x="386"/>
        <item x="1362"/>
        <item x="1166"/>
        <item x="581"/>
        <item x="1567"/>
        <item x="1417"/>
        <item x="1697"/>
        <item x="343"/>
        <item x="815"/>
        <item x="1578"/>
        <item x="1448"/>
        <item x="1556"/>
        <item x="328"/>
        <item x="163"/>
        <item x="1871"/>
        <item x="1693"/>
        <item x="1123"/>
        <item x="524"/>
        <item x="839"/>
        <item x="1583"/>
        <item x="1279"/>
        <item x="1255"/>
        <item x="866"/>
        <item x="161"/>
        <item x="305"/>
        <item x="95"/>
        <item x="1616"/>
        <item x="1808"/>
        <item x="111"/>
        <item x="644"/>
        <item x="1476"/>
        <item x="922"/>
        <item x="650"/>
        <item x="864"/>
        <item x="700"/>
        <item x="1262"/>
        <item x="1536"/>
        <item x="1145"/>
        <item x="975"/>
        <item x="845"/>
        <item x="669"/>
        <item x="670"/>
        <item x="1794"/>
        <item x="230"/>
        <item x="564"/>
        <item x="463"/>
        <item x="49"/>
        <item x="750"/>
        <item x="1970"/>
        <item x="79"/>
        <item x="1242"/>
        <item x="1499"/>
        <item x="204"/>
        <item x="602"/>
        <item x="1869"/>
        <item x="627"/>
        <item x="666"/>
        <item x="1612"/>
        <item x="1322"/>
        <item x="167"/>
        <item x="1324"/>
        <item x="723"/>
        <item x="1120"/>
        <item x="1764"/>
        <item x="1784"/>
        <item x="1410"/>
        <item x="745"/>
        <item x="1680"/>
        <item x="1325"/>
        <item x="229"/>
        <item x="1063"/>
        <item x="284"/>
        <item x="562"/>
        <item x="952"/>
        <item x="1456"/>
        <item x="1141"/>
        <item x="445"/>
        <item x="540"/>
        <item x="1679"/>
        <item x="1942"/>
        <item x="913"/>
        <item x="241"/>
        <item x="617"/>
        <item x="1197"/>
        <item x="116"/>
        <item x="1690"/>
        <item x="235"/>
        <item x="1457"/>
        <item x="62"/>
        <item x="736"/>
        <item x="385"/>
        <item x="166"/>
        <item x="326"/>
        <item x="1712"/>
        <item x="853"/>
        <item x="601"/>
        <item x="356"/>
        <item x="1803"/>
        <item x="1286"/>
        <item x="976"/>
        <item x="2"/>
        <item x="179"/>
        <item x="921"/>
        <item x="355"/>
        <item x="747"/>
        <item x="1614"/>
        <item x="480"/>
        <item x="1844"/>
        <item x="1025"/>
        <item x="1911"/>
        <item x="1620"/>
        <item x="1558"/>
        <item x="583"/>
        <item x="381"/>
        <item x="1437"/>
        <item x="858"/>
        <item x="502"/>
        <item x="2022"/>
        <item x="1875"/>
        <item x="1008"/>
        <item x="368"/>
        <item x="1713"/>
        <item x="615"/>
        <item x="1477"/>
        <item x="1248"/>
        <item x="1879"/>
        <item x="1176"/>
        <item x="1422"/>
        <item x="1041"/>
        <item x="399"/>
        <item x="1482"/>
        <item x="1227"/>
        <item x="513"/>
        <item x="1156"/>
        <item x="1521"/>
        <item x="1107"/>
        <item x="1264"/>
        <item x="1909"/>
        <item x="255"/>
        <item x="1537"/>
        <item x="456"/>
        <item x="1892"/>
        <item x="1720"/>
        <item x="945"/>
        <item x="908"/>
        <item x="347"/>
        <item x="962"/>
        <item x="734"/>
        <item x="586"/>
        <item x="867"/>
        <item x="526"/>
        <item x="1704"/>
        <item x="375"/>
        <item x="1391"/>
        <item x="472"/>
        <item x="1093"/>
        <item x="599"/>
        <item x="1211"/>
        <item x="1243"/>
        <item x="1480"/>
        <item x="572"/>
        <item x="920"/>
        <item x="518"/>
        <item x="1253"/>
        <item x="437"/>
        <item x="1966"/>
        <item x="2007"/>
        <item x="267"/>
        <item x="1256"/>
        <item x="1004"/>
        <item x="738"/>
        <item x="1710"/>
        <item x="880"/>
        <item x="500"/>
        <item x="364"/>
        <item x="882"/>
        <item x="515"/>
        <item x="1516"/>
        <item x="610"/>
        <item x="1860"/>
        <item x="1610"/>
        <item x="1754"/>
        <item x="647"/>
        <item x="671"/>
        <item x="349"/>
        <item x="1399"/>
        <item x="332"/>
        <item x="506"/>
        <item x="205"/>
        <item x="657"/>
        <item x="763"/>
        <item x="1179"/>
        <item x="1402"/>
        <item x="811"/>
        <item x="898"/>
        <item x="378"/>
        <item x="606"/>
        <item x="484"/>
        <item x="724"/>
        <item x="34"/>
        <item x="654"/>
        <item x="741"/>
        <item x="1104"/>
        <item x="689"/>
        <item x="1261"/>
        <item x="21"/>
        <item x="1705"/>
        <item x="596"/>
        <item x="436"/>
        <item x="1358"/>
        <item x="236"/>
        <item x="406"/>
        <item x="91"/>
        <item x="1400"/>
        <item x="1815"/>
        <item x="1596"/>
        <item x="876"/>
        <item x="1670"/>
        <item x="2003"/>
        <item x="1467"/>
        <item x="1971"/>
        <item x="1926"/>
        <item x="874"/>
        <item x="1730"/>
        <item x="607"/>
        <item x="1598"/>
        <item x="449"/>
        <item x="683"/>
        <item x="178"/>
        <item x="1000"/>
        <item x="681"/>
        <item x="303"/>
        <item x="1929"/>
        <item x="1272"/>
        <item x="1662"/>
        <item x="206"/>
        <item x="1344"/>
        <item x="1562"/>
        <item x="418"/>
        <item x="764"/>
        <item x="199"/>
        <item x="1177"/>
        <item x="1313"/>
        <item x="1517"/>
        <item x="1818"/>
        <item x="198"/>
        <item x="1579"/>
        <item x="31"/>
        <item x="2011"/>
        <item x="1032"/>
        <item x="80"/>
        <item x="113"/>
        <item x="1602"/>
        <item x="1557"/>
        <item x="843"/>
        <item x="1238"/>
        <item x="1644"/>
        <item x="1800"/>
        <item x="832"/>
        <item x="1149"/>
        <item x="315"/>
        <item x="1876"/>
        <item x="1570"/>
        <item x="1114"/>
        <item x="1033"/>
        <item x="1688"/>
        <item x="855"/>
        <item x="549"/>
        <item x="210"/>
        <item x="1621"/>
        <item x="1982"/>
        <item x="889"/>
        <item x="1284"/>
        <item x="985"/>
        <item x="1052"/>
        <item x="1351"/>
        <item x="109"/>
        <item x="81"/>
        <item x="330"/>
        <item x="146"/>
        <item x="1447"/>
        <item x="187"/>
        <item x="440"/>
        <item x="1816"/>
        <item x="221"/>
        <item x="181"/>
        <item x="1306"/>
        <item x="1787"/>
        <item x="1014"/>
        <item x="997"/>
        <item x="392"/>
        <item x="232"/>
        <item x="658"/>
        <item x="358"/>
        <item x="901"/>
        <item x="78"/>
        <item x="73"/>
        <item x="44"/>
        <item x="212"/>
        <item x="455"/>
        <item x="573"/>
        <item x="1074"/>
        <item x="138"/>
        <item x="1099"/>
        <item x="357"/>
        <item x="394"/>
        <item x="970"/>
        <item x="1727"/>
        <item x="1778"/>
        <item x="296"/>
        <item x="1395"/>
        <item x="915"/>
        <item x="1759"/>
        <item x="660"/>
        <item x="1827"/>
        <item x="1615"/>
        <item x="1071"/>
        <item x="175"/>
        <item x="1172"/>
        <item x="462"/>
        <item x="1370"/>
        <item x="466"/>
        <item x="372"/>
        <item x="1258"/>
        <item x="35"/>
        <item x="132"/>
        <item x="383"/>
        <item x="1788"/>
        <item x="534"/>
        <item x="1508"/>
        <item x="914"/>
        <item x="1036"/>
        <item x="2027"/>
        <item x="805"/>
        <item x="1295"/>
        <item x="1553"/>
        <item x="1042"/>
        <item x="1595"/>
        <item x="800"/>
        <item x="1332"/>
        <item x="1486"/>
        <item x="1220"/>
        <item x="688"/>
        <item x="758"/>
        <item x="1143"/>
        <item x="653"/>
        <item x="307"/>
        <item x="1522"/>
        <item x="1906"/>
        <item x="36"/>
        <item x="1372"/>
        <item x="1308"/>
        <item x="1938"/>
        <item x="780"/>
        <item x="1510"/>
        <item x="10"/>
        <item x="245"/>
        <item x="4"/>
        <item x="143"/>
        <item x="1665"/>
        <item x="1125"/>
        <item x="1213"/>
        <item x="1260"/>
        <item x="1885"/>
        <item x="710"/>
        <item x="94"/>
        <item x="702"/>
        <item x="634"/>
        <item x="2008"/>
        <item x="1569"/>
        <item x="1066"/>
        <item x="1350"/>
        <item x="1385"/>
        <item x="732"/>
        <item x="412"/>
        <item x="379"/>
        <item x="1241"/>
        <item x="1122"/>
        <item x="1981"/>
        <item x="69"/>
        <item x="685"/>
        <item x="1904"/>
        <item x="421"/>
        <item x="942"/>
        <item x="1049"/>
        <item x="796"/>
        <item x="1663"/>
        <item x="1084"/>
        <item x="1757"/>
        <item x="1105"/>
        <item x="1636"/>
        <item x="1950"/>
        <item x="1420"/>
        <item x="844"/>
        <item x="243"/>
        <item x="1028"/>
        <item x="384"/>
        <item x="289"/>
        <item x="1607"/>
        <item x="1418"/>
        <item x="790"/>
        <item x="1500"/>
        <item x="1746"/>
        <item x="1078"/>
        <item x="302"/>
        <item x="453"/>
        <item x="1133"/>
        <item x="986"/>
        <item x="1045"/>
        <item x="1424"/>
        <item x="548"/>
        <item x="1653"/>
        <item x="145"/>
        <item x="1215"/>
        <item x="1728"/>
        <item x="417"/>
        <item x="390"/>
        <item x="940"/>
        <item x="1738"/>
        <item x="1682"/>
        <item x="1635"/>
        <item x="699"/>
        <item x="561"/>
        <item x="1089"/>
        <item x="1416"/>
        <item x="1582"/>
        <item x="1619"/>
        <item x="957"/>
        <item x="479"/>
        <item x="476"/>
        <item x="1471"/>
        <item x="1965"/>
        <item x="1314"/>
        <item x="209"/>
        <item x="299"/>
        <item x="1780"/>
        <item x="884"/>
        <item x="1375"/>
        <item x="1162"/>
        <item x="1605"/>
        <item x="1515"/>
        <item x="1901"/>
        <item x="576"/>
        <item x="1338"/>
        <item x="6"/>
        <item x="935"/>
        <item x="1912"/>
        <item x="1867"/>
        <item x="134"/>
        <item x="135"/>
        <item x="954"/>
        <item x="1799"/>
        <item x="584"/>
        <item x="1234"/>
        <item x="1825"/>
        <item x="1629"/>
        <item x="64"/>
        <item x="196"/>
        <item x="207"/>
        <item x="1902"/>
        <item x="1539"/>
        <item x="373"/>
        <item x="1659"/>
        <item x="587"/>
        <item x="1421"/>
        <item x="1921"/>
        <item x="389"/>
        <item x="705"/>
        <item x="1769"/>
        <item x="662"/>
        <item x="1765"/>
        <item x="1847"/>
        <item x="1870"/>
        <item x="817"/>
        <item x="1"/>
        <item x="376"/>
        <item x="916"/>
        <item x="1265"/>
        <item x="1298"/>
        <item x="757"/>
        <item x="680"/>
        <item x="789"/>
        <item x="992"/>
        <item x="182"/>
        <item x="667"/>
        <item x="1225"/>
        <item x="1364"/>
        <item x="937"/>
        <item x="1672"/>
        <item x="776"/>
        <item x="17"/>
        <item x="155"/>
        <item x="1671"/>
        <item x="1771"/>
        <item x="641"/>
        <item x="1880"/>
        <item x="1435"/>
        <item x="567"/>
        <item x="460"/>
        <item x="325"/>
        <item x="1651"/>
        <item x="1623"/>
        <item x="1923"/>
        <item x="57"/>
        <item x="859"/>
        <item x="1948"/>
        <item x="1152"/>
        <item x="528"/>
        <item x="1380"/>
        <item x="824"/>
        <item x="58"/>
        <item x="56"/>
        <item x="1484"/>
        <item x="795"/>
        <item x="1346"/>
        <item x="33"/>
        <item x="115"/>
        <item x="648"/>
        <item x="1652"/>
        <item x="588"/>
        <item x="398"/>
        <item x="1112"/>
        <item x="1343"/>
        <item x="366"/>
        <item x="1392"/>
        <item x="756"/>
        <item x="1237"/>
        <item x="762"/>
        <item x="1900"/>
        <item x="1002"/>
        <item x="1246"/>
        <item x="225"/>
        <item x="1580"/>
        <item x="1472"/>
        <item x="1518"/>
        <item x="1627"/>
        <item x="1999"/>
        <item x="1594"/>
        <item x="1113"/>
        <item x="150"/>
        <item x="698"/>
        <item x="1360"/>
        <item x="991"/>
        <item x="344"/>
        <item x="1606"/>
        <item x="1941"/>
        <item x="1031"/>
        <item x="988"/>
        <item x="977"/>
        <item x="323"/>
        <item x="1003"/>
        <item x="1833"/>
        <item x="767"/>
        <item x="905"/>
        <item x="1092"/>
        <item x="614"/>
        <item x="200"/>
        <item x="775"/>
        <item x="1164"/>
        <item x="624"/>
        <item x="1473"/>
        <item x="367"/>
        <item x="144"/>
        <item x="1807"/>
        <item x="339"/>
        <item x="1709"/>
        <item x="410"/>
        <item x="990"/>
        <item x="1824"/>
        <item x="1193"/>
        <item x="1353"/>
        <item x="825"/>
        <item x="1677"/>
        <item x="1708"/>
        <item x="1535"/>
        <item x="1129"/>
        <item x="1199"/>
        <item x="1283"/>
        <item x="89"/>
        <item x="659"/>
        <item x="492"/>
        <item x="371"/>
        <item x="873"/>
        <item x="1646"/>
        <item x="1603"/>
        <item x="1453"/>
        <item x="1185"/>
        <item x="136"/>
        <item x="1109"/>
        <item x="215"/>
        <item x="1504"/>
        <item x="183"/>
        <item x="1158"/>
        <item x="1812"/>
        <item x="346"/>
        <item x="896"/>
        <item x="1121"/>
        <item x="582"/>
        <item x="41"/>
        <item x="570"/>
        <item x="42"/>
        <item x="1905"/>
        <item x="782"/>
        <item x="1987"/>
        <item x="92"/>
        <item x="875"/>
        <item x="1423"/>
        <item x="1347"/>
        <item x="1106"/>
        <item x="1554"/>
        <item x="711"/>
        <item x="838"/>
        <item x="231"/>
        <item x="1345"/>
        <item x="544"/>
        <item x="1868"/>
        <item x="730"/>
        <item x="728"/>
        <item x="211"/>
        <item x="217"/>
        <item x="1863"/>
        <item x="1326"/>
        <item x="473"/>
        <item x="852"/>
        <item x="457"/>
        <item x="249"/>
        <item x="1354"/>
        <item x="1048"/>
        <item x="1335"/>
        <item x="890"/>
        <item x="1079"/>
        <item x="752"/>
        <item x="1171"/>
        <item x="749"/>
        <item x="351"/>
        <item x="551"/>
        <item x="797"/>
        <item x="152"/>
        <item x="262"/>
        <item x="1377"/>
        <item x="1334"/>
        <item x="1777"/>
        <item x="353"/>
        <item x="1195"/>
        <item x="521"/>
        <item x="895"/>
        <item x="726"/>
        <item x="939"/>
        <item x="485"/>
        <item x="1297"/>
        <item x="1873"/>
        <item x="848"/>
        <item x="1639"/>
        <item x="1742"/>
        <item x="1874"/>
        <item x="26"/>
        <item x="1130"/>
        <item x="72"/>
        <item x="943"/>
        <item x="1433"/>
        <item x="968"/>
        <item x="1201"/>
        <item x="532"/>
        <item x="1257"/>
        <item x="983"/>
        <item x="226"/>
        <item x="195"/>
        <item x="633"/>
        <item x="1017"/>
        <item x="1703"/>
        <item x="419"/>
        <item x="451"/>
        <item x="969"/>
        <item x="1972"/>
        <item x="1466"/>
        <item x="626"/>
        <item x="114"/>
        <item x="1441"/>
        <item x="1732"/>
        <item x="2013"/>
        <item x="2018"/>
        <item x="361"/>
        <item x="98"/>
        <item x="391"/>
        <item x="1883"/>
        <item x="1419"/>
        <item x="833"/>
        <item x="1977"/>
        <item x="1573"/>
        <item x="122"/>
        <item x="851"/>
        <item x="363"/>
        <item x="190"/>
        <item x="1373"/>
        <item x="1501"/>
        <item x="846"/>
        <item x="1542"/>
        <item x="535"/>
        <item x="547"/>
        <item x="1061"/>
        <item x="170"/>
        <item x="512"/>
        <item x="1330"/>
        <item x="1208"/>
        <item x="189"/>
        <item x="1928"/>
        <item x="184"/>
        <item x="1668"/>
        <item x="978"/>
        <item x="1134"/>
        <item x="1043"/>
        <item x="1070"/>
        <item x="260"/>
        <item x="510"/>
        <item x="703"/>
        <item x="1148"/>
        <item x="1801"/>
        <item x="450"/>
        <item x="1072"/>
        <item x="1997"/>
        <item x="1568"/>
        <item x="20"/>
        <item x="1173"/>
        <item x="865"/>
        <item x="893"/>
        <item x="219"/>
        <item x="497"/>
        <item x="1053"/>
        <item x="802"/>
        <item x="1895"/>
        <item x="1355"/>
        <item x="1230"/>
        <item x="1669"/>
        <item x="159"/>
        <item x="1931"/>
        <item x="306"/>
        <item x="1469"/>
        <item x="791"/>
        <item x="434"/>
        <item x="338"/>
        <item x="719"/>
        <item x="1285"/>
        <item x="1062"/>
        <item x="927"/>
        <item x="951"/>
        <item x="530"/>
        <item x="227"/>
        <item x="862"/>
        <item x="1064"/>
        <item x="1316"/>
        <item x="140"/>
        <item x="1217"/>
        <item x="1263"/>
        <item x="1247"/>
        <item x="444"/>
        <item x="1617"/>
        <item x="900"/>
        <item x="270"/>
        <item x="1829"/>
        <item x="1077"/>
        <item x="265"/>
        <item x="65"/>
        <item x="1622"/>
        <item x="545"/>
        <item x="1444"/>
        <item x="1483"/>
        <item x="517"/>
        <item x="331"/>
        <item x="1842"/>
        <item x="1111"/>
        <item x="411"/>
        <item x="1341"/>
        <item x="1561"/>
        <item x="1390"/>
        <item x="1425"/>
        <item x="1478"/>
        <item x="619"/>
        <item x="1083"/>
        <item x="319"/>
        <item x="1657"/>
        <item x="1136"/>
        <item x="1748"/>
        <item x="934"/>
        <item x="45"/>
        <item x="424"/>
        <item x="998"/>
        <item x="131"/>
        <item x="1884"/>
        <item x="1137"/>
        <item x="609"/>
        <item x="13"/>
        <item x="1551"/>
        <item x="696"/>
        <item x="461"/>
        <item x="1541"/>
        <item x="1632"/>
        <item x="1251"/>
        <item x="640"/>
        <item x="1540"/>
        <item x="1907"/>
        <item x="1920"/>
        <item x="760"/>
        <item x="82"/>
        <item x="168"/>
        <item x="301"/>
        <item x="1310"/>
        <item x="1282"/>
        <item x="1475"/>
        <item x="1980"/>
        <item x="1387"/>
        <item x="1527"/>
        <item x="246"/>
        <item x="679"/>
        <item x="107"/>
        <item x="350"/>
        <item x="37"/>
        <item x="239"/>
        <item x="1059"/>
        <item x="1299"/>
        <item x="1650"/>
        <item x="2030"/>
        <item x="557"/>
        <item x="575"/>
        <item x="197"/>
        <item x="1699"/>
        <item x="928"/>
        <item x="1367"/>
        <item x="271"/>
        <item x="1184"/>
        <item x="720"/>
        <item x="1630"/>
        <item x="1804"/>
        <item x="345"/>
        <item x="118"/>
        <item x="93"/>
        <item x="1328"/>
        <item x="1446"/>
        <item x="1311"/>
        <item x="1702"/>
        <item x="1552"/>
        <item x="1725"/>
        <item x="154"/>
        <item x="465"/>
        <item x="337"/>
        <item x="781"/>
        <item x="836"/>
        <item x="324"/>
        <item x="1538"/>
        <item x="938"/>
        <item x="1037"/>
        <item x="320"/>
        <item x="499"/>
        <item x="907"/>
        <item x="656"/>
        <item x="314"/>
        <item x="721"/>
        <item x="558"/>
        <item x="2016"/>
        <item x="280"/>
        <item x="729"/>
        <item x="1790"/>
        <item x="1723"/>
        <item x="276"/>
        <item x="2005"/>
        <item x="649"/>
        <item x="505"/>
        <item x="1397"/>
        <item x="999"/>
        <item x="552"/>
        <item x="1964"/>
        <item x="1922"/>
        <item x="1983"/>
        <item x="891"/>
        <item x="748"/>
        <item x="85"/>
        <item x="1996"/>
        <item x="234"/>
        <item x="1957"/>
        <item x="504"/>
        <item x="982"/>
        <item x="676"/>
        <item x="193"/>
        <item x="1440"/>
        <item x="1096"/>
        <item x="310"/>
        <item x="727"/>
        <item x="1001"/>
        <item x="1481"/>
        <item x="188"/>
        <item x="1894"/>
        <item x="713"/>
        <item x="665"/>
        <item x="1864"/>
        <item x="1889"/>
        <item x="966"/>
        <item x="1887"/>
        <item x="1590"/>
        <item x="1086"/>
        <item x="1415"/>
        <item x="823"/>
        <item x="787"/>
        <item x="1192"/>
        <item x="595"/>
        <item x="682"/>
        <item x="1406"/>
        <item x="1038"/>
        <item x="635"/>
        <item x="1337"/>
        <item x="877"/>
        <item x="333"/>
        <item x="1822"/>
        <item x="637"/>
        <item x="224"/>
        <item x="803"/>
        <item x="441"/>
        <item x="1647"/>
        <item x="1750"/>
        <item x="1226"/>
        <item x="707"/>
        <item x="984"/>
        <item x="860"/>
        <item x="1813"/>
        <item x="708"/>
        <item x="754"/>
        <item x="1631"/>
        <item x="841"/>
        <item x="1656"/>
        <item x="48"/>
        <item x="202"/>
        <item x="623"/>
        <item x="963"/>
        <item x="1144"/>
        <item x="598"/>
        <item x="759"/>
        <item x="1155"/>
        <item x="1642"/>
        <item x="336"/>
        <item x="946"/>
        <item x="97"/>
        <item x="162"/>
        <item x="507"/>
        <item x="1855"/>
        <item x="1289"/>
        <item x="1866"/>
        <item x="1526"/>
        <item x="117"/>
        <item x="1116"/>
        <item x="933"/>
        <item x="1401"/>
        <item x="1170"/>
        <item x="718"/>
        <item x="1979"/>
        <item x="340"/>
        <item x="130"/>
        <item x="1408"/>
        <item x="1388"/>
        <item x="23"/>
        <item x="106"/>
        <item x="1327"/>
        <item x="1379"/>
        <item x="684"/>
        <item x="1118"/>
        <item x="2014"/>
        <item x="1735"/>
        <item x="1719"/>
        <item x="1856"/>
        <item x="423"/>
        <item x="947"/>
        <item x="611"/>
        <item x="604"/>
        <item x="603"/>
        <item x="813"/>
        <item x="87"/>
        <item x="1645"/>
        <item x="1319"/>
        <item x="541"/>
        <item x="1403"/>
        <item x="869"/>
        <item x="268"/>
        <item x="820"/>
        <item x="1058"/>
        <item x="27"/>
        <item x="1532"/>
        <item x="458"/>
        <item x="1224"/>
        <item x="1633"/>
        <item x="1572"/>
        <item x="1881"/>
        <item x="321"/>
        <item x="1591"/>
        <item x="447"/>
        <item x="388"/>
        <item x="919"/>
        <item x="1275"/>
        <item x="1450"/>
        <item x="1608"/>
        <item x="1937"/>
        <item x="1126"/>
        <item x="842"/>
        <item x="1696"/>
        <item x="1828"/>
        <item x="127"/>
        <item x="566"/>
        <item x="452"/>
        <item x="1267"/>
        <item x="263"/>
        <item x="854"/>
        <item x="1687"/>
        <item x="1365"/>
        <item x="415"/>
        <item x="1731"/>
        <item x="1936"/>
        <item x="1991"/>
        <item x="1016"/>
        <item x="755"/>
        <item x="1491"/>
        <item x="1763"/>
        <item x="1027"/>
        <item x="687"/>
        <item x="277"/>
        <item x="1321"/>
        <item x="735"/>
        <item x="739"/>
        <item x="1451"/>
        <item x="1520"/>
        <item x="1995"/>
        <item x="1198"/>
        <item x="1278"/>
        <item x="1954"/>
        <item x="487"/>
        <item x="1196"/>
        <item x="1795"/>
        <item x="1405"/>
        <item x="316"/>
        <item x="1442"/>
        <item x="1223"/>
        <item x="1587"/>
        <item x="964"/>
        <item x="818"/>
        <item x="286"/>
        <item x="1861"/>
        <item x="973"/>
        <item x="1734"/>
        <item x="1678"/>
        <item x="929"/>
        <item x="543"/>
        <item x="555"/>
        <item x="589"/>
        <item x="516"/>
        <item x="1382"/>
        <item x="1760"/>
        <item x="254"/>
        <item x="76"/>
        <item x="214"/>
        <item x="765"/>
        <item x="1438"/>
        <item x="612"/>
        <item x="1206"/>
        <item x="807"/>
        <item x="944"/>
        <item x="675"/>
        <item x="1831"/>
        <item x="327"/>
        <item x="1124"/>
        <item x="514"/>
        <item x="1533"/>
        <item x="1065"/>
        <item x="1908"/>
        <item x="917"/>
        <item x="1301"/>
        <item x="1545"/>
        <item x="1021"/>
        <item x="1006"/>
        <item x="1292"/>
        <item x="261"/>
        <item x="1599"/>
        <item x="1294"/>
        <item x="1543"/>
        <item x="628"/>
        <item x="1809"/>
        <item x="70"/>
        <item x="677"/>
        <item x="1331"/>
        <item x="203"/>
        <item x="1946"/>
        <item x="1838"/>
        <item x="1205"/>
        <item x="1245"/>
        <item x="786"/>
        <item x="1986"/>
        <item x="308"/>
        <item x="1836"/>
        <item x="273"/>
        <item x="1768"/>
        <item x="1717"/>
        <item x="1843"/>
        <item x="1534"/>
        <item x="1792"/>
        <item x="403"/>
        <item x="1716"/>
        <item x="714"/>
        <item x="1692"/>
        <item x="369"/>
        <item x="1073"/>
        <item x="1307"/>
        <item x="779"/>
        <item x="887"/>
        <item x="1495"/>
        <item x="1724"/>
        <item x="826"/>
        <item x="605"/>
        <item x="1917"/>
        <item x="382"/>
        <item x="1315"/>
        <item x="259"/>
        <item x="84"/>
        <item x="538"/>
        <item x="1796"/>
        <item x="32"/>
        <item x="1103"/>
        <item x="1117"/>
        <item x="1159"/>
        <item x="509"/>
        <item x="1479"/>
        <item x="354"/>
        <item x="1691"/>
        <item x="1474"/>
        <item x="955"/>
        <item x="591"/>
        <item x="1877"/>
        <item x="2024"/>
        <item x="1666"/>
        <item x="194"/>
        <item x="165"/>
        <item x="742"/>
        <item x="1293"/>
        <item x="1276"/>
        <item x="464"/>
        <item x="1320"/>
        <item x="1361"/>
        <item x="8"/>
        <item x="923"/>
        <item x="192"/>
        <item x="1302"/>
        <item x="1826"/>
        <item x="636"/>
        <item x="1384"/>
        <item x="1090"/>
        <item x="686"/>
        <item x="1333"/>
        <item x="559"/>
        <item x="248"/>
        <item x="1207"/>
        <item x="1586"/>
        <item x="1655"/>
        <item x="1218"/>
        <item x="425"/>
        <item x="965"/>
        <item x="1872"/>
        <item x="1132"/>
        <item x="1431"/>
        <item x="1169"/>
        <item x="594"/>
        <item x="1368"/>
        <item x="822"/>
        <item x="941"/>
        <item x="1161"/>
        <item x="1793"/>
        <item x="478"/>
        <item x="474"/>
        <item x="86"/>
        <item x="1443"/>
        <item x="1862"/>
        <item x="374"/>
        <item x="1600"/>
        <item x="290"/>
        <item x="1961"/>
        <item x="1592"/>
        <item x="1956"/>
        <item x="1649"/>
        <item x="1180"/>
        <item x="861"/>
        <item x="878"/>
        <item x="863"/>
        <item x="1559"/>
        <item x="918"/>
        <item x="29"/>
        <item x="1336"/>
        <item x="216"/>
        <item x="1231"/>
        <item x="773"/>
        <item x="1664"/>
        <item x="405"/>
        <item x="427"/>
        <item x="435"/>
        <item x="283"/>
        <item x="1034"/>
        <item x="1135"/>
        <item x="529"/>
        <item x="1865"/>
        <item x="71"/>
        <item x="1359"/>
        <item x="1273"/>
        <item x="949"/>
        <item x="1638"/>
        <item x="1060"/>
        <item x="1429"/>
        <item x="722"/>
        <item x="1779"/>
        <item x="151"/>
        <item x="496"/>
        <item x="672"/>
        <item x="912"/>
        <item x="1934"/>
        <item x="810"/>
        <item x="404"/>
        <item x="1167"/>
        <item x="141"/>
        <item x="318"/>
        <item x="539"/>
        <item x="298"/>
        <item x="2026"/>
        <item x="380"/>
        <item x="856"/>
        <item x="1427"/>
        <item x="967"/>
        <item x="1266"/>
        <item x="362"/>
        <item x="881"/>
        <item x="1323"/>
        <item x="222"/>
        <item x="228"/>
        <item x="256"/>
        <item x="1432"/>
        <item x="467"/>
        <item x="0"/>
        <item x="536"/>
        <item x="149"/>
        <item x="1525"/>
        <item x="1798"/>
        <item x="1574"/>
        <item x="237"/>
        <item x="621"/>
        <item x="821"/>
        <item x="1739"/>
        <item x="1436"/>
        <item x="1407"/>
        <item x="1108"/>
        <item x="1222"/>
        <item x="744"/>
        <item x="19"/>
        <item x="60"/>
        <item x="341"/>
        <item x="176"/>
        <item x="1352"/>
        <item x="1940"/>
        <item x="525"/>
        <item x="1989"/>
        <item x="980"/>
        <item x="819"/>
        <item x="1789"/>
        <item x="2017"/>
        <item x="1618"/>
        <item x="329"/>
        <item x="740"/>
        <item x="90"/>
        <item x="1783"/>
        <item x="1853"/>
        <item x="1711"/>
        <item x="1085"/>
        <item x="785"/>
        <item x="420"/>
        <item x="61"/>
        <item x="1962"/>
        <item x="2019"/>
        <item x="959"/>
        <item x="1212"/>
        <item x="477"/>
        <item x="1916"/>
        <item x="1667"/>
        <item x="173"/>
        <item x="1951"/>
        <item x="1744"/>
        <item x="1178"/>
        <item x="1054"/>
        <item x="2021"/>
        <item x="1383"/>
        <item x="16"/>
        <item x="442"/>
        <item x="9"/>
        <item x="835"/>
        <item x="837"/>
        <item x="257"/>
        <item x="1181"/>
        <item x="568"/>
        <item x="753"/>
        <item x="313"/>
        <item x="409"/>
        <item x="894"/>
        <item x="1546"/>
        <item x="300"/>
        <item x="1700"/>
        <item x="287"/>
        <item x="1609"/>
        <item x="469"/>
        <item x="1075"/>
        <item x="1464"/>
        <item x="1412"/>
        <item x="522"/>
        <item x="643"/>
        <item x="433"/>
        <item x="370"/>
        <item x="414"/>
        <item x="1309"/>
        <item x="153"/>
        <item x="1488"/>
        <item x="1434"/>
        <item x="1214"/>
        <item x="2025"/>
        <item x="1250"/>
        <item x="1115"/>
        <item x="774"/>
        <item x="1839"/>
        <item x="888"/>
        <item x="1244"/>
        <item x="1051"/>
        <item x="1139"/>
        <item x="1153"/>
        <item x="1888"/>
        <item x="1837"/>
        <item x="1683"/>
        <item x="1930"/>
        <item x="1641"/>
        <item x="1459"/>
        <item x="481"/>
        <item x="574"/>
        <item x="1189"/>
        <item x="1593"/>
        <item x="164"/>
        <item x="1925"/>
        <item x="1953"/>
        <item x="911"/>
        <item x="83"/>
        <item x="1851"/>
        <item x="483"/>
        <item x="1050"/>
        <item x="1430"/>
        <item x="1776"/>
        <item x="1747"/>
        <item x="661"/>
        <item x="783"/>
        <item x="556"/>
        <item x="1236"/>
        <item x="899"/>
        <item x="51"/>
        <item x="849"/>
        <item x="1505"/>
        <item x="1858"/>
        <item x="1393"/>
        <item x="1823"/>
        <item x="613"/>
        <item x="1945"/>
        <item x="769"/>
        <item x="1701"/>
        <item x="925"/>
        <item x="1985"/>
        <item x="1529"/>
        <item x="223"/>
        <item x="110"/>
        <item x="1076"/>
        <item x="1913"/>
        <item x="1496"/>
        <item x="1544"/>
        <item x="1648"/>
        <item x="1462"/>
        <item x="1254"/>
        <item x="961"/>
        <item x="1203"/>
        <item x="1088"/>
        <item x="1736"/>
        <item x="294"/>
        <item x="1581"/>
        <item x="157"/>
        <item x="1490"/>
        <item x="668"/>
        <item x="571"/>
        <item x="401"/>
        <item x="488"/>
        <item x="432"/>
        <item x="1082"/>
        <item x="932"/>
        <item x="1963"/>
        <item x="1785"/>
        <item x="879"/>
        <item x="958"/>
        <item x="1342"/>
        <item x="1845"/>
        <item x="30"/>
        <item x="798"/>
        <item x="180"/>
        <item x="292"/>
        <item x="1378"/>
        <item x="1850"/>
        <item x="1154"/>
        <item x="126"/>
        <item x="1601"/>
        <item x="1142"/>
        <item x="651"/>
        <item x="98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1">
    <i>
      <x v="9"/>
    </i>
    <i>
      <x v="34"/>
    </i>
    <i>
      <x v="27"/>
    </i>
    <i>
      <x v="10"/>
    </i>
    <i>
      <x v="39"/>
    </i>
    <i>
      <x v="3"/>
    </i>
    <i>
      <x v="28"/>
    </i>
    <i>
      <x v="31"/>
    </i>
    <i>
      <x v="26"/>
    </i>
    <i>
      <x v="43"/>
    </i>
    <i t="grand">
      <x/>
    </i>
  </rowItems>
  <colItems count="1">
    <i/>
  </colItems>
  <dataFields count="1">
    <dataField name="Profit" fld="20" baseField="0" baseItem="0" numFmtId="44"/>
  </dataFields>
  <formats count="1">
    <format dxfId="287">
      <pivotArea outline="0" collapsedLevelsAreSubtotals="1" fieldPosition="0"/>
    </format>
  </formats>
  <pivotTableStyleInfo name="PivotStyleMedium7"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5E2029-51BE-47DD-B6E9-5D7D0740BF86}"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Size" colHeaderCaption="Category">
  <location ref="A66:B74" firstHeaderRow="1" firstDataRow="1" firstDataCol="1" rowPageCount="1" colPageCount="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showAll="0"/>
    <pivotField axis="axisPage" multipleItemSelectionAllowed="1" showAll="0">
      <items count="9">
        <item x="5"/>
        <item x="2"/>
        <item x="7"/>
        <item x="6"/>
        <item x="4"/>
        <item x="3"/>
        <item x="1"/>
        <item x="0"/>
        <item t="default"/>
      </items>
    </pivotField>
    <pivotField showAll="0">
      <items count="7">
        <item x="2"/>
        <item x="4"/>
        <item x="5"/>
        <item x="0"/>
        <item x="3"/>
        <item x="1"/>
        <item t="default"/>
      </items>
    </pivotField>
    <pivotField showAll="0"/>
    <pivotField axis="axisRow" showAll="0">
      <items count="9">
        <item x="1"/>
        <item x="6"/>
        <item x="3"/>
        <item x="0"/>
        <item x="5"/>
        <item x="4"/>
        <item m="1" x="7"/>
        <item x="2"/>
        <item t="default"/>
      </items>
    </pivotField>
    <pivotField showAll="0"/>
    <pivotField showAll="0"/>
    <pivotField numFmtId="9" showAll="0"/>
    <pivotField showAll="0"/>
    <pivotField showAll="0"/>
    <pivotField showAll="0"/>
    <pivotField showAll="0"/>
    <pivotField dataField="1" showAll="0"/>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8">
    <i>
      <x/>
    </i>
    <i>
      <x v="1"/>
    </i>
    <i>
      <x v="2"/>
    </i>
    <i>
      <x v="3"/>
    </i>
    <i>
      <x v="4"/>
    </i>
    <i>
      <x v="5"/>
    </i>
    <i>
      <x v="7"/>
    </i>
    <i t="grand">
      <x/>
    </i>
  </rowItems>
  <colItems count="1">
    <i/>
  </colItems>
  <pageFields count="1">
    <pageField fld="3" hier="-1"/>
  </pageFields>
  <dataFields count="1">
    <dataField name="No. of Return Orders" fld="14" subtotal="count" baseField="0" baseItem="0"/>
  </dataFields>
  <formats count="2">
    <format dxfId="285">
      <pivotArea outline="0" collapsedLevelsAreSubtotals="1" fieldPosition="0"/>
    </format>
    <format dxfId="286">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6" count="1" selected="0">
            <x v="0"/>
          </reference>
        </references>
      </pivotArea>
    </chartFormat>
    <chartFormat chart="2" format="3">
      <pivotArea type="data" outline="0" fieldPosition="0">
        <references count="2">
          <reference field="4294967294" count="1" selected="0">
            <x v="0"/>
          </reference>
          <reference field="6" count="1" selected="0">
            <x v="1"/>
          </reference>
        </references>
      </pivotArea>
    </chartFormat>
    <chartFormat chart="2" format="4">
      <pivotArea type="data" outline="0" fieldPosition="0">
        <references count="2">
          <reference field="4294967294" count="1" selected="0">
            <x v="0"/>
          </reference>
          <reference field="6" count="1" selected="0">
            <x v="2"/>
          </reference>
        </references>
      </pivotArea>
    </chartFormat>
    <chartFormat chart="2" format="5">
      <pivotArea type="data" outline="0" fieldPosition="0">
        <references count="2">
          <reference field="4294967294" count="1" selected="0">
            <x v="0"/>
          </reference>
          <reference field="6" count="1" selected="0">
            <x v="3"/>
          </reference>
        </references>
      </pivotArea>
    </chartFormat>
    <chartFormat chart="2" format="6">
      <pivotArea type="data" outline="0" fieldPosition="0">
        <references count="2">
          <reference field="4294967294" count="1" selected="0">
            <x v="0"/>
          </reference>
          <reference field="6" count="1" selected="0">
            <x v="4"/>
          </reference>
        </references>
      </pivotArea>
    </chartFormat>
    <chartFormat chart="2" format="7">
      <pivotArea type="data" outline="0" fieldPosition="0">
        <references count="2">
          <reference field="4294967294" count="1" selected="0">
            <x v="0"/>
          </reference>
          <reference field="6" count="1" selected="0">
            <x v="5"/>
          </reference>
        </references>
      </pivotArea>
    </chartFormat>
    <chartFormat chart="2" format="8">
      <pivotArea type="data" outline="0" fieldPosition="0">
        <references count="2">
          <reference field="4294967294" count="1" selected="0">
            <x v="0"/>
          </reference>
          <reference field="6" count="1" selected="0">
            <x v="7"/>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6" count="1" selected="0">
            <x v="0"/>
          </reference>
        </references>
      </pivotArea>
    </chartFormat>
    <chartFormat chart="3" format="11">
      <pivotArea type="data" outline="0" fieldPosition="0">
        <references count="2">
          <reference field="4294967294" count="1" selected="0">
            <x v="0"/>
          </reference>
          <reference field="6" count="1" selected="0">
            <x v="1"/>
          </reference>
        </references>
      </pivotArea>
    </chartFormat>
    <chartFormat chart="3" format="12">
      <pivotArea type="data" outline="0" fieldPosition="0">
        <references count="2">
          <reference field="4294967294" count="1" selected="0">
            <x v="0"/>
          </reference>
          <reference field="6" count="1" selected="0">
            <x v="2"/>
          </reference>
        </references>
      </pivotArea>
    </chartFormat>
    <chartFormat chart="3" format="13">
      <pivotArea type="data" outline="0" fieldPosition="0">
        <references count="2">
          <reference field="4294967294" count="1" selected="0">
            <x v="0"/>
          </reference>
          <reference field="6" count="1" selected="0">
            <x v="3"/>
          </reference>
        </references>
      </pivotArea>
    </chartFormat>
    <chartFormat chart="3" format="14">
      <pivotArea type="data" outline="0" fieldPosition="0">
        <references count="2">
          <reference field="4294967294" count="1" selected="0">
            <x v="0"/>
          </reference>
          <reference field="6" count="1" selected="0">
            <x v="4"/>
          </reference>
        </references>
      </pivotArea>
    </chartFormat>
    <chartFormat chart="3" format="15">
      <pivotArea type="data" outline="0" fieldPosition="0">
        <references count="2">
          <reference field="4294967294" count="1" selected="0">
            <x v="0"/>
          </reference>
          <reference field="6" count="1" selected="0">
            <x v="5"/>
          </reference>
        </references>
      </pivotArea>
    </chartFormat>
    <chartFormat chart="3" format="16">
      <pivotArea type="data" outline="0" fieldPosition="0">
        <references count="2">
          <reference field="4294967294" count="1" selected="0">
            <x v="0"/>
          </reference>
          <reference field="6" count="1" selected="0">
            <x v="7"/>
          </reference>
        </references>
      </pivotArea>
    </chartFormat>
    <chartFormat chart="7" format="0"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FD3BDC-4257-421A-8664-E58AB0AE5A45}" name="PivotTable2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colHeaderCaption="Category">
  <location ref="J32:K39" firstHeaderRow="1" firstDataRow="1"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dataField="1" showAll="0"/>
    <pivotField showAll="0"/>
    <pivotField axis="axisRow" showAll="0">
      <items count="7">
        <item x="2"/>
        <item x="4"/>
        <item x="5"/>
        <item x="0"/>
        <item x="3"/>
        <item x="1"/>
        <item t="default"/>
      </items>
    </pivotField>
    <pivotField showAll="0"/>
    <pivotField showAll="0"/>
    <pivotField showAll="0"/>
    <pivotField showAll="0"/>
    <pivotField numFmtId="9" showAll="0"/>
    <pivotField showAll="0"/>
    <pivotField showAll="0"/>
    <pivotField showAll="0"/>
    <pivotField showAll="0"/>
    <pivotField showAll="0"/>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Items count="1">
    <i/>
  </colItems>
  <dataFields count="1">
    <dataField name="No. of Orders" fld="2" subtotal="count" baseField="0" baseItem="0" numFmtId="1"/>
  </dataFields>
  <formats count="2">
    <format dxfId="283">
      <pivotArea outline="0" collapsedLevelsAreSubtotals="1" fieldPosition="0"/>
    </format>
    <format dxfId="284">
      <pivotArea dataOnly="0" labelOnly="1" outline="0" axis="axisValues" fieldPosition="0"/>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8BDD75-C278-4628-94D8-A9323ABE6799}" name="PivotTable2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s" colHeaderCaption="Category">
  <location ref="J50:L59" firstHeaderRow="0" firstDataRow="1"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showAll="0"/>
    <pivotField axis="axisRow" showAll="0">
      <items count="9">
        <item x="5"/>
        <item x="2"/>
        <item x="7"/>
        <item x="6"/>
        <item x="4"/>
        <item x="3"/>
        <item x="1"/>
        <item x="0"/>
        <item t="default"/>
      </items>
    </pivotField>
    <pivotField showAll="0"/>
    <pivotField showAll="0"/>
    <pivotField showAll="0"/>
    <pivotField showAll="0"/>
    <pivotField showAll="0"/>
    <pivotField numFmtId="9" showAll="0"/>
    <pivotField showAll="0"/>
    <pivotField showAll="0"/>
    <pivotField showAll="0"/>
    <pivotField showAll="0"/>
    <pivotField showAll="0"/>
    <pivotField numFmtId="44" showAll="0"/>
    <pivotField dataField="1"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Fields count="1">
    <field x="-2"/>
  </colFields>
  <colItems count="2">
    <i>
      <x/>
    </i>
    <i i="1">
      <x v="1"/>
    </i>
  </colItems>
  <dataFields count="2">
    <dataField name="Gross Profit" fld="16" baseField="0" baseItem="0" numFmtId="44"/>
    <dataField name=" NET PROFIT" fld="20" baseField="0" baseItem="0" numFmtId="44"/>
  </dataFields>
  <formats count="6">
    <format dxfId="277">
      <pivotArea outline="0" collapsedLevelsAreSubtotals="1" fieldPosition="0"/>
    </format>
    <format dxfId="278">
      <pivotArea dataOnly="0" labelOnly="1" outline="0" axis="axisValues" fieldPosition="0"/>
    </format>
    <format dxfId="279">
      <pivotArea field="3" grandRow="1" outline="0" collapsedLevelsAreSubtotals="1" axis="axisRow" fieldPosition="0">
        <references count="1">
          <reference field="4294967294" count="1" selected="0">
            <x v="0"/>
          </reference>
        </references>
      </pivotArea>
    </format>
    <format dxfId="280">
      <pivotArea field="3" grandRow="1" outline="0" collapsedLevelsAreSubtotals="1" axis="axisRow" fieldPosition="0">
        <references count="1">
          <reference field="4294967294" count="1" selected="0">
            <x v="1"/>
          </reference>
        </references>
      </pivotArea>
    </format>
    <format dxfId="281">
      <pivotArea outline="0" collapsedLevelsAreSubtotals="1" fieldPosition="0">
        <references count="1">
          <reference field="4294967294" count="1" selected="0">
            <x v="0"/>
          </reference>
        </references>
      </pivotArea>
    </format>
    <format dxfId="282">
      <pivotArea outline="0" collapsedLevelsAreSubtotals="1" fieldPosition="0">
        <references count="1">
          <reference field="4294967294" count="1" selected="0">
            <x v="1"/>
          </reference>
        </references>
      </pivotArea>
    </format>
  </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75A660F-7807-4E74-9D1F-0E350D3BAAA8}" name="PivotTable2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Brands" colHeaderCaption="Category">
  <location ref="A6:H16" firstHeaderRow="1" firstDataRow="2"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showAll="0"/>
    <pivotField axis="axisRow" showAll="0" sortType="descending">
      <items count="9">
        <item x="5"/>
        <item x="2"/>
        <item x="7"/>
        <item x="6"/>
        <item x="4"/>
        <item x="3"/>
        <item x="1"/>
        <item x="0"/>
        <item t="default"/>
      </items>
      <autoSortScope>
        <pivotArea dataOnly="0" outline="0" fieldPosition="0">
          <references count="1">
            <reference field="4294967294" count="1" selected="0">
              <x v="0"/>
            </reference>
          </references>
        </pivotArea>
      </autoSortScope>
    </pivotField>
    <pivotField axis="axisCol" showAll="0" sortType="descending">
      <items count="7">
        <item x="2"/>
        <item x="4"/>
        <item x="5"/>
        <item x="0"/>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pivotField showAll="0"/>
    <pivotField showAll="0"/>
    <pivotField showAll="0"/>
    <pivotField numFmtId="44" showAll="0"/>
    <pivotField showAll="0"/>
    <pivotField showAll="0"/>
    <pivotField showAll="0"/>
    <pivotField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4"/>
    </i>
    <i>
      <x v="1"/>
    </i>
    <i>
      <x v="5"/>
    </i>
    <i>
      <x/>
    </i>
    <i>
      <x v="7"/>
    </i>
    <i>
      <x v="6"/>
    </i>
    <i>
      <x v="2"/>
    </i>
    <i>
      <x v="3"/>
    </i>
    <i t="grand">
      <x/>
    </i>
  </rowItems>
  <colFields count="1">
    <field x="4"/>
  </colFields>
  <colItems count="7">
    <i>
      <x v="3"/>
    </i>
    <i>
      <x v="4"/>
    </i>
    <i>
      <x v="1"/>
    </i>
    <i>
      <x v="2"/>
    </i>
    <i>
      <x v="5"/>
    </i>
    <i>
      <x/>
    </i>
    <i t="grand">
      <x/>
    </i>
  </colItems>
  <dataFields count="1">
    <dataField name="Net Profit by " fld="20" baseField="0" baseItem="0" numFmtId="44"/>
  </dataFields>
  <formats count="1">
    <format dxfId="276">
      <pivotArea outline="0" collapsedLevelsAreSubtotals="1" fieldPosition="0"/>
    </format>
  </formats>
  <chartFormats count="6">
    <chartFormat chart="3" format="12" series="1">
      <pivotArea type="data" outline="0" fieldPosition="0">
        <references count="2">
          <reference field="4294967294" count="1" selected="0">
            <x v="0"/>
          </reference>
          <reference field="4" count="1" selected="0">
            <x v="3"/>
          </reference>
        </references>
      </pivotArea>
    </chartFormat>
    <chartFormat chart="3" format="13" series="1">
      <pivotArea type="data" outline="0" fieldPosition="0">
        <references count="2">
          <reference field="4294967294" count="1" selected="0">
            <x v="0"/>
          </reference>
          <reference field="4" count="1" selected="0">
            <x v="4"/>
          </reference>
        </references>
      </pivotArea>
    </chartFormat>
    <chartFormat chart="3" format="14" series="1">
      <pivotArea type="data" outline="0" fieldPosition="0">
        <references count="2">
          <reference field="4294967294" count="1" selected="0">
            <x v="0"/>
          </reference>
          <reference field="4" count="1" selected="0">
            <x v="1"/>
          </reference>
        </references>
      </pivotArea>
    </chartFormat>
    <chartFormat chart="3" format="15" series="1">
      <pivotArea type="data" outline="0" fieldPosition="0">
        <references count="2">
          <reference field="4294967294" count="1" selected="0">
            <x v="0"/>
          </reference>
          <reference field="4" count="1" selected="0">
            <x v="2"/>
          </reference>
        </references>
      </pivotArea>
    </chartFormat>
    <chartFormat chart="3" format="16" series="1">
      <pivotArea type="data" outline="0" fieldPosition="0">
        <references count="2">
          <reference field="4294967294" count="1" selected="0">
            <x v="0"/>
          </reference>
          <reference field="4" count="1" selected="0">
            <x v="5"/>
          </reference>
        </references>
      </pivotArea>
    </chartFormat>
    <chartFormat chart="3" format="17" series="1">
      <pivotArea type="data" outline="0" fieldPosition="0">
        <references count="2">
          <reference field="4294967294" count="1" selected="0">
            <x v="0"/>
          </reference>
          <reference field="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F8AC01A-C4E1-466B-BEA5-73C51D193620}" name="PivotTable2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Brand" colHeaderCaption="Category">
  <location ref="J20:L29" firstHeaderRow="0" firstDataRow="1"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showAll="0"/>
    <pivotField axis="axisRow" showAll="0">
      <items count="9">
        <item x="5"/>
        <item x="2"/>
        <item x="7"/>
        <item x="6"/>
        <item x="4"/>
        <item x="3"/>
        <item x="1"/>
        <item x="0"/>
        <item t="default"/>
      </items>
    </pivotField>
    <pivotField showAll="0">
      <items count="7">
        <item x="2"/>
        <item x="4"/>
        <item x="5"/>
        <item x="0"/>
        <item x="3"/>
        <item x="1"/>
        <item t="default"/>
      </items>
    </pivotField>
    <pivotField showAll="0"/>
    <pivotField showAll="0"/>
    <pivotField showAll="0"/>
    <pivotField showAll="0"/>
    <pivotField numFmtId="9" showAll="0"/>
    <pivotField showAll="0"/>
    <pivotField showAll="0"/>
    <pivotField showAll="0"/>
    <pivotField showAll="0"/>
    <pivotField showAll="0"/>
    <pivotField numFmtId="44" showAll="0"/>
    <pivotField showAll="0"/>
    <pivotField dataField="1" showAll="0"/>
    <pivotField dataField="1"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i>
    <i>
      <x v="1"/>
    </i>
    <i>
      <x v="2"/>
    </i>
    <i>
      <x v="3"/>
    </i>
    <i>
      <x v="4"/>
    </i>
    <i>
      <x v="5"/>
    </i>
    <i>
      <x v="6"/>
    </i>
    <i>
      <x v="7"/>
    </i>
    <i t="grand">
      <x/>
    </i>
  </rowItems>
  <colFields count="1">
    <field x="-2"/>
  </colFields>
  <colItems count="2">
    <i>
      <x/>
    </i>
    <i i="1">
      <x v="1"/>
    </i>
  </colItems>
  <dataFields count="2">
    <dataField name="Return Shipping Cost" fld="17" baseField="0" baseItem="0" numFmtId="2"/>
    <dataField name="Restocking Fees" fld="18" baseField="0" baseItem="0" numFmtId="2"/>
  </dataFields>
  <formats count="6">
    <format dxfId="270">
      <pivotArea outline="0" collapsedLevelsAreSubtotals="1" fieldPosition="0">
        <references count="1">
          <reference field="4294967294" count="1" selected="0">
            <x v="0"/>
          </reference>
        </references>
      </pivotArea>
    </format>
    <format dxfId="271">
      <pivotArea outline="0" collapsedLevelsAreSubtotals="1" fieldPosition="0">
        <references count="1">
          <reference field="4294967294" count="1" selected="0">
            <x v="1"/>
          </reference>
        </references>
      </pivotArea>
    </format>
    <format dxfId="272">
      <pivotArea field="3" grandRow="1" outline="0" collapsedLevelsAreSubtotals="1" axis="axisRow" fieldPosition="0">
        <references count="1">
          <reference field="4294967294" count="1" selected="0">
            <x v="1"/>
          </reference>
        </references>
      </pivotArea>
    </format>
    <format dxfId="273">
      <pivotArea field="3" grandRow="1" outline="0" collapsedLevelsAreSubtotals="1" axis="axisRow" fieldPosition="0">
        <references count="1">
          <reference field="4294967294" count="1" selected="0">
            <x v="0"/>
          </reference>
        </references>
      </pivotArea>
    </format>
    <format dxfId="274">
      <pivotArea outline="0" collapsedLevelsAreSubtotals="1" fieldPosition="0"/>
    </format>
    <format dxfId="275">
      <pivotArea dataOnly="0" labelOnly="1" outline="0" fieldPosition="0">
        <references count="1">
          <reference field="4294967294" count="2">
            <x v="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B2D27A0-4472-48CE-94EB-E3472F540CFB}" name="PivotTable1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Months" colHeaderCaption="Category">
  <location ref="N46:U70" firstHeaderRow="1" firstDataRow="2" firstDataCol="1"/>
  <pivotFields count="24">
    <pivotField showAll="0"/>
    <pivotField axis="axisRow"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dataField="1" showAll="0"/>
    <pivotField showAll="0">
      <items count="9">
        <item x="5"/>
        <item x="2"/>
        <item x="7"/>
        <item x="6"/>
        <item x="4"/>
        <item x="3"/>
        <item x="1"/>
        <item x="0"/>
        <item t="default"/>
      </items>
    </pivotField>
    <pivotField axis="axisCol" showAll="0">
      <items count="7">
        <item x="2"/>
        <item x="4"/>
        <item x="5"/>
        <item x="0"/>
        <item x="3"/>
        <item x="1"/>
        <item t="default"/>
      </items>
    </pivotField>
    <pivotField showAll="0"/>
    <pivotField showAll="0"/>
    <pivotField showAll="0"/>
    <pivotField showAll="0"/>
    <pivotField numFmtId="9" showAll="0"/>
    <pivotField showAll="0"/>
    <pivotField showAll="0"/>
    <pivotField showAll="0"/>
    <pivotField showAll="0"/>
    <pivotField showAll="0"/>
    <pivotField numFmtId="44" showAll="0"/>
    <pivotField showAll="0"/>
    <pivotField showAll="0"/>
    <pivotField showAll="0"/>
    <pivotField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3">
    <field x="23"/>
    <field x="21"/>
    <field x="1"/>
  </rowFields>
  <rowItems count="23">
    <i>
      <x v="1"/>
    </i>
    <i r="1">
      <x v="4"/>
    </i>
    <i r="1">
      <x v="5"/>
    </i>
    <i r="1">
      <x v="6"/>
    </i>
    <i r="1">
      <x v="7"/>
    </i>
    <i r="1">
      <x v="8"/>
    </i>
    <i r="1">
      <x v="9"/>
    </i>
    <i r="1">
      <x v="10"/>
    </i>
    <i r="1">
      <x v="11"/>
    </i>
    <i r="1">
      <x v="12"/>
    </i>
    <i>
      <x v="2"/>
    </i>
    <i r="1">
      <x v="1"/>
    </i>
    <i r="1">
      <x v="2"/>
    </i>
    <i r="1">
      <x v="3"/>
    </i>
    <i r="1">
      <x v="4"/>
    </i>
    <i r="1">
      <x v="5"/>
    </i>
    <i r="1">
      <x v="6"/>
    </i>
    <i r="1">
      <x v="7"/>
    </i>
    <i r="1">
      <x v="8"/>
    </i>
    <i r="1">
      <x v="9"/>
    </i>
    <i r="1">
      <x v="10"/>
    </i>
    <i r="1">
      <x v="11"/>
    </i>
    <i t="grand">
      <x/>
    </i>
  </rowItems>
  <colFields count="1">
    <field x="4"/>
  </colFields>
  <colItems count="7">
    <i>
      <x/>
    </i>
    <i>
      <x v="1"/>
    </i>
    <i>
      <x v="2"/>
    </i>
    <i>
      <x v="3"/>
    </i>
    <i>
      <x v="4"/>
    </i>
    <i>
      <x v="5"/>
    </i>
    <i t="grand">
      <x/>
    </i>
  </colItems>
  <dataFields count="1">
    <dataField name="No of Orders" fld="2" subtotal="count" baseField="0" baseItem="0"/>
  </dataFields>
  <formats count="1">
    <format dxfId="269">
      <pivotArea outline="0" collapsedLevelsAreSubtotals="1" fieldPosition="0"/>
    </format>
  </formats>
  <chartFormats count="6">
    <chartFormat chart="2" format="12" series="1">
      <pivotArea type="data" outline="0" fieldPosition="0">
        <references count="2">
          <reference field="4294967294" count="1" selected="0">
            <x v="0"/>
          </reference>
          <reference field="4" count="1" selected="0">
            <x v="0"/>
          </reference>
        </references>
      </pivotArea>
    </chartFormat>
    <chartFormat chart="2" format="13" series="1">
      <pivotArea type="data" outline="0" fieldPosition="0">
        <references count="2">
          <reference field="4294967294" count="1" selected="0">
            <x v="0"/>
          </reference>
          <reference field="4" count="1" selected="0">
            <x v="1"/>
          </reference>
        </references>
      </pivotArea>
    </chartFormat>
    <chartFormat chart="2" format="14" series="1">
      <pivotArea type="data" outline="0" fieldPosition="0">
        <references count="2">
          <reference field="4294967294" count="1" selected="0">
            <x v="0"/>
          </reference>
          <reference field="4" count="1" selected="0">
            <x v="2"/>
          </reference>
        </references>
      </pivotArea>
    </chartFormat>
    <chartFormat chart="2" format="15" series="1">
      <pivotArea type="data" outline="0" fieldPosition="0">
        <references count="2">
          <reference field="4294967294" count="1" selected="0">
            <x v="0"/>
          </reference>
          <reference field="4" count="1" selected="0">
            <x v="3"/>
          </reference>
        </references>
      </pivotArea>
    </chartFormat>
    <chartFormat chart="2" format="16" series="1">
      <pivotArea type="data" outline="0" fieldPosition="0">
        <references count="2">
          <reference field="4294967294" count="1" selected="0">
            <x v="0"/>
          </reference>
          <reference field="4" count="1" selected="0">
            <x v="4"/>
          </reference>
        </references>
      </pivotArea>
    </chartFormat>
    <chartFormat chart="2" format="17" series="1">
      <pivotArea type="data" outline="0" fieldPosition="0">
        <references count="2">
          <reference field="4294967294" count="1" selected="0">
            <x v="0"/>
          </reference>
          <reference field="4" count="1" selected="0">
            <x v="5"/>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8F72257-268C-4BC4-AB35-2B74F83986DE}"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d" colHeaderCaption="Category">
  <location ref="D79:K89" firstHeaderRow="1" firstDataRow="2" firstDataCol="1"/>
  <pivotFields count="24">
    <pivotField showAll="0"/>
    <pivotField numFmtId="14" showAll="0">
      <items count="5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t="default"/>
      </items>
    </pivotField>
    <pivotField showAll="0"/>
    <pivotField axis="axisRow" showAll="0" sortType="descending">
      <items count="9">
        <item x="5"/>
        <item x="2"/>
        <item x="7"/>
        <item x="6"/>
        <item x="4"/>
        <item x="3"/>
        <item x="1"/>
        <item x="0"/>
        <item t="default"/>
      </items>
      <autoSortScope>
        <pivotArea dataOnly="0" outline="0" fieldPosition="0">
          <references count="1">
            <reference field="4294967294" count="1" selected="0">
              <x v="0"/>
            </reference>
          </references>
        </pivotArea>
      </autoSortScope>
    </pivotField>
    <pivotField axis="axisCol" showAll="0">
      <items count="7">
        <item x="2"/>
        <item x="4"/>
        <item x="5"/>
        <item x="0"/>
        <item x="3"/>
        <item x="1"/>
        <item t="default"/>
      </items>
    </pivotField>
    <pivotField showAll="0"/>
    <pivotField showAll="0"/>
    <pivotField showAll="0"/>
    <pivotField showAll="0"/>
    <pivotField numFmtId="9" showAll="0"/>
    <pivotField showAll="0"/>
    <pivotField showAll="0"/>
    <pivotField showAll="0"/>
    <pivotField showAll="0"/>
    <pivotField dataField="1" showAll="0"/>
    <pivotField numFmtId="44" showAll="0"/>
    <pivotField showAll="0"/>
    <pivotField showAll="0"/>
    <pivotField showAll="0"/>
    <pivotField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9">
    <i>
      <x v="7"/>
    </i>
    <i>
      <x v="6"/>
    </i>
    <i>
      <x v="2"/>
    </i>
    <i>
      <x v="5"/>
    </i>
    <i>
      <x v="3"/>
    </i>
    <i>
      <x v="1"/>
    </i>
    <i>
      <x v="4"/>
    </i>
    <i>
      <x/>
    </i>
    <i t="grand">
      <x/>
    </i>
  </rowItems>
  <colFields count="1">
    <field x="4"/>
  </colFields>
  <colItems count="7">
    <i>
      <x/>
    </i>
    <i>
      <x v="1"/>
    </i>
    <i>
      <x v="2"/>
    </i>
    <i>
      <x v="3"/>
    </i>
    <i>
      <x v="4"/>
    </i>
    <i>
      <x v="5"/>
    </i>
    <i t="grand">
      <x/>
    </i>
  </colItems>
  <dataFields count="1">
    <dataField name="No of Return Order" fld="14" subtotal="count" baseField="0" baseItem="0"/>
  </dataFields>
  <formats count="2">
    <format dxfId="267">
      <pivotArea outline="0" collapsedLevelsAreSubtotals="1" fieldPosition="0"/>
    </format>
    <format dxfId="268">
      <pivotArea dataOnly="0" labelOnly="1" outline="0" axis="axisValues" fieldPosition="0"/>
    </format>
  </formats>
  <conditionalFormats count="6">
    <conditionalFormat priority="1">
      <pivotAreas count="1">
        <pivotArea type="data" collapsedLevelsAreSubtotals="1" fieldPosition="0">
          <references count="3">
            <reference field="4294967294" count="1" selected="0">
              <x v="0"/>
            </reference>
            <reference field="3" count="8">
              <x v="0"/>
              <x v="1"/>
              <x v="2"/>
              <x v="3"/>
              <x v="4"/>
              <x v="5"/>
              <x v="6"/>
              <x v="7"/>
            </reference>
            <reference field="4" count="1" selected="0">
              <x v="5"/>
            </reference>
          </references>
        </pivotArea>
      </pivotAreas>
    </conditionalFormat>
    <conditionalFormat priority="2">
      <pivotAreas count="1">
        <pivotArea type="data" collapsedLevelsAreSubtotals="1" fieldPosition="0">
          <references count="3">
            <reference field="4294967294" count="1" selected="0">
              <x v="0"/>
            </reference>
            <reference field="3" count="8">
              <x v="0"/>
              <x v="1"/>
              <x v="2"/>
              <x v="3"/>
              <x v="4"/>
              <x v="5"/>
              <x v="6"/>
              <x v="7"/>
            </reference>
            <reference field="4" count="1" selected="0">
              <x v="4"/>
            </reference>
          </references>
        </pivotArea>
      </pivotAreas>
    </conditionalFormat>
    <conditionalFormat priority="3">
      <pivotAreas count="1">
        <pivotArea type="data" collapsedLevelsAreSubtotals="1" fieldPosition="0">
          <references count="3">
            <reference field="4294967294" count="1" selected="0">
              <x v="0"/>
            </reference>
            <reference field="3" count="8">
              <x v="0"/>
              <x v="1"/>
              <x v="2"/>
              <x v="3"/>
              <x v="4"/>
              <x v="5"/>
              <x v="6"/>
              <x v="7"/>
            </reference>
            <reference field="4" count="1" selected="0">
              <x v="3"/>
            </reference>
          </references>
        </pivotArea>
      </pivotAreas>
    </conditionalFormat>
    <conditionalFormat priority="4">
      <pivotAreas count="1">
        <pivotArea type="data" collapsedLevelsAreSubtotals="1" fieldPosition="0">
          <references count="3">
            <reference field="4294967294" count="1" selected="0">
              <x v="0"/>
            </reference>
            <reference field="3" count="8">
              <x v="0"/>
              <x v="1"/>
              <x v="2"/>
              <x v="3"/>
              <x v="4"/>
              <x v="5"/>
              <x v="6"/>
              <x v="7"/>
            </reference>
            <reference field="4" count="1" selected="0">
              <x v="2"/>
            </reference>
          </references>
        </pivotArea>
      </pivotAreas>
    </conditionalFormat>
    <conditionalFormat type="all" priority="5">
      <pivotAreas count="1">
        <pivotArea type="data" collapsedLevelsAreSubtotals="1" fieldPosition="0">
          <references count="3">
            <reference field="4294967294" count="1" selected="0">
              <x v="0"/>
            </reference>
            <reference field="3" count="8">
              <x v="0"/>
              <x v="1"/>
              <x v="2"/>
              <x v="3"/>
              <x v="4"/>
              <x v="5"/>
              <x v="6"/>
              <x v="7"/>
            </reference>
            <reference field="4" count="1" selected="0">
              <x v="1"/>
            </reference>
          </references>
        </pivotArea>
      </pivotAreas>
    </conditionalFormat>
    <conditionalFormat type="all" priority="11">
      <pivotAreas count="1">
        <pivotArea type="data" collapsedLevelsAreSubtotals="1" fieldPosition="0">
          <references count="3">
            <reference field="4294967294" count="1" selected="0">
              <x v="0"/>
            </reference>
            <reference field="3" count="8">
              <x v="0"/>
              <x v="1"/>
              <x v="2"/>
              <x v="3"/>
              <x v="4"/>
              <x v="5"/>
              <x v="6"/>
              <x v="7"/>
            </reference>
            <reference field="4" count="1" selected="0">
              <x v="0"/>
            </reference>
          </references>
        </pivotArea>
      </pivotAreas>
    </conditionalFormat>
  </conditional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0B90BE-EC64-4481-9870-3415B7833305}" sourceName="Category">
  <pivotTables>
    <pivotTable tabId="6" name="PivotTable15"/>
    <pivotTable tabId="6" name="PivotTable20"/>
    <pivotTable tabId="6" name="PivotTable25"/>
    <pivotTable tabId="6" name="PivotTable27"/>
    <pivotTable tabId="6" name="PivotTable24"/>
    <pivotTable tabId="6" name="PivotTable23"/>
    <pivotTable tabId="6" name="PivotTable28"/>
    <pivotTable tabId="6" name="PivotTable1"/>
    <pivotTable tabId="6" name="PivotTable4"/>
    <pivotTable tabId="6" name="PivotTable5"/>
    <pivotTable tabId="6" name="PivotTable6"/>
    <pivotTable tabId="6" name="PivotTable7"/>
    <pivotTable tabId="6" name="PivotTable10"/>
  </pivotTables>
  <data>
    <tabular pivotCacheId="1443429592">
      <items count="6">
        <i x="2" s="1"/>
        <i x="4" s="1"/>
        <i x="5"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36139006-ED14-4AF2-8D31-962C2CE99BE0}" sourceName="Brand">
  <pivotTables>
    <pivotTable tabId="6" name="PivotTable1"/>
    <pivotTable tabId="6" name="PivotTable23"/>
    <pivotTable tabId="6" name="PivotTable20"/>
    <pivotTable tabId="6" name="PivotTable24"/>
    <pivotTable tabId="6" name="PivotTable15"/>
    <pivotTable tabId="6" name="PivotTable28"/>
    <pivotTable tabId="6" name="PivotTable4"/>
    <pivotTable tabId="6" name="PivotTable5"/>
  </pivotTables>
  <data>
    <tabular pivotCacheId="1443429592">
      <items count="8">
        <i x="5" s="1"/>
        <i x="2" s="1"/>
        <i x="7" s="1"/>
        <i x="6" s="1"/>
        <i x="4"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F1B7916-B1B5-48A6-8DA8-65681F500AC5}" cache="Slicer_Category" caption="Category" rowHeight="234950"/>
  <slicer name="Brand" xr10:uid="{7AF67DE9-E73F-4FED-979A-E834E861B063}" cache="Slicer_Brand" caption="Brand" rowHeight="234950"/>
</slicers>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urchase_Date" xr10:uid="{715ED624-696E-40C5-AD3B-8029C1EB3CDD}" sourceName="Purchase_Date">
  <pivotTables>
    <pivotTable tabId="6" name="PivotTable15"/>
    <pivotTable tabId="6" name="PivotTable20"/>
    <pivotTable tabId="6" name="PivotTable24"/>
    <pivotTable tabId="6" name="PivotTable23"/>
    <pivotTable tabId="6" name="PivotTable28"/>
    <pivotTable tabId="6" name="PivotTable1"/>
    <pivotTable tabId="6" name="PivotTable4"/>
    <pivotTable tabId="6" name="PivotTable5"/>
  </pivotTables>
  <state minimalRefreshVersion="6" lastRefreshVersion="6" pivotCacheId="1443429592"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urchase_Date" xr10:uid="{CCD23D89-B83E-432E-B1BB-C690FDF641C0}" cache="NativeTimeline_Purchase_Date" caption="Purchase_Date" level="2" selectionLevel="2" scrollPosition="2024-06-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6443D-9D19-47DA-ADF7-76035D34B44E}">
  <dimension ref="A1:AH70"/>
  <sheetViews>
    <sheetView tabSelected="1" zoomScale="69" zoomScaleNormal="115" workbookViewId="0">
      <selection activeCell="Q75" sqref="Q75"/>
    </sheetView>
  </sheetViews>
  <sheetFormatPr defaultRowHeight="14.4" x14ac:dyDescent="0.3"/>
  <cols>
    <col min="9" max="9" width="8.88671875" customWidth="1"/>
  </cols>
  <sheetData>
    <row r="1" spans="1:34" ht="14.4" customHeight="1"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row>
    <row r="2" spans="1:34" ht="14.4" customHeight="1"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row>
    <row r="3" spans="1:34" ht="14.4" customHeight="1"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row>
    <row r="4" spans="1:34" ht="14.4" customHeight="1"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row>
    <row r="5" spans="1:34" ht="14.4" customHeight="1"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row>
    <row r="6" spans="1:34" ht="14.4" customHeight="1"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row>
    <row r="7" spans="1:34"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row>
    <row r="8" spans="1:34"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row>
    <row r="9" spans="1:34"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row>
    <row r="10" spans="1:34"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row>
    <row r="11" spans="1:34"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row>
    <row r="12" spans="1:34"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1:34"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1:34"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row>
    <row r="15" spans="1:34"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row>
    <row r="16" spans="1:34"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row>
    <row r="17" spans="1:34"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row>
    <row r="18" spans="1:34"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row>
    <row r="19" spans="1:34"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row>
    <row r="20" spans="1:34"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row>
    <row r="21" spans="1:34"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row>
    <row r="22" spans="1:34"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row>
    <row r="23" spans="1:34"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row>
    <row r="24" spans="1:34"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row>
    <row r="25" spans="1:34"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row>
    <row r="26" spans="1:34"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row>
    <row r="27" spans="1:34"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row>
    <row r="28" spans="1:34"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row>
    <row r="29" spans="1:34"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row>
    <row r="30" spans="1:34"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row>
    <row r="31" spans="1:34"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row>
    <row r="32" spans="1:34"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row>
    <row r="33" spans="1:34"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row>
    <row r="34" spans="1:34"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row>
    <row r="35" spans="1:34"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row>
    <row r="36" spans="1:34"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row>
    <row r="37" spans="1:34" x14ac:dyDescent="0.3">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row>
    <row r="38" spans="1:34" x14ac:dyDescent="0.3">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row>
    <row r="39" spans="1:34" x14ac:dyDescent="0.3">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row>
    <row r="40" spans="1:34" x14ac:dyDescent="0.3">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row>
    <row r="41" spans="1:34" x14ac:dyDescent="0.3">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row>
    <row r="42" spans="1:34" x14ac:dyDescent="0.3">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row>
    <row r="43" spans="1:34" x14ac:dyDescent="0.3">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row>
    <row r="44" spans="1:34" x14ac:dyDescent="0.3">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row>
    <row r="45" spans="1:34" x14ac:dyDescent="0.3">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row>
    <row r="46" spans="1:34" x14ac:dyDescent="0.3">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row>
    <row r="47" spans="1:34" x14ac:dyDescent="0.3">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row>
    <row r="48" spans="1:34" x14ac:dyDescent="0.3">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row>
    <row r="49" spans="1:34" x14ac:dyDescent="0.3">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row>
    <row r="50" spans="1:34" x14ac:dyDescent="0.3">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row>
    <row r="51" spans="1:34" x14ac:dyDescent="0.3">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row>
    <row r="52" spans="1:34" x14ac:dyDescent="0.3">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row>
    <row r="53" spans="1:34" x14ac:dyDescent="0.3">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row>
    <row r="54" spans="1:34" x14ac:dyDescent="0.3">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row>
    <row r="55" spans="1:34" x14ac:dyDescent="0.3">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row>
    <row r="56" spans="1:34" x14ac:dyDescent="0.3">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row>
    <row r="57" spans="1:34" x14ac:dyDescent="0.3">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row>
    <row r="58" spans="1:34" x14ac:dyDescent="0.3">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row>
    <row r="59" spans="1:34" x14ac:dyDescent="0.3">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row>
    <row r="60" spans="1:34" x14ac:dyDescent="0.3">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row>
    <row r="61" spans="1:34" x14ac:dyDescent="0.3">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row>
    <row r="62" spans="1:34" x14ac:dyDescent="0.3">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row>
    <row r="63" spans="1:34" x14ac:dyDescent="0.3">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row>
    <row r="64" spans="1:34" x14ac:dyDescent="0.3">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row>
    <row r="65" spans="1:34" x14ac:dyDescent="0.3">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row>
    <row r="66" spans="1:34" x14ac:dyDescent="0.3">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row>
    <row r="67" spans="1:34" x14ac:dyDescent="0.3">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row>
    <row r="68" spans="1:34" x14ac:dyDescent="0.3">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row>
    <row r="69" spans="1:34" x14ac:dyDescent="0.3">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row>
    <row r="70" spans="1:34" x14ac:dyDescent="0.3">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row>
  </sheetData>
  <mergeCells count="1">
    <mergeCell ref="A1:AH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ADBCD-F74F-494E-A998-07859445B7FD}">
  <dimension ref="A1:AC155"/>
  <sheetViews>
    <sheetView zoomScale="59" zoomScaleNormal="85" workbookViewId="0">
      <selection activeCell="D105" sqref="D105"/>
    </sheetView>
  </sheetViews>
  <sheetFormatPr defaultRowHeight="14.4" x14ac:dyDescent="0.3"/>
  <cols>
    <col min="1" max="1" width="15.5546875" style="21" bestFit="1" customWidth="1"/>
    <col min="2" max="2" width="14.21875" style="21" bestFit="1" customWidth="1"/>
    <col min="3" max="3" width="21.21875" style="21" bestFit="1" customWidth="1"/>
    <col min="4" max="4" width="18.33203125" style="21" bestFit="1" customWidth="1"/>
    <col min="5" max="5" width="15.5546875" style="21" bestFit="1" customWidth="1"/>
    <col min="6" max="6" width="25" style="21" bestFit="1" customWidth="1"/>
    <col min="7" max="7" width="9.109375" style="21" bestFit="1" customWidth="1"/>
    <col min="8" max="8" width="15.5546875" style="21" bestFit="1" customWidth="1"/>
    <col min="9" max="9" width="25" style="21" bestFit="1" customWidth="1"/>
    <col min="10" max="10" width="19.109375" style="21" bestFit="1" customWidth="1"/>
    <col min="11" max="11" width="12.88671875" style="21" bestFit="1" customWidth="1"/>
    <col min="12" max="12" width="21.77734375" style="21" bestFit="1" customWidth="1"/>
    <col min="13" max="13" width="12.5546875" style="22" bestFit="1" customWidth="1"/>
    <col min="14" max="14" width="16.44140625" style="21" bestFit="1" customWidth="1"/>
    <col min="15" max="15" width="15.77734375" style="21" bestFit="1" customWidth="1"/>
    <col min="16" max="17" width="10.88671875" style="21" bestFit="1" customWidth="1"/>
    <col min="18" max="18" width="13.33203125" style="21" bestFit="1" customWidth="1"/>
    <col min="19" max="19" width="8.77734375" style="21" bestFit="1" customWidth="1"/>
    <col min="20" max="20" width="7.44140625" style="21" bestFit="1" customWidth="1"/>
    <col min="21" max="21" width="15.5546875" style="21" bestFit="1" customWidth="1"/>
    <col min="22" max="22" width="12.6640625" style="21" bestFit="1" customWidth="1"/>
    <col min="23" max="23" width="14" style="21" bestFit="1" customWidth="1"/>
    <col min="24" max="24" width="15.88671875" style="21" bestFit="1" customWidth="1"/>
    <col min="25" max="25" width="20.77734375" style="21" bestFit="1" customWidth="1"/>
    <col min="26" max="26" width="8.6640625" style="21" bestFit="1" customWidth="1"/>
    <col min="27" max="27" width="12.77734375" style="21" bestFit="1" customWidth="1"/>
    <col min="28" max="28" width="15" style="21" bestFit="1" customWidth="1"/>
    <col min="29" max="29" width="7" style="21" bestFit="1" customWidth="1"/>
    <col min="30" max="30" width="11.88671875" style="21" bestFit="1" customWidth="1"/>
    <col min="31" max="31" width="12.6640625" style="21" bestFit="1" customWidth="1"/>
    <col min="32" max="32" width="14" style="21" bestFit="1" customWidth="1"/>
    <col min="33" max="33" width="15.88671875" style="21" bestFit="1" customWidth="1"/>
    <col min="34" max="34" width="20.77734375" style="21" bestFit="1" customWidth="1"/>
    <col min="35" max="35" width="8.6640625" style="21" bestFit="1" customWidth="1"/>
    <col min="36" max="36" width="12.77734375" style="21" bestFit="1" customWidth="1"/>
    <col min="37" max="37" width="15" style="21" bestFit="1" customWidth="1"/>
    <col min="38" max="38" width="7" style="21" bestFit="1" customWidth="1"/>
    <col min="39" max="39" width="14.6640625" style="21" bestFit="1" customWidth="1"/>
    <col min="40" max="40" width="12.6640625" style="21" bestFit="1" customWidth="1"/>
    <col min="41" max="41" width="14" style="21" bestFit="1" customWidth="1"/>
    <col min="42" max="42" width="15.88671875" style="21" bestFit="1" customWidth="1"/>
    <col min="43" max="43" width="20.77734375" style="21" bestFit="1" customWidth="1"/>
    <col min="44" max="44" width="8.6640625" style="21" bestFit="1" customWidth="1"/>
    <col min="45" max="45" width="12.77734375" style="21" bestFit="1" customWidth="1"/>
    <col min="46" max="46" width="15" style="21" bestFit="1" customWidth="1"/>
    <col min="47" max="47" width="7" style="21" bestFit="1" customWidth="1"/>
    <col min="48" max="48" width="10.44140625" style="21" bestFit="1" customWidth="1"/>
    <col min="49" max="49" width="12.6640625" style="21" bestFit="1" customWidth="1"/>
    <col min="50" max="50" width="14" style="21" bestFit="1" customWidth="1"/>
    <col min="51" max="51" width="15.88671875" style="21" bestFit="1" customWidth="1"/>
    <col min="52" max="52" width="20.77734375" style="21" bestFit="1" customWidth="1"/>
    <col min="53" max="53" width="8.6640625" style="21" bestFit="1" customWidth="1"/>
    <col min="54" max="54" width="12.77734375" style="21" bestFit="1" customWidth="1"/>
    <col min="55" max="55" width="15" style="21" bestFit="1" customWidth="1"/>
    <col min="56" max="56" width="7" style="21" bestFit="1" customWidth="1"/>
    <col min="57" max="57" width="9.5546875" style="21" bestFit="1" customWidth="1"/>
    <col min="58" max="58" width="10.6640625" style="21" bestFit="1" customWidth="1"/>
    <col min="59" max="75" width="3.44140625" style="21" bestFit="1" customWidth="1"/>
    <col min="76" max="462" width="4.44140625" style="21" bestFit="1" customWidth="1"/>
    <col min="463" max="463" width="10.6640625" style="21" bestFit="1" customWidth="1"/>
    <col min="464" max="533" width="3.44140625" style="21" bestFit="1" customWidth="1"/>
    <col min="534" max="920" width="4.44140625" style="21" bestFit="1" customWidth="1"/>
    <col min="921" max="921" width="20.88671875" style="21" bestFit="1" customWidth="1"/>
    <col min="922" max="922" width="26.109375" style="21" bestFit="1" customWidth="1"/>
    <col min="923" max="16384" width="8.88671875" style="21"/>
  </cols>
  <sheetData>
    <row r="1" spans="1:29" ht="16.2" customHeight="1" x14ac:dyDescent="0.3">
      <c r="A1" s="18" t="s">
        <v>2247</v>
      </c>
      <c r="B1" s="18"/>
      <c r="C1" s="18"/>
      <c r="D1" s="18"/>
      <c r="E1" s="18"/>
      <c r="F1" s="18"/>
      <c r="G1" s="18"/>
      <c r="H1" s="18"/>
      <c r="I1" s="18"/>
      <c r="J1" s="18"/>
      <c r="K1" s="18"/>
      <c r="L1" s="18"/>
      <c r="M1" s="19"/>
      <c r="N1" s="18" t="s">
        <v>2277</v>
      </c>
      <c r="O1" s="18"/>
      <c r="P1" s="18"/>
      <c r="Q1" s="18"/>
      <c r="R1" s="18"/>
      <c r="S1" s="18"/>
      <c r="T1" s="20"/>
      <c r="U1" s="20"/>
      <c r="V1" s="20"/>
      <c r="W1" s="20"/>
      <c r="X1" s="20"/>
      <c r="Y1" s="20"/>
      <c r="Z1" s="20"/>
      <c r="AA1" s="20"/>
      <c r="AB1" s="20"/>
      <c r="AC1" s="20"/>
    </row>
    <row r="2" spans="1:29" ht="18.600000000000001" customHeight="1" x14ac:dyDescent="0.3">
      <c r="A2" s="18"/>
      <c r="B2" s="18"/>
      <c r="C2" s="18"/>
      <c r="D2" s="18"/>
      <c r="E2" s="18"/>
      <c r="F2" s="18"/>
      <c r="G2" s="18"/>
      <c r="H2" s="18"/>
      <c r="I2" s="18"/>
      <c r="J2" s="18"/>
      <c r="K2" s="18"/>
      <c r="L2" s="18"/>
      <c r="M2" s="19"/>
      <c r="N2" s="18"/>
      <c r="O2" s="18"/>
      <c r="P2" s="18"/>
      <c r="Q2" s="18"/>
      <c r="R2" s="18"/>
      <c r="S2" s="18"/>
      <c r="T2" s="20"/>
      <c r="U2" s="20"/>
      <c r="V2" s="20"/>
      <c r="W2" s="20"/>
      <c r="X2" s="20"/>
      <c r="Y2" s="20"/>
      <c r="Z2" s="20"/>
      <c r="AA2" s="20"/>
      <c r="AB2" s="20"/>
      <c r="AC2" s="20"/>
    </row>
    <row r="3" spans="1:29" ht="20.399999999999999" customHeight="1" x14ac:dyDescent="0.3">
      <c r="A3" s="18"/>
      <c r="B3" s="18"/>
      <c r="C3" s="18"/>
      <c r="D3" s="18"/>
      <c r="E3" s="18"/>
      <c r="F3" s="18"/>
      <c r="G3" s="18"/>
      <c r="H3" s="18"/>
      <c r="I3" s="18"/>
      <c r="J3" s="18"/>
      <c r="K3" s="18"/>
      <c r="L3" s="18"/>
      <c r="M3" s="19"/>
      <c r="N3" s="18"/>
      <c r="O3" s="18"/>
      <c r="P3" s="18"/>
      <c r="Q3" s="18"/>
      <c r="R3" s="18"/>
      <c r="S3" s="18"/>
      <c r="T3" s="20"/>
      <c r="U3" s="20"/>
      <c r="V3" s="20"/>
      <c r="W3" s="20"/>
      <c r="X3" s="20"/>
      <c r="Y3" s="20"/>
      <c r="Z3" s="20"/>
      <c r="AA3" s="20"/>
      <c r="AB3" s="20"/>
      <c r="AC3" s="20"/>
    </row>
    <row r="6" spans="1:29" x14ac:dyDescent="0.3">
      <c r="A6" s="1" t="s">
        <v>2271</v>
      </c>
      <c r="B6" s="1" t="s">
        <v>2254</v>
      </c>
      <c r="C6"/>
      <c r="D6"/>
      <c r="E6"/>
      <c r="F6"/>
      <c r="G6"/>
      <c r="H6"/>
      <c r="J6" s="23" t="s">
        <v>2272</v>
      </c>
      <c r="K6" s="21" t="s">
        <v>2273</v>
      </c>
      <c r="N6" s="24" t="s">
        <v>2272</v>
      </c>
      <c r="O6" s="24" t="s">
        <v>2273</v>
      </c>
      <c r="Q6" s="24" t="s">
        <v>2254</v>
      </c>
      <c r="R6" s="17" t="s">
        <v>2291</v>
      </c>
    </row>
    <row r="7" spans="1:29" x14ac:dyDescent="0.3">
      <c r="A7" s="1" t="s">
        <v>2270</v>
      </c>
      <c r="B7" t="s">
        <v>2</v>
      </c>
      <c r="C7" t="s">
        <v>18</v>
      </c>
      <c r="D7" t="s">
        <v>26</v>
      </c>
      <c r="E7" t="s">
        <v>30</v>
      </c>
      <c r="F7" t="s">
        <v>9</v>
      </c>
      <c r="G7" t="s">
        <v>15</v>
      </c>
      <c r="H7" t="s">
        <v>2221</v>
      </c>
      <c r="J7" s="25" t="s">
        <v>2224</v>
      </c>
      <c r="K7" s="26">
        <v>56752.528019999998</v>
      </c>
      <c r="N7" s="27" t="s">
        <v>2224</v>
      </c>
      <c r="O7" s="28">
        <v>56752.528019999998</v>
      </c>
      <c r="Q7" s="27" t="s">
        <v>15</v>
      </c>
      <c r="R7" s="29">
        <v>402</v>
      </c>
    </row>
    <row r="8" spans="1:29" x14ac:dyDescent="0.3">
      <c r="A8" s="2" t="s">
        <v>37</v>
      </c>
      <c r="B8" s="14">
        <v>47715.512320000002</v>
      </c>
      <c r="C8" s="14">
        <v>40187.030680000003</v>
      </c>
      <c r="D8" s="14">
        <v>24624.681080000002</v>
      </c>
      <c r="E8" s="14">
        <v>38151.738500000007</v>
      </c>
      <c r="F8" s="14">
        <v>14363.771639999999</v>
      </c>
      <c r="G8" s="14">
        <v>2151.5570799999991</v>
      </c>
      <c r="H8" s="14">
        <v>167194.29130000001</v>
      </c>
      <c r="I8" s="27">
        <v>18</v>
      </c>
      <c r="J8" s="25" t="s">
        <v>2228</v>
      </c>
      <c r="K8" s="26">
        <v>49251.8174</v>
      </c>
      <c r="N8" s="27" t="s">
        <v>2228</v>
      </c>
      <c r="O8" s="28">
        <v>49251.8174</v>
      </c>
      <c r="Q8" s="27" t="s">
        <v>26</v>
      </c>
      <c r="R8" s="29">
        <v>392</v>
      </c>
    </row>
    <row r="9" spans="1:29" x14ac:dyDescent="0.3">
      <c r="A9" s="2" t="s">
        <v>21</v>
      </c>
      <c r="B9" s="14">
        <v>56752.528019999998</v>
      </c>
      <c r="C9" s="14">
        <v>46758.309920000007</v>
      </c>
      <c r="D9" s="14">
        <v>25198.170860000006</v>
      </c>
      <c r="E9" s="14">
        <v>23192.513299999995</v>
      </c>
      <c r="F9" s="14">
        <v>14524.013640000003</v>
      </c>
      <c r="G9" s="14">
        <v>638.25992000000019</v>
      </c>
      <c r="H9" s="14">
        <v>167063.79566</v>
      </c>
      <c r="I9" s="27">
        <v>18</v>
      </c>
      <c r="J9" s="25" t="s">
        <v>2226</v>
      </c>
      <c r="K9" s="26">
        <v>47715.512320000002</v>
      </c>
      <c r="N9" s="27" t="s">
        <v>2226</v>
      </c>
      <c r="O9" s="28">
        <v>47715.512320000002</v>
      </c>
      <c r="Q9" s="27" t="s">
        <v>30</v>
      </c>
      <c r="R9" s="29">
        <v>317</v>
      </c>
    </row>
    <row r="10" spans="1:29" x14ac:dyDescent="0.3">
      <c r="A10" s="2" t="s">
        <v>31</v>
      </c>
      <c r="B10" s="14">
        <v>9653.0977200000016</v>
      </c>
      <c r="C10" s="14">
        <v>49251.8174</v>
      </c>
      <c r="D10" s="14">
        <v>38230.089199999995</v>
      </c>
      <c r="E10" s="14">
        <v>31775.377859999997</v>
      </c>
      <c r="F10" s="14">
        <v>15686.220439999999</v>
      </c>
      <c r="G10" s="14">
        <v>104.6253600000002</v>
      </c>
      <c r="H10" s="14">
        <v>144701.22798</v>
      </c>
      <c r="I10" s="27">
        <v>16</v>
      </c>
      <c r="J10" s="25" t="s">
        <v>2225</v>
      </c>
      <c r="K10" s="26">
        <v>46758.309920000007</v>
      </c>
      <c r="N10" s="27" t="s">
        <v>2225</v>
      </c>
      <c r="O10" s="28">
        <v>46758.309920000007</v>
      </c>
      <c r="Q10" s="27" t="s">
        <v>2</v>
      </c>
      <c r="R10" s="29">
        <v>334</v>
      </c>
    </row>
    <row r="11" spans="1:29" x14ac:dyDescent="0.3">
      <c r="A11" s="2" t="s">
        <v>42</v>
      </c>
      <c r="B11" s="14">
        <v>42399.710399999996</v>
      </c>
      <c r="C11" s="14">
        <v>26823.712339999991</v>
      </c>
      <c r="D11" s="14">
        <v>25922.755019999993</v>
      </c>
      <c r="E11" s="14">
        <v>31262.244240000004</v>
      </c>
      <c r="F11" s="14">
        <v>14590.716799999998</v>
      </c>
      <c r="G11" s="14">
        <v>2752.6140000000005</v>
      </c>
      <c r="H11" s="14">
        <v>143751.75279999999</v>
      </c>
      <c r="I11" s="27">
        <v>15</v>
      </c>
      <c r="J11" s="25" t="s">
        <v>2229</v>
      </c>
      <c r="K11" s="26">
        <v>44347.584019999988</v>
      </c>
      <c r="N11" s="27" t="s">
        <v>2229</v>
      </c>
      <c r="O11" s="28">
        <v>44347.584019999988</v>
      </c>
      <c r="Q11" s="27" t="s">
        <v>18</v>
      </c>
      <c r="R11" s="29">
        <v>372</v>
      </c>
    </row>
    <row r="12" spans="1:29" x14ac:dyDescent="0.3">
      <c r="A12" s="2" t="s">
        <v>3</v>
      </c>
      <c r="B12" s="14">
        <v>10045.912320000001</v>
      </c>
      <c r="C12" s="14">
        <v>21495.95506</v>
      </c>
      <c r="D12" s="14">
        <v>36413.801799999994</v>
      </c>
      <c r="E12" s="14">
        <v>34090.513720000003</v>
      </c>
      <c r="F12" s="14">
        <v>16882.52432</v>
      </c>
      <c r="G12" s="14">
        <v>3571.7374</v>
      </c>
      <c r="H12" s="14">
        <v>122500.44461999999</v>
      </c>
      <c r="I12" s="27">
        <v>11</v>
      </c>
      <c r="J12" s="25" t="s">
        <v>2223</v>
      </c>
      <c r="K12" s="26">
        <v>42399.710399999996</v>
      </c>
      <c r="N12" s="27" t="s">
        <v>2223</v>
      </c>
      <c r="O12" s="28">
        <v>42399.710399999996</v>
      </c>
      <c r="Q12" s="27" t="s">
        <v>9</v>
      </c>
      <c r="R12" s="29">
        <v>359</v>
      </c>
    </row>
    <row r="13" spans="1:29" x14ac:dyDescent="0.3">
      <c r="A13" s="2" t="s">
        <v>10</v>
      </c>
      <c r="B13" s="14">
        <v>44347.584019999988</v>
      </c>
      <c r="C13" s="14">
        <v>23791.849239999996</v>
      </c>
      <c r="D13" s="14">
        <v>13949.58366</v>
      </c>
      <c r="E13" s="14">
        <v>10140.652279999998</v>
      </c>
      <c r="F13" s="14">
        <v>18012.641960000001</v>
      </c>
      <c r="G13" s="14">
        <v>-752.6069600000003</v>
      </c>
      <c r="H13" s="14">
        <v>109489.70419999998</v>
      </c>
      <c r="I13" s="27">
        <v>10</v>
      </c>
      <c r="J13" s="25" t="s">
        <v>2227</v>
      </c>
      <c r="K13" s="26">
        <v>40187.030680000003</v>
      </c>
      <c r="N13" s="27" t="s">
        <v>2227</v>
      </c>
      <c r="O13" s="28">
        <v>40187.030680000003</v>
      </c>
    </row>
    <row r="14" spans="1:29" x14ac:dyDescent="0.3">
      <c r="A14" s="2" t="s">
        <v>65</v>
      </c>
      <c r="B14" s="14">
        <v>33633.299740000002</v>
      </c>
      <c r="C14" s="14">
        <v>8243.0802399999993</v>
      </c>
      <c r="D14" s="14">
        <v>27886.556140000008</v>
      </c>
      <c r="E14" s="14">
        <v>14155.96904</v>
      </c>
      <c r="F14" s="14">
        <v>263.46370000000127</v>
      </c>
      <c r="G14" s="14">
        <v>3936.6673999999998</v>
      </c>
      <c r="H14" s="14">
        <v>88119.036260000008</v>
      </c>
      <c r="I14" s="30">
        <v>7</v>
      </c>
      <c r="J14" s="25" t="s">
        <v>2249</v>
      </c>
      <c r="K14" s="26">
        <v>38230.089199999995</v>
      </c>
      <c r="N14" s="27" t="s">
        <v>2249</v>
      </c>
      <c r="O14" s="28">
        <v>38230.089199999995</v>
      </c>
    </row>
    <row r="15" spans="1:29" x14ac:dyDescent="0.3">
      <c r="A15" s="2" t="s">
        <v>53</v>
      </c>
      <c r="B15" s="14">
        <v>16875.95</v>
      </c>
      <c r="C15" s="14">
        <v>21497.920340000011</v>
      </c>
      <c r="D15" s="14">
        <v>12581.157060000001</v>
      </c>
      <c r="E15" s="14">
        <v>19694.605020000003</v>
      </c>
      <c r="F15" s="14">
        <v>5546.348780000003</v>
      </c>
      <c r="G15" s="14">
        <v>2448.8704799999996</v>
      </c>
      <c r="H15" s="14">
        <v>78644.851680000022</v>
      </c>
      <c r="I15" s="25">
        <v>6</v>
      </c>
      <c r="J15" s="25" t="s">
        <v>2248</v>
      </c>
      <c r="K15" s="26">
        <v>38151.738500000007</v>
      </c>
      <c r="N15" s="27" t="s">
        <v>2248</v>
      </c>
      <c r="O15" s="28">
        <v>38151.738500000007</v>
      </c>
    </row>
    <row r="16" spans="1:29" ht="15" thickBot="1" x14ac:dyDescent="0.35">
      <c r="A16" s="2" t="s">
        <v>2221</v>
      </c>
      <c r="B16" s="14">
        <v>261423.59453999999</v>
      </c>
      <c r="C16" s="14">
        <v>238049.67522000003</v>
      </c>
      <c r="D16" s="14">
        <v>204806.79481999998</v>
      </c>
      <c r="E16" s="14">
        <v>202463.61396000005</v>
      </c>
      <c r="F16" s="14">
        <v>99869.701279999994</v>
      </c>
      <c r="G16" s="14">
        <v>14851.724679999998</v>
      </c>
      <c r="H16" s="14">
        <v>1021465.1044999999</v>
      </c>
      <c r="I16" s="31"/>
      <c r="J16" s="25" t="s">
        <v>2250</v>
      </c>
      <c r="K16" s="26">
        <v>36413.801799999994</v>
      </c>
      <c r="N16" s="27" t="s">
        <v>2250</v>
      </c>
      <c r="O16" s="28">
        <v>36413.801799999994</v>
      </c>
    </row>
    <row r="17" spans="1:20" ht="15" thickTop="1" x14ac:dyDescent="0.3">
      <c r="B17" s="32">
        <v>26</v>
      </c>
      <c r="C17" s="32">
        <v>23</v>
      </c>
      <c r="D17" s="32">
        <v>21</v>
      </c>
      <c r="E17" s="32">
        <v>20</v>
      </c>
      <c r="F17" s="32">
        <v>10</v>
      </c>
      <c r="G17" s="32">
        <v>1</v>
      </c>
      <c r="H17" s="32" t="s">
        <v>2251</v>
      </c>
      <c r="J17" s="25" t="s">
        <v>2221</v>
      </c>
      <c r="K17" s="26">
        <v>440208.12226000003</v>
      </c>
    </row>
    <row r="18" spans="1:20" x14ac:dyDescent="0.3">
      <c r="B18" s="33"/>
      <c r="C18" s="33"/>
      <c r="D18" s="33"/>
      <c r="E18" s="33"/>
      <c r="F18" s="33"/>
      <c r="G18" s="33"/>
      <c r="H18" s="33"/>
      <c r="P18" s="25"/>
    </row>
    <row r="20" spans="1:20" x14ac:dyDescent="0.3">
      <c r="A20" s="1" t="s">
        <v>2279</v>
      </c>
      <c r="B20" s="1" t="s">
        <v>2254</v>
      </c>
      <c r="C20"/>
      <c r="D20"/>
      <c r="E20"/>
      <c r="F20"/>
      <c r="G20"/>
      <c r="H20"/>
      <c r="J20" s="1" t="s">
        <v>2252</v>
      </c>
      <c r="K20" s="14" t="s">
        <v>2286</v>
      </c>
      <c r="L20" s="14" t="s">
        <v>2287</v>
      </c>
      <c r="N20" s="34" t="s">
        <v>2271</v>
      </c>
      <c r="O20" s="35" t="s">
        <v>2254</v>
      </c>
      <c r="P20" s="35"/>
      <c r="Q20" s="35"/>
      <c r="R20" s="35"/>
      <c r="S20" s="35"/>
      <c r="T20" s="35"/>
    </row>
    <row r="21" spans="1:20" x14ac:dyDescent="0.3">
      <c r="A21" s="1" t="s">
        <v>2285</v>
      </c>
      <c r="B21" t="s">
        <v>15</v>
      </c>
      <c r="C21" t="s">
        <v>26</v>
      </c>
      <c r="D21" t="s">
        <v>30</v>
      </c>
      <c r="E21" t="s">
        <v>2</v>
      </c>
      <c r="F21" t="s">
        <v>18</v>
      </c>
      <c r="G21" t="s">
        <v>9</v>
      </c>
      <c r="H21" t="s">
        <v>2221</v>
      </c>
      <c r="J21" s="2" t="s">
        <v>42</v>
      </c>
      <c r="K21" s="14">
        <v>9600</v>
      </c>
      <c r="L21" s="14">
        <v>13434.064199999999</v>
      </c>
      <c r="N21" s="36" t="s">
        <v>2270</v>
      </c>
      <c r="O21" s="37" t="s">
        <v>2</v>
      </c>
      <c r="P21" s="37" t="s">
        <v>18</v>
      </c>
      <c r="Q21" s="37" t="s">
        <v>26</v>
      </c>
      <c r="R21" s="37" t="s">
        <v>30</v>
      </c>
      <c r="S21" s="37" t="s">
        <v>9</v>
      </c>
      <c r="T21" s="37" t="s">
        <v>15</v>
      </c>
    </row>
    <row r="22" spans="1:20" x14ac:dyDescent="0.3">
      <c r="A22" s="2" t="s">
        <v>2237</v>
      </c>
      <c r="B22" s="5">
        <v>184</v>
      </c>
      <c r="C22" s="5">
        <v>196</v>
      </c>
      <c r="D22" s="5">
        <v>145</v>
      </c>
      <c r="E22" s="5">
        <v>154</v>
      </c>
      <c r="F22" s="5">
        <v>161</v>
      </c>
      <c r="G22" s="5">
        <v>159</v>
      </c>
      <c r="H22" s="5">
        <v>999</v>
      </c>
      <c r="J22" s="2" t="s">
        <v>21</v>
      </c>
      <c r="K22" s="14">
        <v>11700</v>
      </c>
      <c r="L22" s="14">
        <v>16276.864599999995</v>
      </c>
      <c r="N22" s="27" t="s">
        <v>37</v>
      </c>
      <c r="O22" s="28">
        <v>47715.512320000002</v>
      </c>
      <c r="P22" s="28">
        <v>40187.030680000003</v>
      </c>
      <c r="Q22" s="28">
        <v>24624.681080000002</v>
      </c>
      <c r="R22" s="28">
        <v>38151.738500000007</v>
      </c>
      <c r="S22" s="28">
        <v>14363.771639999999</v>
      </c>
      <c r="T22" s="28">
        <v>2151.5570799999991</v>
      </c>
    </row>
    <row r="23" spans="1:20" x14ac:dyDescent="0.3">
      <c r="A23" s="4" t="s">
        <v>2238</v>
      </c>
      <c r="B23" s="5">
        <v>13</v>
      </c>
      <c r="C23" s="5">
        <v>13</v>
      </c>
      <c r="D23" s="5">
        <v>10</v>
      </c>
      <c r="E23" s="5">
        <v>15</v>
      </c>
      <c r="F23" s="5">
        <v>15</v>
      </c>
      <c r="G23" s="5">
        <v>21</v>
      </c>
      <c r="H23" s="5">
        <v>87</v>
      </c>
      <c r="J23" s="2" t="s">
        <v>65</v>
      </c>
      <c r="K23" s="14">
        <v>12150</v>
      </c>
      <c r="L23" s="14">
        <v>15592.117500000004</v>
      </c>
      <c r="N23" s="27" t="s">
        <v>21</v>
      </c>
      <c r="O23" s="28">
        <v>56752.528019999998</v>
      </c>
      <c r="P23" s="28">
        <v>46758.309920000007</v>
      </c>
      <c r="Q23" s="28">
        <v>25198.170860000006</v>
      </c>
      <c r="R23" s="28">
        <v>23192.513299999995</v>
      </c>
      <c r="S23" s="28">
        <v>14524.013640000003</v>
      </c>
      <c r="T23" s="28">
        <v>638.25992000000019</v>
      </c>
    </row>
    <row r="24" spans="1:20" x14ac:dyDescent="0.3">
      <c r="A24" s="4" t="s">
        <v>2231</v>
      </c>
      <c r="B24" s="5">
        <v>12</v>
      </c>
      <c r="C24" s="5">
        <v>24</v>
      </c>
      <c r="D24" s="5">
        <v>15</v>
      </c>
      <c r="E24" s="5">
        <v>11</v>
      </c>
      <c r="F24" s="5">
        <v>21</v>
      </c>
      <c r="G24" s="5">
        <v>22</v>
      </c>
      <c r="H24" s="5">
        <v>105</v>
      </c>
      <c r="J24" s="2" t="s">
        <v>53</v>
      </c>
      <c r="K24" s="14">
        <v>11700</v>
      </c>
      <c r="L24" s="14">
        <v>15486.720799999999</v>
      </c>
      <c r="N24" s="27" t="s">
        <v>31</v>
      </c>
      <c r="O24" s="28">
        <v>9653.0977200000016</v>
      </c>
      <c r="P24" s="28">
        <v>49251.8174</v>
      </c>
      <c r="Q24" s="28">
        <v>38230.089199999995</v>
      </c>
      <c r="R24" s="28">
        <v>31775.377859999997</v>
      </c>
      <c r="S24" s="28">
        <v>15686.220439999999</v>
      </c>
      <c r="T24" s="28">
        <v>104.6253600000002</v>
      </c>
    </row>
    <row r="25" spans="1:20" x14ac:dyDescent="0.3">
      <c r="A25" s="4" t="s">
        <v>2232</v>
      </c>
      <c r="B25" s="5">
        <v>17</v>
      </c>
      <c r="C25" s="5">
        <v>16</v>
      </c>
      <c r="D25" s="5">
        <v>18</v>
      </c>
      <c r="E25" s="5">
        <v>21</v>
      </c>
      <c r="F25" s="5">
        <v>17</v>
      </c>
      <c r="G25" s="5">
        <v>19</v>
      </c>
      <c r="H25" s="5">
        <v>108</v>
      </c>
      <c r="J25" s="2" t="s">
        <v>37</v>
      </c>
      <c r="K25" s="14">
        <v>11100</v>
      </c>
      <c r="L25" s="14">
        <v>15654.252699999997</v>
      </c>
      <c r="N25" s="27" t="s">
        <v>42</v>
      </c>
      <c r="O25" s="28">
        <v>42399.710399999996</v>
      </c>
      <c r="P25" s="28">
        <v>26823.712339999991</v>
      </c>
      <c r="Q25" s="28">
        <v>25922.755019999993</v>
      </c>
      <c r="R25" s="28">
        <v>31262.244240000004</v>
      </c>
      <c r="S25" s="28">
        <v>14590.716799999998</v>
      </c>
      <c r="T25" s="28">
        <v>2752.6140000000005</v>
      </c>
    </row>
    <row r="26" spans="1:20" x14ac:dyDescent="0.3">
      <c r="A26" s="4" t="s">
        <v>2233</v>
      </c>
      <c r="B26" s="5">
        <v>24</v>
      </c>
      <c r="C26" s="5">
        <v>21</v>
      </c>
      <c r="D26" s="5">
        <v>20</v>
      </c>
      <c r="E26" s="5">
        <v>18</v>
      </c>
      <c r="F26" s="5">
        <v>14</v>
      </c>
      <c r="G26" s="5">
        <v>19</v>
      </c>
      <c r="H26" s="5">
        <v>116</v>
      </c>
      <c r="J26" s="2" t="s">
        <v>31</v>
      </c>
      <c r="K26" s="14">
        <v>11700</v>
      </c>
      <c r="L26" s="14">
        <v>16248.462800000005</v>
      </c>
      <c r="N26" s="27" t="s">
        <v>3</v>
      </c>
      <c r="O26" s="28">
        <v>10045.912320000001</v>
      </c>
      <c r="P26" s="28">
        <v>21495.95506</v>
      </c>
      <c r="Q26" s="28">
        <v>36413.801799999994</v>
      </c>
      <c r="R26" s="28">
        <v>34090.513720000003</v>
      </c>
      <c r="S26" s="28">
        <v>16882.52432</v>
      </c>
      <c r="T26" s="28">
        <v>3571.7374</v>
      </c>
    </row>
    <row r="27" spans="1:20" x14ac:dyDescent="0.3">
      <c r="A27" s="4" t="s">
        <v>2234</v>
      </c>
      <c r="B27" s="5">
        <v>23</v>
      </c>
      <c r="C27" s="5">
        <v>22</v>
      </c>
      <c r="D27" s="5">
        <v>16</v>
      </c>
      <c r="E27" s="5">
        <v>21</v>
      </c>
      <c r="F27" s="5">
        <v>23</v>
      </c>
      <c r="G27" s="5">
        <v>16</v>
      </c>
      <c r="H27" s="5">
        <v>121</v>
      </c>
      <c r="J27" s="2" t="s">
        <v>10</v>
      </c>
      <c r="K27" s="14">
        <v>12600</v>
      </c>
      <c r="L27" s="14">
        <v>17038.822400000005</v>
      </c>
      <c r="N27" s="27" t="s">
        <v>10</v>
      </c>
      <c r="O27" s="28">
        <v>44347.584019999988</v>
      </c>
      <c r="P27" s="28">
        <v>23791.849239999996</v>
      </c>
      <c r="Q27" s="28">
        <v>13949.58366</v>
      </c>
      <c r="R27" s="28">
        <v>10140.652279999998</v>
      </c>
      <c r="S27" s="28">
        <v>18012.641960000001</v>
      </c>
      <c r="T27" s="28">
        <v>-752.6069600000003</v>
      </c>
    </row>
    <row r="28" spans="1:20" x14ac:dyDescent="0.3">
      <c r="A28" s="4" t="s">
        <v>2235</v>
      </c>
      <c r="B28" s="5">
        <v>22</v>
      </c>
      <c r="C28" s="5">
        <v>26</v>
      </c>
      <c r="D28" s="5">
        <v>19</v>
      </c>
      <c r="E28" s="5">
        <v>12</v>
      </c>
      <c r="F28" s="5">
        <v>16</v>
      </c>
      <c r="G28" s="5">
        <v>18</v>
      </c>
      <c r="H28" s="5">
        <v>113</v>
      </c>
      <c r="J28" s="2" t="s">
        <v>3</v>
      </c>
      <c r="K28" s="14">
        <v>13650</v>
      </c>
      <c r="L28" s="14">
        <v>19545.011000000006</v>
      </c>
      <c r="N28" s="27" t="s">
        <v>65</v>
      </c>
      <c r="O28" s="28">
        <v>33633.299740000002</v>
      </c>
      <c r="P28" s="28">
        <v>8243.0802399999993</v>
      </c>
      <c r="Q28" s="28">
        <v>27886.556140000008</v>
      </c>
      <c r="R28" s="28">
        <v>14155.96904</v>
      </c>
      <c r="S28" s="28">
        <v>263.46370000000127</v>
      </c>
      <c r="T28" s="28">
        <v>3936.6673999999998</v>
      </c>
    </row>
    <row r="29" spans="1:20" x14ac:dyDescent="0.3">
      <c r="A29" s="4" t="s">
        <v>2239</v>
      </c>
      <c r="B29" s="5">
        <v>28</v>
      </c>
      <c r="C29" s="5">
        <v>27</v>
      </c>
      <c r="D29" s="5">
        <v>17</v>
      </c>
      <c r="E29" s="5">
        <v>16</v>
      </c>
      <c r="F29" s="5">
        <v>12</v>
      </c>
      <c r="G29" s="5">
        <v>18</v>
      </c>
      <c r="H29" s="5">
        <v>118</v>
      </c>
      <c r="J29" s="2" t="s">
        <v>2221</v>
      </c>
      <c r="K29" s="14">
        <v>94200</v>
      </c>
      <c r="L29" s="14">
        <v>129276.31600000002</v>
      </c>
      <c r="N29" s="27" t="s">
        <v>53</v>
      </c>
      <c r="O29" s="28">
        <v>16875.95</v>
      </c>
      <c r="P29" s="28">
        <v>21497.920340000011</v>
      </c>
      <c r="Q29" s="28">
        <v>12581.157060000001</v>
      </c>
      <c r="R29" s="28">
        <v>19694.605020000003</v>
      </c>
      <c r="S29" s="28">
        <v>5546.348780000003</v>
      </c>
      <c r="T29" s="28">
        <v>2448.8704799999996</v>
      </c>
    </row>
    <row r="30" spans="1:20" x14ac:dyDescent="0.3">
      <c r="A30" s="4" t="s">
        <v>2240</v>
      </c>
      <c r="B30" s="5">
        <v>18</v>
      </c>
      <c r="C30" s="5">
        <v>27</v>
      </c>
      <c r="D30" s="5">
        <v>18</v>
      </c>
      <c r="E30" s="5">
        <v>18</v>
      </c>
      <c r="F30" s="5">
        <v>16</v>
      </c>
      <c r="G30" s="5">
        <v>15</v>
      </c>
      <c r="H30" s="5">
        <v>112</v>
      </c>
    </row>
    <row r="31" spans="1:20" x14ac:dyDescent="0.3">
      <c r="A31" s="4" t="s">
        <v>2241</v>
      </c>
      <c r="B31" s="5">
        <v>27</v>
      </c>
      <c r="C31" s="5">
        <v>20</v>
      </c>
      <c r="D31" s="5">
        <v>12</v>
      </c>
      <c r="E31" s="5">
        <v>22</v>
      </c>
      <c r="F31" s="5">
        <v>27</v>
      </c>
      <c r="G31" s="5">
        <v>11</v>
      </c>
      <c r="H31" s="5">
        <v>119</v>
      </c>
      <c r="J31" s="38">
        <v>7</v>
      </c>
    </row>
    <row r="32" spans="1:20" x14ac:dyDescent="0.3">
      <c r="A32" s="2" t="s">
        <v>2236</v>
      </c>
      <c r="B32" s="5">
        <v>218</v>
      </c>
      <c r="C32" s="5">
        <v>196</v>
      </c>
      <c r="D32" s="5">
        <v>172</v>
      </c>
      <c r="E32" s="5">
        <v>180</v>
      </c>
      <c r="F32" s="5">
        <v>211</v>
      </c>
      <c r="G32" s="5">
        <v>200</v>
      </c>
      <c r="H32" s="5">
        <v>1177</v>
      </c>
      <c r="J32" s="1" t="s">
        <v>2254</v>
      </c>
      <c r="K32" s="5" t="s">
        <v>2279</v>
      </c>
      <c r="N32" s="35" t="s">
        <v>2254</v>
      </c>
      <c r="O32" s="35"/>
      <c r="P32" s="35"/>
      <c r="Q32" s="35"/>
      <c r="R32" s="35"/>
      <c r="S32" s="35"/>
    </row>
    <row r="33" spans="1:21" x14ac:dyDescent="0.3">
      <c r="A33" s="4" t="s">
        <v>2242</v>
      </c>
      <c r="B33" s="5">
        <v>18</v>
      </c>
      <c r="C33" s="5">
        <v>17</v>
      </c>
      <c r="D33" s="5">
        <v>22</v>
      </c>
      <c r="E33" s="5">
        <v>20</v>
      </c>
      <c r="F33" s="5">
        <v>16</v>
      </c>
      <c r="G33" s="5">
        <v>25</v>
      </c>
      <c r="H33" s="5">
        <v>118</v>
      </c>
      <c r="J33" s="2" t="s">
        <v>15</v>
      </c>
      <c r="K33" s="5">
        <v>402</v>
      </c>
      <c r="N33" s="37" t="s">
        <v>2</v>
      </c>
      <c r="O33" s="37" t="s">
        <v>18</v>
      </c>
      <c r="P33" s="37" t="s">
        <v>26</v>
      </c>
      <c r="Q33" s="37" t="s">
        <v>30</v>
      </c>
      <c r="R33" s="37" t="s">
        <v>9</v>
      </c>
      <c r="S33" s="37" t="s">
        <v>15</v>
      </c>
    </row>
    <row r="34" spans="1:21" x14ac:dyDescent="0.3">
      <c r="A34" s="4" t="s">
        <v>2243</v>
      </c>
      <c r="B34" s="5">
        <v>19</v>
      </c>
      <c r="C34" s="5">
        <v>14</v>
      </c>
      <c r="D34" s="5">
        <v>15</v>
      </c>
      <c r="E34" s="5">
        <v>18</v>
      </c>
      <c r="F34" s="5">
        <v>23</v>
      </c>
      <c r="G34" s="5">
        <v>19</v>
      </c>
      <c r="H34" s="5">
        <v>108</v>
      </c>
      <c r="J34" s="2" t="s">
        <v>26</v>
      </c>
      <c r="K34" s="5">
        <v>392</v>
      </c>
      <c r="N34" s="28">
        <v>47715.512320000002</v>
      </c>
      <c r="O34" s="28">
        <v>40187.030680000003</v>
      </c>
      <c r="P34" s="28">
        <v>24624.681080000002</v>
      </c>
      <c r="Q34" s="28">
        <v>38151.738500000007</v>
      </c>
      <c r="R34" s="28">
        <v>14363.771639999999</v>
      </c>
      <c r="S34" s="28">
        <v>2151.5570799999991</v>
      </c>
    </row>
    <row r="35" spans="1:21" x14ac:dyDescent="0.3">
      <c r="A35" s="4" t="s">
        <v>2244</v>
      </c>
      <c r="B35" s="5">
        <v>22</v>
      </c>
      <c r="C35" s="5">
        <v>28</v>
      </c>
      <c r="D35" s="5">
        <v>13</v>
      </c>
      <c r="E35" s="5">
        <v>17</v>
      </c>
      <c r="F35" s="5">
        <v>22</v>
      </c>
      <c r="G35" s="5">
        <v>16</v>
      </c>
      <c r="H35" s="5">
        <v>118</v>
      </c>
      <c r="J35" s="2" t="s">
        <v>30</v>
      </c>
      <c r="K35" s="5">
        <v>317</v>
      </c>
      <c r="N35" s="28">
        <v>56752.528019999998</v>
      </c>
      <c r="O35" s="28">
        <v>46758.309920000007</v>
      </c>
      <c r="P35" s="28">
        <v>25198.170860000006</v>
      </c>
      <c r="Q35" s="28">
        <v>23192.513299999995</v>
      </c>
      <c r="R35" s="28">
        <v>14524.013640000003</v>
      </c>
      <c r="S35" s="28">
        <v>638.25992000000019</v>
      </c>
    </row>
    <row r="36" spans="1:21" x14ac:dyDescent="0.3">
      <c r="A36" s="4" t="s">
        <v>2238</v>
      </c>
      <c r="B36" s="5">
        <v>19</v>
      </c>
      <c r="C36" s="5">
        <v>18</v>
      </c>
      <c r="D36" s="5">
        <v>14</v>
      </c>
      <c r="E36" s="5">
        <v>15</v>
      </c>
      <c r="F36" s="5">
        <v>22</v>
      </c>
      <c r="G36" s="5">
        <v>28</v>
      </c>
      <c r="H36" s="5">
        <v>116</v>
      </c>
      <c r="J36" s="2" t="s">
        <v>2</v>
      </c>
      <c r="K36" s="5">
        <v>334</v>
      </c>
      <c r="N36" s="28">
        <v>9653.0977200000016</v>
      </c>
      <c r="O36" s="28">
        <v>49251.8174</v>
      </c>
      <c r="P36" s="28">
        <v>38230.089199999995</v>
      </c>
      <c r="Q36" s="28">
        <v>31775.377859999997</v>
      </c>
      <c r="R36" s="28">
        <v>15686.220439999999</v>
      </c>
      <c r="S36" s="28">
        <v>104.6253600000002</v>
      </c>
    </row>
    <row r="37" spans="1:21" x14ac:dyDescent="0.3">
      <c r="A37" s="4" t="s">
        <v>2231</v>
      </c>
      <c r="B37" s="5">
        <v>25</v>
      </c>
      <c r="C37" s="5">
        <v>23</v>
      </c>
      <c r="D37" s="5">
        <v>16</v>
      </c>
      <c r="E37" s="5">
        <v>20</v>
      </c>
      <c r="F37" s="5">
        <v>20</v>
      </c>
      <c r="G37" s="5">
        <v>15</v>
      </c>
      <c r="H37" s="5">
        <v>119</v>
      </c>
      <c r="J37" s="2" t="s">
        <v>18</v>
      </c>
      <c r="K37" s="5">
        <v>372</v>
      </c>
      <c r="N37" s="28">
        <v>42399.710399999996</v>
      </c>
      <c r="O37" s="28">
        <v>26823.712339999991</v>
      </c>
      <c r="P37" s="28">
        <v>25922.755019999993</v>
      </c>
      <c r="Q37" s="28">
        <v>31262.244240000004</v>
      </c>
      <c r="R37" s="28">
        <v>14590.716799999998</v>
      </c>
      <c r="S37" s="28">
        <v>2752.6140000000005</v>
      </c>
    </row>
    <row r="38" spans="1:21" x14ac:dyDescent="0.3">
      <c r="A38" s="4" t="s">
        <v>2232</v>
      </c>
      <c r="B38" s="5">
        <v>23</v>
      </c>
      <c r="C38" s="5">
        <v>14</v>
      </c>
      <c r="D38" s="5">
        <v>17</v>
      </c>
      <c r="E38" s="5">
        <v>19</v>
      </c>
      <c r="F38" s="5">
        <v>19</v>
      </c>
      <c r="G38" s="5">
        <v>24</v>
      </c>
      <c r="H38" s="5">
        <v>116</v>
      </c>
      <c r="J38" s="2" t="s">
        <v>9</v>
      </c>
      <c r="K38" s="5">
        <v>359</v>
      </c>
      <c r="N38" s="28">
        <v>10045.912320000001</v>
      </c>
      <c r="O38" s="28">
        <v>21495.95506</v>
      </c>
      <c r="P38" s="28">
        <v>36413.801799999994</v>
      </c>
      <c r="Q38" s="28">
        <v>34090.513720000003</v>
      </c>
      <c r="R38" s="28">
        <v>16882.52432</v>
      </c>
      <c r="S38" s="28">
        <v>3571.7374</v>
      </c>
    </row>
    <row r="39" spans="1:21" x14ac:dyDescent="0.3">
      <c r="A39" s="4" t="s">
        <v>2233</v>
      </c>
      <c r="B39" s="5">
        <v>26</v>
      </c>
      <c r="C39" s="5">
        <v>21</v>
      </c>
      <c r="D39" s="5">
        <v>18</v>
      </c>
      <c r="E39" s="5">
        <v>18</v>
      </c>
      <c r="F39" s="5">
        <v>20</v>
      </c>
      <c r="G39" s="5">
        <v>16</v>
      </c>
      <c r="H39" s="5">
        <v>119</v>
      </c>
      <c r="J39" s="2" t="s">
        <v>2221</v>
      </c>
      <c r="K39" s="5">
        <v>2176</v>
      </c>
      <c r="N39" s="28">
        <v>44347.584019999988</v>
      </c>
      <c r="O39" s="28">
        <v>23791.849239999996</v>
      </c>
      <c r="P39" s="28">
        <v>13949.58366</v>
      </c>
      <c r="Q39" s="28">
        <v>10140.652279999998</v>
      </c>
      <c r="R39" s="28">
        <v>18012.641960000001</v>
      </c>
      <c r="S39" s="28">
        <v>-752.6069600000003</v>
      </c>
    </row>
    <row r="40" spans="1:21" x14ac:dyDescent="0.3">
      <c r="A40" s="4" t="s">
        <v>2234</v>
      </c>
      <c r="B40" s="5">
        <v>16</v>
      </c>
      <c r="C40" s="5">
        <v>26</v>
      </c>
      <c r="D40" s="5">
        <v>16</v>
      </c>
      <c r="E40" s="5">
        <v>20</v>
      </c>
      <c r="F40" s="5">
        <v>21</v>
      </c>
      <c r="G40" s="5">
        <v>21</v>
      </c>
      <c r="H40" s="5">
        <v>120</v>
      </c>
      <c r="N40" s="28">
        <v>33633.299740000002</v>
      </c>
      <c r="O40" s="28">
        <v>8243.0802399999993</v>
      </c>
      <c r="P40" s="28">
        <v>27886.556140000008</v>
      </c>
      <c r="Q40" s="28">
        <v>14155.96904</v>
      </c>
      <c r="R40" s="28">
        <v>263.46370000000127</v>
      </c>
      <c r="S40" s="28">
        <v>3936.6673999999998</v>
      </c>
    </row>
    <row r="41" spans="1:21" x14ac:dyDescent="0.3">
      <c r="A41" s="4" t="s">
        <v>2235</v>
      </c>
      <c r="B41" s="5">
        <v>15</v>
      </c>
      <c r="C41" s="5">
        <v>14</v>
      </c>
      <c r="D41" s="5">
        <v>25</v>
      </c>
      <c r="E41" s="5">
        <v>19</v>
      </c>
      <c r="F41" s="5">
        <v>22</v>
      </c>
      <c r="G41" s="5">
        <v>20</v>
      </c>
      <c r="H41" s="5">
        <v>115</v>
      </c>
      <c r="J41" s="38">
        <v>9</v>
      </c>
      <c r="N41" s="28">
        <v>16875.95</v>
      </c>
      <c r="O41" s="28">
        <v>21497.920340000011</v>
      </c>
      <c r="P41" s="28">
        <v>12581.157060000001</v>
      </c>
      <c r="Q41" s="28">
        <v>19694.605020000003</v>
      </c>
      <c r="R41" s="28">
        <v>5546.348780000003</v>
      </c>
      <c r="S41" s="28">
        <v>2448.8704799999996</v>
      </c>
    </row>
    <row r="42" spans="1:21" x14ac:dyDescent="0.3">
      <c r="A42" s="4" t="s">
        <v>2239</v>
      </c>
      <c r="B42" s="5">
        <v>33</v>
      </c>
      <c r="C42" s="5">
        <v>20</v>
      </c>
      <c r="D42" s="5">
        <v>15</v>
      </c>
      <c r="E42" s="5">
        <v>14</v>
      </c>
      <c r="F42" s="5">
        <v>22</v>
      </c>
      <c r="G42" s="5">
        <v>14</v>
      </c>
      <c r="H42" s="5">
        <v>118</v>
      </c>
      <c r="J42" s="1" t="s">
        <v>2257</v>
      </c>
      <c r="K42" t="s">
        <v>2279</v>
      </c>
      <c r="L42" t="s">
        <v>2281</v>
      </c>
    </row>
    <row r="43" spans="1:21" x14ac:dyDescent="0.3">
      <c r="A43" s="4" t="s">
        <v>2240</v>
      </c>
      <c r="B43" s="5">
        <v>2</v>
      </c>
      <c r="C43" s="5">
        <v>1</v>
      </c>
      <c r="D43" s="5">
        <v>1</v>
      </c>
      <c r="E43" s="5"/>
      <c r="F43" s="5">
        <v>4</v>
      </c>
      <c r="G43" s="5">
        <v>2</v>
      </c>
      <c r="H43" s="5">
        <v>10</v>
      </c>
      <c r="J43" s="2" t="s">
        <v>4</v>
      </c>
      <c r="K43" s="5">
        <v>535</v>
      </c>
      <c r="L43" s="5">
        <v>145</v>
      </c>
    </row>
    <row r="44" spans="1:21" x14ac:dyDescent="0.3">
      <c r="A44" s="2" t="s">
        <v>2221</v>
      </c>
      <c r="B44" s="5">
        <v>402</v>
      </c>
      <c r="C44" s="5">
        <v>392</v>
      </c>
      <c r="D44" s="5">
        <v>317</v>
      </c>
      <c r="E44" s="5">
        <v>334</v>
      </c>
      <c r="F44" s="5">
        <v>372</v>
      </c>
      <c r="G44" s="5">
        <v>359</v>
      </c>
      <c r="H44" s="5">
        <v>2176</v>
      </c>
      <c r="J44" s="2" t="s">
        <v>54</v>
      </c>
      <c r="K44" s="5">
        <v>575</v>
      </c>
      <c r="L44" s="5">
        <v>169</v>
      </c>
    </row>
    <row r="45" spans="1:21" x14ac:dyDescent="0.3">
      <c r="J45" s="2" t="s">
        <v>23</v>
      </c>
      <c r="K45" s="5">
        <v>544</v>
      </c>
      <c r="L45" s="5">
        <v>166</v>
      </c>
    </row>
    <row r="46" spans="1:21" x14ac:dyDescent="0.3">
      <c r="A46" s="21">
        <v>8</v>
      </c>
      <c r="J46" s="2" t="s">
        <v>11</v>
      </c>
      <c r="K46" s="5">
        <v>522</v>
      </c>
      <c r="L46" s="5">
        <v>145</v>
      </c>
      <c r="N46" s="1" t="s">
        <v>2291</v>
      </c>
      <c r="O46" s="1" t="s">
        <v>2254</v>
      </c>
      <c r="P46"/>
      <c r="Q46"/>
      <c r="R46"/>
      <c r="S46"/>
      <c r="T46"/>
      <c r="U46"/>
    </row>
    <row r="47" spans="1:21" x14ac:dyDescent="0.3">
      <c r="A47" s="23" t="s">
        <v>2264</v>
      </c>
      <c r="B47" s="21" t="s">
        <v>2284</v>
      </c>
      <c r="J47" s="2" t="s">
        <v>2221</v>
      </c>
      <c r="K47" s="5">
        <v>2176</v>
      </c>
      <c r="L47" s="5">
        <v>625</v>
      </c>
      <c r="N47" s="1" t="s">
        <v>2285</v>
      </c>
      <c r="O47" t="s">
        <v>15</v>
      </c>
      <c r="P47" t="s">
        <v>26</v>
      </c>
      <c r="Q47" t="s">
        <v>30</v>
      </c>
      <c r="R47" t="s">
        <v>2</v>
      </c>
      <c r="S47" t="s">
        <v>18</v>
      </c>
      <c r="T47" t="s">
        <v>9</v>
      </c>
      <c r="U47" t="s">
        <v>2221</v>
      </c>
    </row>
    <row r="48" spans="1:21" x14ac:dyDescent="0.3">
      <c r="N48" s="2" t="s">
        <v>2237</v>
      </c>
      <c r="O48" s="5">
        <v>184</v>
      </c>
      <c r="P48" s="5">
        <v>196</v>
      </c>
      <c r="Q48" s="5">
        <v>145</v>
      </c>
      <c r="R48" s="5">
        <v>154</v>
      </c>
      <c r="S48" s="5">
        <v>161</v>
      </c>
      <c r="T48" s="5">
        <v>159</v>
      </c>
      <c r="U48" s="5">
        <v>999</v>
      </c>
    </row>
    <row r="49" spans="1:21" x14ac:dyDescent="0.3">
      <c r="A49" s="23" t="s">
        <v>2282</v>
      </c>
      <c r="B49" s="23" t="s">
        <v>2258</v>
      </c>
      <c r="J49" s="21">
        <v>10</v>
      </c>
      <c r="N49" s="4" t="s">
        <v>2238</v>
      </c>
      <c r="O49" s="5">
        <v>13</v>
      </c>
      <c r="P49" s="5">
        <v>13</v>
      </c>
      <c r="Q49" s="5">
        <v>10</v>
      </c>
      <c r="R49" s="5">
        <v>15</v>
      </c>
      <c r="S49" s="5">
        <v>15</v>
      </c>
      <c r="T49" s="5">
        <v>21</v>
      </c>
      <c r="U49" s="5">
        <v>87</v>
      </c>
    </row>
    <row r="50" spans="1:21" x14ac:dyDescent="0.3">
      <c r="A50" s="23" t="s">
        <v>2283</v>
      </c>
      <c r="B50" s="21" t="s">
        <v>12</v>
      </c>
      <c r="C50" s="21" t="s">
        <v>49</v>
      </c>
      <c r="D50" s="21" t="s">
        <v>27</v>
      </c>
      <c r="E50" s="21" t="s">
        <v>5</v>
      </c>
      <c r="F50" s="21" t="s">
        <v>46</v>
      </c>
      <c r="G50" s="21" t="s">
        <v>38</v>
      </c>
      <c r="H50" s="21" t="s">
        <v>2221</v>
      </c>
      <c r="J50" s="23" t="s">
        <v>2270</v>
      </c>
      <c r="K50" s="21" t="s">
        <v>2288</v>
      </c>
      <c r="L50" s="21" t="s">
        <v>2289</v>
      </c>
      <c r="N50" s="4" t="s">
        <v>2231</v>
      </c>
      <c r="O50" s="5">
        <v>12</v>
      </c>
      <c r="P50" s="5">
        <v>24</v>
      </c>
      <c r="Q50" s="5">
        <v>15</v>
      </c>
      <c r="R50" s="5">
        <v>11</v>
      </c>
      <c r="S50" s="5">
        <v>21</v>
      </c>
      <c r="T50" s="5">
        <v>22</v>
      </c>
      <c r="U50" s="5">
        <v>105</v>
      </c>
    </row>
    <row r="51" spans="1:21" x14ac:dyDescent="0.3">
      <c r="A51" s="25" t="s">
        <v>47</v>
      </c>
      <c r="B51" s="38">
        <v>8</v>
      </c>
      <c r="C51" s="38">
        <v>7</v>
      </c>
      <c r="D51" s="38">
        <v>5</v>
      </c>
      <c r="E51" s="38">
        <v>3</v>
      </c>
      <c r="F51" s="38">
        <v>7</v>
      </c>
      <c r="G51" s="38">
        <v>4</v>
      </c>
      <c r="H51" s="38">
        <v>34</v>
      </c>
      <c r="J51" s="25" t="s">
        <v>42</v>
      </c>
      <c r="K51" s="26">
        <v>301126.45899999974</v>
      </c>
      <c r="L51" s="26">
        <v>143751.75280000002</v>
      </c>
      <c r="N51" s="4" t="s">
        <v>2232</v>
      </c>
      <c r="O51" s="5">
        <v>17</v>
      </c>
      <c r="P51" s="5">
        <v>16</v>
      </c>
      <c r="Q51" s="5">
        <v>18</v>
      </c>
      <c r="R51" s="5">
        <v>21</v>
      </c>
      <c r="S51" s="5">
        <v>17</v>
      </c>
      <c r="T51" s="5">
        <v>19</v>
      </c>
      <c r="U51" s="5">
        <v>108</v>
      </c>
    </row>
    <row r="52" spans="1:21" x14ac:dyDescent="0.3">
      <c r="A52" s="25" t="s">
        <v>16</v>
      </c>
      <c r="B52" s="38">
        <v>10</v>
      </c>
      <c r="C52" s="38">
        <v>7</v>
      </c>
      <c r="D52" s="38">
        <v>12</v>
      </c>
      <c r="E52" s="38">
        <v>10</v>
      </c>
      <c r="F52" s="38">
        <v>9</v>
      </c>
      <c r="G52" s="38">
        <v>8</v>
      </c>
      <c r="H52" s="38">
        <v>56</v>
      </c>
      <c r="J52" s="25" t="s">
        <v>21</v>
      </c>
      <c r="K52" s="26">
        <v>357809.30626000016</v>
      </c>
      <c r="L52" s="26">
        <v>167063.79566000006</v>
      </c>
      <c r="N52" s="4" t="s">
        <v>2233</v>
      </c>
      <c r="O52" s="5">
        <v>24</v>
      </c>
      <c r="P52" s="5">
        <v>21</v>
      </c>
      <c r="Q52" s="5">
        <v>20</v>
      </c>
      <c r="R52" s="5">
        <v>18</v>
      </c>
      <c r="S52" s="5">
        <v>14</v>
      </c>
      <c r="T52" s="5">
        <v>19</v>
      </c>
      <c r="U52" s="5">
        <v>116</v>
      </c>
    </row>
    <row r="53" spans="1:21" x14ac:dyDescent="0.3">
      <c r="A53" s="25" t="s">
        <v>32</v>
      </c>
      <c r="B53" s="38">
        <v>6</v>
      </c>
      <c r="C53" s="38">
        <v>4</v>
      </c>
      <c r="D53" s="38">
        <v>5</v>
      </c>
      <c r="E53" s="38">
        <v>7</v>
      </c>
      <c r="F53" s="38">
        <v>6</v>
      </c>
      <c r="G53" s="38">
        <v>5</v>
      </c>
      <c r="H53" s="38">
        <v>33</v>
      </c>
      <c r="J53" s="25" t="s">
        <v>65</v>
      </c>
      <c r="K53" s="26">
        <v>271782.32875999983</v>
      </c>
      <c r="L53" s="26">
        <v>88119.036260000023</v>
      </c>
      <c r="N53" s="4" t="s">
        <v>2234</v>
      </c>
      <c r="O53" s="5">
        <v>23</v>
      </c>
      <c r="P53" s="5">
        <v>22</v>
      </c>
      <c r="Q53" s="5">
        <v>16</v>
      </c>
      <c r="R53" s="5">
        <v>21</v>
      </c>
      <c r="S53" s="5">
        <v>23</v>
      </c>
      <c r="T53" s="5">
        <v>16</v>
      </c>
      <c r="U53" s="5">
        <v>121</v>
      </c>
    </row>
    <row r="54" spans="1:21" x14ac:dyDescent="0.3">
      <c r="A54" s="25" t="s">
        <v>88</v>
      </c>
      <c r="B54" s="38">
        <v>5</v>
      </c>
      <c r="C54" s="38">
        <v>3</v>
      </c>
      <c r="D54" s="38">
        <v>6</v>
      </c>
      <c r="E54" s="38">
        <v>1</v>
      </c>
      <c r="F54" s="38">
        <v>6</v>
      </c>
      <c r="G54" s="38">
        <v>6</v>
      </c>
      <c r="H54" s="38">
        <v>27</v>
      </c>
      <c r="J54" s="25" t="s">
        <v>53</v>
      </c>
      <c r="K54" s="26">
        <v>260698.78047999999</v>
      </c>
      <c r="L54" s="26">
        <v>78644.851679999949</v>
      </c>
      <c r="N54" s="4" t="s">
        <v>2235</v>
      </c>
      <c r="O54" s="5">
        <v>22</v>
      </c>
      <c r="P54" s="5">
        <v>26</v>
      </c>
      <c r="Q54" s="5">
        <v>19</v>
      </c>
      <c r="R54" s="5">
        <v>12</v>
      </c>
      <c r="S54" s="5">
        <v>16</v>
      </c>
      <c r="T54" s="5">
        <v>18</v>
      </c>
      <c r="U54" s="5">
        <v>113</v>
      </c>
    </row>
    <row r="55" spans="1:21" x14ac:dyDescent="0.3">
      <c r="A55" s="25" t="s">
        <v>28</v>
      </c>
      <c r="B55" s="38">
        <v>6</v>
      </c>
      <c r="C55" s="38">
        <v>5</v>
      </c>
      <c r="D55" s="38">
        <v>6</v>
      </c>
      <c r="E55" s="38">
        <v>11</v>
      </c>
      <c r="F55" s="38">
        <v>6</v>
      </c>
      <c r="G55" s="38">
        <v>6</v>
      </c>
      <c r="H55" s="38">
        <v>40</v>
      </c>
      <c r="J55" s="25" t="s">
        <v>37</v>
      </c>
      <c r="K55" s="26">
        <v>350491.07099999976</v>
      </c>
      <c r="L55" s="26">
        <v>167194.2913000001</v>
      </c>
      <c r="N55" s="4" t="s">
        <v>2239</v>
      </c>
      <c r="O55" s="5">
        <v>28</v>
      </c>
      <c r="P55" s="5">
        <v>27</v>
      </c>
      <c r="Q55" s="5">
        <v>17</v>
      </c>
      <c r="R55" s="5">
        <v>16</v>
      </c>
      <c r="S55" s="5">
        <v>12</v>
      </c>
      <c r="T55" s="5">
        <v>18</v>
      </c>
      <c r="U55" s="5">
        <v>118</v>
      </c>
    </row>
    <row r="56" spans="1:21" x14ac:dyDescent="0.3">
      <c r="A56" s="25" t="s">
        <v>35</v>
      </c>
      <c r="B56" s="38">
        <v>12</v>
      </c>
      <c r="C56" s="38">
        <v>10</v>
      </c>
      <c r="D56" s="38">
        <v>12</v>
      </c>
      <c r="E56" s="38">
        <v>5</v>
      </c>
      <c r="F56" s="38">
        <v>11</v>
      </c>
      <c r="G56" s="38">
        <v>9</v>
      </c>
      <c r="H56" s="38">
        <v>59</v>
      </c>
      <c r="J56" s="25" t="s">
        <v>31</v>
      </c>
      <c r="K56" s="26">
        <v>335134.31878000026</v>
      </c>
      <c r="L56" s="26">
        <v>144701.22798000017</v>
      </c>
      <c r="N56" s="4" t="s">
        <v>2240</v>
      </c>
      <c r="O56" s="5">
        <v>18</v>
      </c>
      <c r="P56" s="5">
        <v>27</v>
      </c>
      <c r="Q56" s="5">
        <v>18</v>
      </c>
      <c r="R56" s="5">
        <v>18</v>
      </c>
      <c r="S56" s="5">
        <v>16</v>
      </c>
      <c r="T56" s="5">
        <v>15</v>
      </c>
      <c r="U56" s="5">
        <v>112</v>
      </c>
    </row>
    <row r="57" spans="1:21" x14ac:dyDescent="0.3">
      <c r="A57" s="25" t="s">
        <v>56</v>
      </c>
      <c r="B57" s="38">
        <v>9</v>
      </c>
      <c r="C57" s="38">
        <v>4</v>
      </c>
      <c r="D57" s="38">
        <v>5</v>
      </c>
      <c r="E57" s="38">
        <v>4</v>
      </c>
      <c r="F57" s="38">
        <v>8</v>
      </c>
      <c r="G57" s="38">
        <v>10</v>
      </c>
      <c r="H57" s="38">
        <v>40</v>
      </c>
      <c r="J57" s="25" t="s">
        <v>10</v>
      </c>
      <c r="K57" s="26">
        <v>309516.75060000003</v>
      </c>
      <c r="L57" s="26">
        <v>109489.70420000007</v>
      </c>
      <c r="N57" s="4" t="s">
        <v>2241</v>
      </c>
      <c r="O57" s="5">
        <v>27</v>
      </c>
      <c r="P57" s="5">
        <v>20</v>
      </c>
      <c r="Q57" s="5">
        <v>12</v>
      </c>
      <c r="R57" s="5">
        <v>22</v>
      </c>
      <c r="S57" s="5">
        <v>27</v>
      </c>
      <c r="T57" s="5">
        <v>11</v>
      </c>
      <c r="U57" s="5">
        <v>119</v>
      </c>
    </row>
    <row r="58" spans="1:21" x14ac:dyDescent="0.3">
      <c r="A58" s="25" t="s">
        <v>13</v>
      </c>
      <c r="B58" s="38">
        <v>7</v>
      </c>
      <c r="C58" s="38">
        <v>7</v>
      </c>
      <c r="D58" s="38">
        <v>4</v>
      </c>
      <c r="E58" s="38">
        <v>7</v>
      </c>
      <c r="F58" s="38">
        <v>12</v>
      </c>
      <c r="G58" s="38">
        <v>10</v>
      </c>
      <c r="H58" s="38">
        <v>47</v>
      </c>
      <c r="J58" s="25" t="s">
        <v>3</v>
      </c>
      <c r="K58" s="26">
        <v>351145.56562000007</v>
      </c>
      <c r="L58" s="26">
        <v>122500.44461999988</v>
      </c>
      <c r="N58" s="2" t="s">
        <v>2236</v>
      </c>
      <c r="O58" s="5">
        <v>218</v>
      </c>
      <c r="P58" s="5">
        <v>196</v>
      </c>
      <c r="Q58" s="5">
        <v>172</v>
      </c>
      <c r="R58" s="5">
        <v>180</v>
      </c>
      <c r="S58" s="5">
        <v>211</v>
      </c>
      <c r="T58" s="5">
        <v>200</v>
      </c>
      <c r="U58" s="5">
        <v>1177</v>
      </c>
    </row>
    <row r="59" spans="1:21" x14ac:dyDescent="0.3">
      <c r="A59" s="25" t="s">
        <v>58</v>
      </c>
      <c r="B59" s="38">
        <v>10</v>
      </c>
      <c r="C59" s="38">
        <v>10</v>
      </c>
      <c r="D59" s="38">
        <v>7</v>
      </c>
      <c r="E59" s="38">
        <v>5</v>
      </c>
      <c r="F59" s="38">
        <v>10</v>
      </c>
      <c r="G59" s="38">
        <v>2</v>
      </c>
      <c r="H59" s="38">
        <v>44</v>
      </c>
      <c r="J59" s="25" t="s">
        <v>2221</v>
      </c>
      <c r="K59" s="26">
        <v>2537704.5804999997</v>
      </c>
      <c r="L59" s="26">
        <v>1021465.1045000002</v>
      </c>
      <c r="N59" s="4" t="s">
        <v>2242</v>
      </c>
      <c r="O59" s="5">
        <v>18</v>
      </c>
      <c r="P59" s="5">
        <v>17</v>
      </c>
      <c r="Q59" s="5">
        <v>22</v>
      </c>
      <c r="R59" s="5">
        <v>20</v>
      </c>
      <c r="S59" s="5">
        <v>16</v>
      </c>
      <c r="T59" s="5">
        <v>25</v>
      </c>
      <c r="U59" s="5">
        <v>118</v>
      </c>
    </row>
    <row r="60" spans="1:21" x14ac:dyDescent="0.3">
      <c r="A60" s="25" t="s">
        <v>6</v>
      </c>
      <c r="B60" s="38">
        <v>7</v>
      </c>
      <c r="C60" s="38">
        <v>5</v>
      </c>
      <c r="D60" s="38">
        <v>4</v>
      </c>
      <c r="E60" s="38">
        <v>6</v>
      </c>
      <c r="F60" s="38">
        <v>3</v>
      </c>
      <c r="G60" s="38">
        <v>7</v>
      </c>
      <c r="H60" s="38">
        <v>32</v>
      </c>
      <c r="L60" s="21" t="s">
        <v>2275</v>
      </c>
      <c r="N60" s="4" t="s">
        <v>2243</v>
      </c>
      <c r="O60" s="5">
        <v>19</v>
      </c>
      <c r="P60" s="5">
        <v>14</v>
      </c>
      <c r="Q60" s="5">
        <v>15</v>
      </c>
      <c r="R60" s="5">
        <v>18</v>
      </c>
      <c r="S60" s="5">
        <v>23</v>
      </c>
      <c r="T60" s="5">
        <v>19</v>
      </c>
      <c r="U60" s="5">
        <v>108</v>
      </c>
    </row>
    <row r="61" spans="1:21" x14ac:dyDescent="0.3">
      <c r="A61" s="25" t="s">
        <v>43</v>
      </c>
      <c r="B61" s="38">
        <v>14</v>
      </c>
      <c r="C61" s="38">
        <v>7</v>
      </c>
      <c r="D61" s="38">
        <v>10</v>
      </c>
      <c r="E61" s="38">
        <v>5</v>
      </c>
      <c r="F61" s="38">
        <v>10</v>
      </c>
      <c r="G61" s="38">
        <v>6</v>
      </c>
      <c r="H61" s="38">
        <v>52</v>
      </c>
      <c r="N61" s="4" t="s">
        <v>2244</v>
      </c>
      <c r="O61" s="5">
        <v>22</v>
      </c>
      <c r="P61" s="5">
        <v>28</v>
      </c>
      <c r="Q61" s="5">
        <v>13</v>
      </c>
      <c r="R61" s="5">
        <v>17</v>
      </c>
      <c r="S61" s="5">
        <v>22</v>
      </c>
      <c r="T61" s="5">
        <v>16</v>
      </c>
      <c r="U61" s="5">
        <v>118</v>
      </c>
    </row>
    <row r="62" spans="1:21" x14ac:dyDescent="0.3">
      <c r="A62" s="25" t="s">
        <v>2221</v>
      </c>
      <c r="B62" s="38">
        <v>94</v>
      </c>
      <c r="C62" s="38">
        <v>69</v>
      </c>
      <c r="D62" s="38">
        <v>76</v>
      </c>
      <c r="E62" s="38">
        <v>64</v>
      </c>
      <c r="F62" s="38">
        <v>88</v>
      </c>
      <c r="G62" s="38">
        <v>73</v>
      </c>
      <c r="H62" s="38">
        <v>464</v>
      </c>
      <c r="N62" s="4" t="s">
        <v>2238</v>
      </c>
      <c r="O62" s="5">
        <v>19</v>
      </c>
      <c r="P62" s="5">
        <v>18</v>
      </c>
      <c r="Q62" s="5">
        <v>14</v>
      </c>
      <c r="R62" s="5">
        <v>15</v>
      </c>
      <c r="S62" s="5">
        <v>22</v>
      </c>
      <c r="T62" s="5">
        <v>28</v>
      </c>
      <c r="U62" s="5">
        <v>116</v>
      </c>
    </row>
    <row r="63" spans="1:21" x14ac:dyDescent="0.3">
      <c r="N63" s="4" t="s">
        <v>2231</v>
      </c>
      <c r="O63" s="5">
        <v>25</v>
      </c>
      <c r="P63" s="5">
        <v>23</v>
      </c>
      <c r="Q63" s="5">
        <v>16</v>
      </c>
      <c r="R63" s="5">
        <v>20</v>
      </c>
      <c r="S63" s="5">
        <v>20</v>
      </c>
      <c r="T63" s="5">
        <v>15</v>
      </c>
      <c r="U63" s="5">
        <v>119</v>
      </c>
    </row>
    <row r="64" spans="1:21" x14ac:dyDescent="0.3">
      <c r="A64" s="1" t="s">
        <v>2252</v>
      </c>
      <c r="B64" t="s">
        <v>2230</v>
      </c>
      <c r="N64" s="4" t="s">
        <v>2232</v>
      </c>
      <c r="O64" s="5">
        <v>23</v>
      </c>
      <c r="P64" s="5">
        <v>14</v>
      </c>
      <c r="Q64" s="5">
        <v>17</v>
      </c>
      <c r="R64" s="5">
        <v>19</v>
      </c>
      <c r="S64" s="5">
        <v>19</v>
      </c>
      <c r="T64" s="5">
        <v>24</v>
      </c>
      <c r="U64" s="5">
        <v>116</v>
      </c>
    </row>
    <row r="65" spans="1:21" x14ac:dyDescent="0.3">
      <c r="D65" s="38">
        <v>12</v>
      </c>
      <c r="N65" s="4" t="s">
        <v>2233</v>
      </c>
      <c r="O65" s="5">
        <v>26</v>
      </c>
      <c r="P65" s="5">
        <v>21</v>
      </c>
      <c r="Q65" s="5">
        <v>18</v>
      </c>
      <c r="R65" s="5">
        <v>18</v>
      </c>
      <c r="S65" s="5">
        <v>20</v>
      </c>
      <c r="T65" s="5">
        <v>16</v>
      </c>
      <c r="U65" s="5">
        <v>119</v>
      </c>
    </row>
    <row r="66" spans="1:21" x14ac:dyDescent="0.3">
      <c r="A66" s="1" t="s">
        <v>2258</v>
      </c>
      <c r="B66" s="5" t="s">
        <v>2281</v>
      </c>
      <c r="D66" s="23" t="s">
        <v>2276</v>
      </c>
      <c r="E66" s="23" t="s">
        <v>2254</v>
      </c>
      <c r="N66" s="4" t="s">
        <v>2234</v>
      </c>
      <c r="O66" s="5">
        <v>16</v>
      </c>
      <c r="P66" s="5">
        <v>26</v>
      </c>
      <c r="Q66" s="5">
        <v>16</v>
      </c>
      <c r="R66" s="5">
        <v>20</v>
      </c>
      <c r="S66" s="5">
        <v>21</v>
      </c>
      <c r="T66" s="5">
        <v>21</v>
      </c>
      <c r="U66" s="5">
        <v>120</v>
      </c>
    </row>
    <row r="67" spans="1:21" x14ac:dyDescent="0.3">
      <c r="A67" s="2" t="s">
        <v>12</v>
      </c>
      <c r="B67" s="5">
        <v>94</v>
      </c>
      <c r="D67" s="23" t="s">
        <v>2270</v>
      </c>
      <c r="E67" s="21" t="s">
        <v>15</v>
      </c>
      <c r="F67" s="21" t="s">
        <v>26</v>
      </c>
      <c r="G67" s="21" t="s">
        <v>30</v>
      </c>
      <c r="H67" s="21" t="s">
        <v>2</v>
      </c>
      <c r="I67" s="21" t="s">
        <v>18</v>
      </c>
      <c r="J67" s="21" t="s">
        <v>9</v>
      </c>
      <c r="K67" s="21" t="s">
        <v>2221</v>
      </c>
      <c r="N67" s="4" t="s">
        <v>2235</v>
      </c>
      <c r="O67" s="5">
        <v>15</v>
      </c>
      <c r="P67" s="5">
        <v>14</v>
      </c>
      <c r="Q67" s="5">
        <v>25</v>
      </c>
      <c r="R67" s="5">
        <v>19</v>
      </c>
      <c r="S67" s="5">
        <v>22</v>
      </c>
      <c r="T67" s="5">
        <v>20</v>
      </c>
      <c r="U67" s="5">
        <v>115</v>
      </c>
    </row>
    <row r="68" spans="1:21" x14ac:dyDescent="0.3">
      <c r="A68" s="2" t="s">
        <v>49</v>
      </c>
      <c r="B68" s="5">
        <v>71</v>
      </c>
      <c r="D68" s="25" t="s">
        <v>42</v>
      </c>
      <c r="E68" s="39">
        <v>0.12695833333333331</v>
      </c>
      <c r="F68" s="39">
        <v>0.15850000000000003</v>
      </c>
      <c r="G68" s="39">
        <v>0.113825</v>
      </c>
      <c r="H68" s="39">
        <v>5.0170212765957449E-2</v>
      </c>
      <c r="I68" s="39">
        <v>0.16358823529411765</v>
      </c>
      <c r="J68" s="39">
        <v>9.3437499999999993E-2</v>
      </c>
      <c r="K68" s="39">
        <v>0.11436575875486379</v>
      </c>
      <c r="N68" s="4" t="s">
        <v>2239</v>
      </c>
      <c r="O68" s="5">
        <v>33</v>
      </c>
      <c r="P68" s="5">
        <v>20</v>
      </c>
      <c r="Q68" s="5">
        <v>15</v>
      </c>
      <c r="R68" s="5">
        <v>14</v>
      </c>
      <c r="S68" s="5">
        <v>22</v>
      </c>
      <c r="T68" s="5">
        <v>14</v>
      </c>
      <c r="U68" s="5">
        <v>118</v>
      </c>
    </row>
    <row r="69" spans="1:21" x14ac:dyDescent="0.3">
      <c r="A69" s="2" t="s">
        <v>27</v>
      </c>
      <c r="B69" s="5">
        <v>79</v>
      </c>
      <c r="D69" s="25" t="s">
        <v>21</v>
      </c>
      <c r="E69" s="39">
        <v>0.14702439024390246</v>
      </c>
      <c r="F69" s="39">
        <v>0.11089583333333335</v>
      </c>
      <c r="G69" s="39">
        <v>9.295454545454547E-2</v>
      </c>
      <c r="H69" s="39">
        <v>0.13748076923076924</v>
      </c>
      <c r="I69" s="39">
        <v>0.11175438596491229</v>
      </c>
      <c r="J69" s="39">
        <v>0.14976744186046514</v>
      </c>
      <c r="K69" s="39">
        <v>0.1242105263157894</v>
      </c>
      <c r="N69" s="4" t="s">
        <v>2240</v>
      </c>
      <c r="O69" s="5">
        <v>2</v>
      </c>
      <c r="P69" s="5">
        <v>1</v>
      </c>
      <c r="Q69" s="5">
        <v>1</v>
      </c>
      <c r="R69" s="5"/>
      <c r="S69" s="5">
        <v>4</v>
      </c>
      <c r="T69" s="5">
        <v>2</v>
      </c>
      <c r="U69" s="5">
        <v>10</v>
      </c>
    </row>
    <row r="70" spans="1:21" x14ac:dyDescent="0.3">
      <c r="A70" s="2" t="s">
        <v>5</v>
      </c>
      <c r="B70" s="5">
        <v>67</v>
      </c>
      <c r="D70" s="25" t="s">
        <v>65</v>
      </c>
      <c r="E70" s="39">
        <v>9.5622641509433975E-2</v>
      </c>
      <c r="F70" s="39">
        <v>0.11469642857142859</v>
      </c>
      <c r="G70" s="39">
        <v>0.17897435897435893</v>
      </c>
      <c r="H70" s="39">
        <v>0.11213513513513514</v>
      </c>
      <c r="I70" s="39">
        <v>0.20974193548387102</v>
      </c>
      <c r="J70" s="39">
        <v>0.11752941176470588</v>
      </c>
      <c r="K70" s="39">
        <v>0.13247199999999992</v>
      </c>
      <c r="N70" s="2" t="s">
        <v>2221</v>
      </c>
      <c r="O70" s="5">
        <v>402</v>
      </c>
      <c r="P70" s="5">
        <v>392</v>
      </c>
      <c r="Q70" s="5">
        <v>317</v>
      </c>
      <c r="R70" s="5">
        <v>334</v>
      </c>
      <c r="S70" s="5">
        <v>372</v>
      </c>
      <c r="T70" s="5">
        <v>359</v>
      </c>
      <c r="U70" s="5">
        <v>2176</v>
      </c>
    </row>
    <row r="71" spans="1:21" x14ac:dyDescent="0.3">
      <c r="A71" s="2" t="s">
        <v>46</v>
      </c>
      <c r="B71" s="5">
        <v>90</v>
      </c>
      <c r="D71" s="25" t="s">
        <v>53</v>
      </c>
      <c r="E71" s="39">
        <v>0.13437735849056606</v>
      </c>
      <c r="F71" s="39">
        <v>0.13963888888888892</v>
      </c>
      <c r="G71" s="39">
        <v>0.16207142857142859</v>
      </c>
      <c r="H71" s="39">
        <v>0.10602857142857143</v>
      </c>
      <c r="I71" s="39">
        <v>0.18321428571428572</v>
      </c>
      <c r="J71" s="39">
        <v>0.12678</v>
      </c>
      <c r="K71" s="39">
        <v>0.14111475409836072</v>
      </c>
    </row>
    <row r="72" spans="1:21" x14ac:dyDescent="0.3">
      <c r="A72" s="2" t="s">
        <v>38</v>
      </c>
      <c r="B72" s="5">
        <v>77</v>
      </c>
      <c r="D72" s="25" t="s">
        <v>37</v>
      </c>
      <c r="E72" s="39">
        <v>0.14426829268292682</v>
      </c>
      <c r="F72" s="39">
        <v>0.12785454545454544</v>
      </c>
      <c r="G72" s="39">
        <v>0.11402272727272726</v>
      </c>
      <c r="H72" s="39">
        <v>0.10165853658536586</v>
      </c>
      <c r="I72" s="39">
        <v>0.13057142857142856</v>
      </c>
      <c r="J72" s="39">
        <v>0.11436956521739129</v>
      </c>
      <c r="K72" s="39">
        <v>0.12263250883392222</v>
      </c>
    </row>
    <row r="73" spans="1:21" x14ac:dyDescent="0.3">
      <c r="A73" s="2" t="s">
        <v>7</v>
      </c>
      <c r="B73" s="5">
        <v>147</v>
      </c>
      <c r="D73" s="25" t="s">
        <v>31</v>
      </c>
      <c r="E73" s="39">
        <v>0.1101086956521739</v>
      </c>
      <c r="F73" s="39">
        <v>0.17459999999999995</v>
      </c>
      <c r="G73" s="39">
        <v>0.1389</v>
      </c>
      <c r="H73" s="39">
        <v>0.12354285714285713</v>
      </c>
      <c r="I73" s="39">
        <v>0.12359259259259259</v>
      </c>
      <c r="J73" s="39">
        <v>8.3159090909090919E-2</v>
      </c>
      <c r="K73" s="39">
        <v>0.12771126760563387</v>
      </c>
    </row>
    <row r="74" spans="1:21" x14ac:dyDescent="0.3">
      <c r="A74" s="2" t="s">
        <v>2221</v>
      </c>
      <c r="B74" s="5">
        <v>625</v>
      </c>
      <c r="D74" s="25" t="s">
        <v>10</v>
      </c>
      <c r="E74" s="39">
        <v>9.5534482758620698E-2</v>
      </c>
      <c r="F74" s="39">
        <v>0.10369696969696972</v>
      </c>
      <c r="G74" s="39">
        <v>0.12886666666666666</v>
      </c>
      <c r="H74" s="39">
        <v>0.10647826086956522</v>
      </c>
      <c r="I74" s="39">
        <v>8.0320000000000003E-2</v>
      </c>
      <c r="J74" s="39">
        <v>3.2302325581395341E-2</v>
      </c>
      <c r="K74" s="39">
        <v>8.8969230769230759E-2</v>
      </c>
    </row>
    <row r="75" spans="1:21" x14ac:dyDescent="0.3">
      <c r="D75" s="25" t="s">
        <v>3</v>
      </c>
      <c r="E75" s="39">
        <v>9.9145161290322581E-2</v>
      </c>
      <c r="F75" s="39">
        <v>0.12582608695652175</v>
      </c>
      <c r="G75" s="39">
        <v>0.13683333333333331</v>
      </c>
      <c r="H75" s="39">
        <v>0.12709756097560973</v>
      </c>
      <c r="I75" s="39">
        <v>8.6937499999999987E-2</v>
      </c>
      <c r="J75" s="39">
        <v>0.15411764705882353</v>
      </c>
      <c r="K75" s="39">
        <v>0.1208306709265176</v>
      </c>
    </row>
    <row r="76" spans="1:21" x14ac:dyDescent="0.3">
      <c r="D76" s="25" t="s">
        <v>2221</v>
      </c>
      <c r="E76" s="39">
        <v>0.11686567164179104</v>
      </c>
      <c r="F76" s="39">
        <v>0.1322755102040816</v>
      </c>
      <c r="G76" s="39">
        <v>0.13165930599369086</v>
      </c>
      <c r="H76" s="39">
        <v>0.10768862275449105</v>
      </c>
      <c r="I76" s="39">
        <v>0.12984946236559142</v>
      </c>
      <c r="J76" s="39">
        <v>0.10983008356545952</v>
      </c>
      <c r="K76" s="39">
        <v>0.12144715073529412</v>
      </c>
    </row>
    <row r="78" spans="1:21" x14ac:dyDescent="0.3">
      <c r="D78" s="21">
        <v>13</v>
      </c>
    </row>
    <row r="79" spans="1:21" x14ac:dyDescent="0.3">
      <c r="A79" s="1" t="s">
        <v>2274</v>
      </c>
      <c r="B79" t="s">
        <v>2253</v>
      </c>
      <c r="D79" s="23" t="s">
        <v>2290</v>
      </c>
      <c r="E79" s="23" t="s">
        <v>2254</v>
      </c>
    </row>
    <row r="80" spans="1:21" x14ac:dyDescent="0.3">
      <c r="A80" s="2" t="s">
        <v>33</v>
      </c>
      <c r="B80" s="5">
        <v>235</v>
      </c>
      <c r="D80" s="23" t="s">
        <v>2252</v>
      </c>
      <c r="E80" s="21" t="s">
        <v>15</v>
      </c>
      <c r="F80" s="21" t="s">
        <v>26</v>
      </c>
      <c r="G80" s="21" t="s">
        <v>30</v>
      </c>
      <c r="H80" s="21" t="s">
        <v>2</v>
      </c>
      <c r="I80" s="21" t="s">
        <v>18</v>
      </c>
      <c r="J80" s="21" t="s">
        <v>9</v>
      </c>
      <c r="K80" s="21" t="s">
        <v>2221</v>
      </c>
    </row>
    <row r="81" spans="1:17" x14ac:dyDescent="0.3">
      <c r="A81" s="2" t="s">
        <v>44</v>
      </c>
      <c r="B81" s="5">
        <v>193</v>
      </c>
      <c r="D81" s="25" t="s">
        <v>3</v>
      </c>
      <c r="E81" s="38">
        <v>15</v>
      </c>
      <c r="F81" s="38">
        <v>17</v>
      </c>
      <c r="G81" s="38">
        <v>7</v>
      </c>
      <c r="H81" s="38">
        <v>17</v>
      </c>
      <c r="I81" s="38">
        <v>19</v>
      </c>
      <c r="J81" s="38">
        <v>14</v>
      </c>
      <c r="K81" s="38">
        <v>89</v>
      </c>
      <c r="O81" s="16"/>
      <c r="P81" s="16"/>
      <c r="Q81" s="26"/>
    </row>
    <row r="82" spans="1:17" x14ac:dyDescent="0.3">
      <c r="A82" s="2" t="s">
        <v>50</v>
      </c>
      <c r="B82" s="5">
        <v>71</v>
      </c>
      <c r="D82" s="25" t="s">
        <v>10</v>
      </c>
      <c r="E82" s="38">
        <v>22</v>
      </c>
      <c r="F82" s="38">
        <v>11</v>
      </c>
      <c r="G82" s="38">
        <v>11</v>
      </c>
      <c r="H82" s="38">
        <v>12</v>
      </c>
      <c r="I82" s="38">
        <v>19</v>
      </c>
      <c r="J82" s="38">
        <v>9</v>
      </c>
      <c r="K82" s="38">
        <v>84</v>
      </c>
      <c r="O82" s="16"/>
      <c r="P82" s="16"/>
      <c r="Q82" s="26"/>
    </row>
    <row r="83" spans="1:17" x14ac:dyDescent="0.3">
      <c r="A83" s="2" t="s">
        <v>80</v>
      </c>
      <c r="B83" s="5">
        <v>44</v>
      </c>
      <c r="D83" s="25" t="s">
        <v>65</v>
      </c>
      <c r="E83" s="38">
        <v>12</v>
      </c>
      <c r="F83" s="38">
        <v>17</v>
      </c>
      <c r="G83" s="38">
        <v>13</v>
      </c>
      <c r="H83" s="38">
        <v>10</v>
      </c>
      <c r="I83" s="38">
        <v>13</v>
      </c>
      <c r="J83" s="38">
        <v>16</v>
      </c>
      <c r="K83" s="38">
        <v>81</v>
      </c>
      <c r="O83" s="16"/>
      <c r="P83" s="16"/>
      <c r="Q83" s="26"/>
    </row>
    <row r="84" spans="1:17" x14ac:dyDescent="0.3">
      <c r="A84" s="2" t="s">
        <v>19</v>
      </c>
      <c r="B84" s="5">
        <v>36</v>
      </c>
      <c r="D84" s="25" t="s">
        <v>31</v>
      </c>
      <c r="E84" s="38">
        <v>16</v>
      </c>
      <c r="F84" s="38">
        <v>12</v>
      </c>
      <c r="G84" s="38">
        <v>11</v>
      </c>
      <c r="H84" s="38">
        <v>15</v>
      </c>
      <c r="I84" s="38">
        <v>14</v>
      </c>
      <c r="J84" s="38">
        <v>10</v>
      </c>
      <c r="K84" s="38">
        <v>78</v>
      </c>
      <c r="O84" s="16"/>
      <c r="P84" s="16"/>
      <c r="Q84" s="26"/>
    </row>
    <row r="85" spans="1:17" x14ac:dyDescent="0.3">
      <c r="A85" s="2" t="s">
        <v>309</v>
      </c>
      <c r="B85" s="5">
        <v>28</v>
      </c>
      <c r="D85" s="25" t="s">
        <v>53</v>
      </c>
      <c r="E85" s="38">
        <v>12</v>
      </c>
      <c r="F85" s="38">
        <v>12</v>
      </c>
      <c r="G85" s="38">
        <v>6</v>
      </c>
      <c r="H85" s="38">
        <v>14</v>
      </c>
      <c r="I85" s="38">
        <v>15</v>
      </c>
      <c r="J85" s="38">
        <v>19</v>
      </c>
      <c r="K85" s="38">
        <v>78</v>
      </c>
      <c r="O85" s="16"/>
      <c r="P85" s="16"/>
      <c r="Q85" s="26"/>
    </row>
    <row r="86" spans="1:17" x14ac:dyDescent="0.3">
      <c r="A86" s="2" t="s">
        <v>24</v>
      </c>
      <c r="B86" s="5">
        <v>18</v>
      </c>
      <c r="D86" s="25" t="s">
        <v>21</v>
      </c>
      <c r="E86" s="38">
        <v>14</v>
      </c>
      <c r="F86" s="38">
        <v>14</v>
      </c>
      <c r="G86" s="38">
        <v>12</v>
      </c>
      <c r="H86" s="38">
        <v>11</v>
      </c>
      <c r="I86" s="38">
        <v>16</v>
      </c>
      <c r="J86" s="38">
        <v>10</v>
      </c>
      <c r="K86" s="38">
        <v>77</v>
      </c>
      <c r="O86" s="16"/>
      <c r="P86" s="16"/>
      <c r="Q86" s="26"/>
    </row>
    <row r="87" spans="1:17" x14ac:dyDescent="0.3">
      <c r="A87" s="2" t="s">
        <v>2221</v>
      </c>
      <c r="B87" s="5">
        <v>625</v>
      </c>
      <c r="D87" s="25" t="s">
        <v>37</v>
      </c>
      <c r="E87" s="38">
        <v>9</v>
      </c>
      <c r="F87" s="38">
        <v>19</v>
      </c>
      <c r="G87" s="38">
        <v>8</v>
      </c>
      <c r="H87" s="38">
        <v>9</v>
      </c>
      <c r="I87" s="38">
        <v>18</v>
      </c>
      <c r="J87" s="38">
        <v>11</v>
      </c>
      <c r="K87" s="38">
        <v>74</v>
      </c>
      <c r="O87" s="16"/>
      <c r="P87" s="16"/>
      <c r="Q87" s="26"/>
    </row>
    <row r="88" spans="1:17" x14ac:dyDescent="0.3">
      <c r="D88" s="25" t="s">
        <v>42</v>
      </c>
      <c r="E88" s="38">
        <v>12</v>
      </c>
      <c r="F88" s="38">
        <v>9</v>
      </c>
      <c r="G88" s="38">
        <v>7</v>
      </c>
      <c r="H88" s="38">
        <v>13</v>
      </c>
      <c r="I88" s="38">
        <v>10</v>
      </c>
      <c r="J88" s="38">
        <v>13</v>
      </c>
      <c r="K88" s="38">
        <v>64</v>
      </c>
      <c r="O88" s="16"/>
      <c r="P88" s="16"/>
      <c r="Q88" s="26"/>
    </row>
    <row r="89" spans="1:17" x14ac:dyDescent="0.3">
      <c r="D89" s="25" t="s">
        <v>2221</v>
      </c>
      <c r="E89" s="38">
        <v>112</v>
      </c>
      <c r="F89" s="38">
        <v>111</v>
      </c>
      <c r="G89" s="38">
        <v>75</v>
      </c>
      <c r="H89" s="38">
        <v>101</v>
      </c>
      <c r="I89" s="38">
        <v>124</v>
      </c>
      <c r="J89" s="38">
        <v>102</v>
      </c>
      <c r="K89" s="38">
        <v>625</v>
      </c>
    </row>
    <row r="92" spans="1:17" x14ac:dyDescent="0.3">
      <c r="A92" s="1" t="s">
        <v>2270</v>
      </c>
      <c r="B92" t="s">
        <v>2279</v>
      </c>
      <c r="D92" s="1" t="s">
        <v>2279</v>
      </c>
      <c r="E92" s="1" t="s">
        <v>2254</v>
      </c>
      <c r="F92"/>
      <c r="G92"/>
      <c r="H92"/>
      <c r="I92"/>
      <c r="J92"/>
      <c r="K92"/>
    </row>
    <row r="93" spans="1:17" x14ac:dyDescent="0.3">
      <c r="A93" s="2" t="s">
        <v>3</v>
      </c>
      <c r="B93" s="5">
        <v>313</v>
      </c>
      <c r="D93" s="1" t="s">
        <v>2252</v>
      </c>
      <c r="E93" t="s">
        <v>15</v>
      </c>
      <c r="F93" t="s">
        <v>26</v>
      </c>
      <c r="G93" t="s">
        <v>30</v>
      </c>
      <c r="H93" t="s">
        <v>2</v>
      </c>
      <c r="I93" t="s">
        <v>18</v>
      </c>
      <c r="J93" t="s">
        <v>9</v>
      </c>
      <c r="K93" t="s">
        <v>2221</v>
      </c>
    </row>
    <row r="94" spans="1:17" x14ac:dyDescent="0.3">
      <c r="A94" s="2" t="s">
        <v>21</v>
      </c>
      <c r="B94" s="5">
        <v>285</v>
      </c>
      <c r="D94" s="2" t="s">
        <v>42</v>
      </c>
      <c r="E94" s="5">
        <v>48</v>
      </c>
      <c r="F94" s="5">
        <v>40</v>
      </c>
      <c r="G94" s="5">
        <v>40</v>
      </c>
      <c r="H94" s="5">
        <v>47</v>
      </c>
      <c r="I94" s="5">
        <v>34</v>
      </c>
      <c r="J94" s="5">
        <v>48</v>
      </c>
      <c r="K94" s="5">
        <v>257</v>
      </c>
    </row>
    <row r="95" spans="1:17" x14ac:dyDescent="0.3">
      <c r="A95" s="2" t="s">
        <v>31</v>
      </c>
      <c r="B95" s="5">
        <v>284</v>
      </c>
      <c r="D95" s="2" t="s">
        <v>21</v>
      </c>
      <c r="E95" s="5">
        <v>41</v>
      </c>
      <c r="F95" s="5">
        <v>48</v>
      </c>
      <c r="G95" s="5">
        <v>44</v>
      </c>
      <c r="H95" s="5">
        <v>52</v>
      </c>
      <c r="I95" s="5">
        <v>57</v>
      </c>
      <c r="J95" s="5">
        <v>43</v>
      </c>
      <c r="K95" s="5">
        <v>285</v>
      </c>
    </row>
    <row r="96" spans="1:17" x14ac:dyDescent="0.3">
      <c r="A96" s="2" t="s">
        <v>37</v>
      </c>
      <c r="B96" s="5">
        <v>283</v>
      </c>
      <c r="D96" s="2" t="s">
        <v>65</v>
      </c>
      <c r="E96" s="5">
        <v>53</v>
      </c>
      <c r="F96" s="5">
        <v>56</v>
      </c>
      <c r="G96" s="5">
        <v>39</v>
      </c>
      <c r="H96" s="5">
        <v>37</v>
      </c>
      <c r="I96" s="5">
        <v>31</v>
      </c>
      <c r="J96" s="5">
        <v>34</v>
      </c>
      <c r="K96" s="5">
        <v>250</v>
      </c>
    </row>
    <row r="97" spans="1:27" x14ac:dyDescent="0.3">
      <c r="A97" s="2" t="s">
        <v>10</v>
      </c>
      <c r="B97" s="5">
        <v>260</v>
      </c>
      <c r="D97" s="2" t="s">
        <v>53</v>
      </c>
      <c r="E97" s="5">
        <v>53</v>
      </c>
      <c r="F97" s="5">
        <v>36</v>
      </c>
      <c r="G97" s="5">
        <v>28</v>
      </c>
      <c r="H97" s="5">
        <v>35</v>
      </c>
      <c r="I97" s="5">
        <v>42</v>
      </c>
      <c r="J97" s="5">
        <v>50</v>
      </c>
      <c r="K97" s="5">
        <v>244</v>
      </c>
    </row>
    <row r="98" spans="1:27" x14ac:dyDescent="0.3">
      <c r="A98" s="2" t="s">
        <v>42</v>
      </c>
      <c r="B98" s="5">
        <v>257</v>
      </c>
      <c r="D98" s="2" t="s">
        <v>37</v>
      </c>
      <c r="E98" s="5">
        <v>41</v>
      </c>
      <c r="F98" s="5">
        <v>55</v>
      </c>
      <c r="G98" s="5">
        <v>44</v>
      </c>
      <c r="H98" s="5">
        <v>41</v>
      </c>
      <c r="I98" s="5">
        <v>56</v>
      </c>
      <c r="J98" s="5">
        <v>46</v>
      </c>
      <c r="K98" s="5">
        <v>283</v>
      </c>
    </row>
    <row r="99" spans="1:27" x14ac:dyDescent="0.3">
      <c r="A99" s="2" t="s">
        <v>65</v>
      </c>
      <c r="B99" s="5">
        <v>250</v>
      </c>
      <c r="D99" s="2" t="s">
        <v>31</v>
      </c>
      <c r="E99" s="5">
        <v>46</v>
      </c>
      <c r="F99" s="5">
        <v>55</v>
      </c>
      <c r="G99" s="5">
        <v>50</v>
      </c>
      <c r="H99" s="5">
        <v>35</v>
      </c>
      <c r="I99" s="5">
        <v>54</v>
      </c>
      <c r="J99" s="5">
        <v>44</v>
      </c>
      <c r="K99" s="5">
        <v>284</v>
      </c>
    </row>
    <row r="100" spans="1:27" x14ac:dyDescent="0.3">
      <c r="A100" s="2" t="s">
        <v>53</v>
      </c>
      <c r="B100" s="5">
        <v>244</v>
      </c>
      <c r="D100" s="2" t="s">
        <v>10</v>
      </c>
      <c r="E100" s="5">
        <v>58</v>
      </c>
      <c r="F100" s="5">
        <v>33</v>
      </c>
      <c r="G100" s="5">
        <v>30</v>
      </c>
      <c r="H100" s="5">
        <v>46</v>
      </c>
      <c r="I100" s="5">
        <v>50</v>
      </c>
      <c r="J100" s="5">
        <v>43</v>
      </c>
      <c r="K100" s="5">
        <v>260</v>
      </c>
    </row>
    <row r="101" spans="1:27" x14ac:dyDescent="0.3">
      <c r="A101" s="2" t="s">
        <v>2221</v>
      </c>
      <c r="B101" s="5">
        <v>2176</v>
      </c>
      <c r="D101" s="2" t="s">
        <v>3</v>
      </c>
      <c r="E101" s="5">
        <v>62</v>
      </c>
      <c r="F101" s="5">
        <v>69</v>
      </c>
      <c r="G101" s="5">
        <v>42</v>
      </c>
      <c r="H101" s="5">
        <v>41</v>
      </c>
      <c r="I101" s="5">
        <v>48</v>
      </c>
      <c r="J101" s="5">
        <v>51</v>
      </c>
      <c r="K101" s="5">
        <v>313</v>
      </c>
    </row>
    <row r="102" spans="1:27" x14ac:dyDescent="0.3">
      <c r="D102" s="2" t="s">
        <v>2221</v>
      </c>
      <c r="E102" s="5">
        <v>402</v>
      </c>
      <c r="F102" s="5">
        <v>392</v>
      </c>
      <c r="G102" s="5">
        <v>317</v>
      </c>
      <c r="H102" s="5">
        <v>334</v>
      </c>
      <c r="I102" s="5">
        <v>372</v>
      </c>
      <c r="J102" s="5">
        <v>359</v>
      </c>
      <c r="K102" s="5">
        <v>2176</v>
      </c>
      <c r="AA102" s="40"/>
    </row>
    <row r="103" spans="1:27" x14ac:dyDescent="0.3">
      <c r="AA103" s="39"/>
    </row>
    <row r="106" spans="1:27" x14ac:dyDescent="0.3">
      <c r="A106" s="1" t="s">
        <v>2278</v>
      </c>
      <c r="B106" t="s">
        <v>2279</v>
      </c>
      <c r="C106" t="s">
        <v>2280</v>
      </c>
      <c r="E106" s="1" t="s">
        <v>2278</v>
      </c>
      <c r="F106" s="5" t="s">
        <v>2276</v>
      </c>
      <c r="G106"/>
      <c r="H106" s="1" t="s">
        <v>2278</v>
      </c>
      <c r="I106" t="s">
        <v>2276</v>
      </c>
      <c r="J106" t="s">
        <v>2222</v>
      </c>
      <c r="K106"/>
    </row>
    <row r="107" spans="1:27" x14ac:dyDescent="0.3">
      <c r="A107" s="2" t="s">
        <v>15</v>
      </c>
      <c r="B107" s="5">
        <v>402</v>
      </c>
      <c r="C107" s="5">
        <v>112</v>
      </c>
      <c r="E107" s="2" t="s">
        <v>4</v>
      </c>
      <c r="F107" s="6">
        <v>0.11839439252336448</v>
      </c>
      <c r="G107"/>
      <c r="H107" s="2" t="s">
        <v>2249</v>
      </c>
      <c r="I107" s="6">
        <v>0.17459999999999995</v>
      </c>
      <c r="J107" s="5">
        <v>55</v>
      </c>
      <c r="K107"/>
    </row>
    <row r="108" spans="1:27" x14ac:dyDescent="0.3">
      <c r="A108" s="2" t="s">
        <v>26</v>
      </c>
      <c r="B108" s="5">
        <v>392</v>
      </c>
      <c r="C108" s="5">
        <v>111</v>
      </c>
      <c r="E108" s="2" t="s">
        <v>54</v>
      </c>
      <c r="F108" s="6">
        <v>0.12492347826086957</v>
      </c>
      <c r="G108"/>
      <c r="H108" s="2" t="s">
        <v>2300</v>
      </c>
      <c r="I108" s="6">
        <v>0.15411764705882353</v>
      </c>
      <c r="J108" s="5">
        <v>51</v>
      </c>
      <c r="K108"/>
    </row>
    <row r="109" spans="1:27" x14ac:dyDescent="0.3">
      <c r="A109" s="2" t="s">
        <v>18</v>
      </c>
      <c r="B109" s="5">
        <v>372</v>
      </c>
      <c r="C109" s="5">
        <v>124</v>
      </c>
      <c r="E109" s="2" t="s">
        <v>23</v>
      </c>
      <c r="F109" s="6">
        <v>0.12096139705882347</v>
      </c>
      <c r="G109"/>
      <c r="H109" s="2" t="s">
        <v>2295</v>
      </c>
      <c r="I109" s="6">
        <v>0.14976744186046514</v>
      </c>
      <c r="J109" s="5">
        <v>43</v>
      </c>
      <c r="K109"/>
    </row>
    <row r="110" spans="1:27" x14ac:dyDescent="0.3">
      <c r="A110" s="2" t="s">
        <v>9</v>
      </c>
      <c r="B110" s="5">
        <v>359</v>
      </c>
      <c r="C110" s="5">
        <v>102</v>
      </c>
      <c r="E110" s="2" t="s">
        <v>11</v>
      </c>
      <c r="F110" s="6">
        <v>0.1212528735632184</v>
      </c>
      <c r="G110"/>
      <c r="H110" s="2" t="s">
        <v>2299</v>
      </c>
      <c r="I110" s="6">
        <v>0.18321428571428572</v>
      </c>
      <c r="J110" s="5">
        <v>42</v>
      </c>
      <c r="K110"/>
    </row>
    <row r="111" spans="1:27" x14ac:dyDescent="0.3">
      <c r="A111" s="2" t="s">
        <v>2</v>
      </c>
      <c r="B111" s="5">
        <v>334</v>
      </c>
      <c r="C111" s="5">
        <v>101</v>
      </c>
      <c r="E111" s="2" t="s">
        <v>2221</v>
      </c>
      <c r="F111" s="6">
        <v>0.12144715073529415</v>
      </c>
      <c r="G111"/>
      <c r="H111" s="2" t="s">
        <v>2294</v>
      </c>
      <c r="I111" s="6">
        <v>0.14702439024390246</v>
      </c>
      <c r="J111" s="5">
        <v>41</v>
      </c>
      <c r="K111"/>
    </row>
    <row r="112" spans="1:27" x14ac:dyDescent="0.3">
      <c r="A112" s="2" t="s">
        <v>30</v>
      </c>
      <c r="B112" s="5">
        <v>317</v>
      </c>
      <c r="C112" s="5">
        <v>75</v>
      </c>
      <c r="E112"/>
      <c r="F112"/>
      <c r="G112"/>
      <c r="H112" s="2" t="s">
        <v>2292</v>
      </c>
      <c r="I112" s="6">
        <v>0.15850000000000003</v>
      </c>
      <c r="J112" s="5">
        <v>40</v>
      </c>
      <c r="K112"/>
    </row>
    <row r="113" spans="1:11" x14ac:dyDescent="0.3">
      <c r="A113" s="2" t="s">
        <v>2221</v>
      </c>
      <c r="B113" s="5">
        <v>2176</v>
      </c>
      <c r="C113" s="5">
        <v>625</v>
      </c>
      <c r="E113"/>
      <c r="F113"/>
      <c r="G113"/>
      <c r="H113" s="2" t="s">
        <v>2296</v>
      </c>
      <c r="I113" s="6">
        <v>0.17897435897435893</v>
      </c>
      <c r="J113" s="5">
        <v>39</v>
      </c>
      <c r="K113"/>
    </row>
    <row r="114" spans="1:11" x14ac:dyDescent="0.3">
      <c r="E114"/>
      <c r="F114"/>
      <c r="G114"/>
      <c r="H114" s="2" t="s">
        <v>2293</v>
      </c>
      <c r="I114" s="6">
        <v>0.16358823529411765</v>
      </c>
      <c r="J114" s="5">
        <v>34</v>
      </c>
      <c r="K114"/>
    </row>
    <row r="115" spans="1:11" x14ac:dyDescent="0.3">
      <c r="E115"/>
      <c r="F115"/>
      <c r="G115"/>
      <c r="H115" s="2" t="s">
        <v>2297</v>
      </c>
      <c r="I115" s="6">
        <v>0.20974193548387102</v>
      </c>
      <c r="J115" s="5">
        <v>31</v>
      </c>
      <c r="K115"/>
    </row>
    <row r="116" spans="1:11" x14ac:dyDescent="0.3">
      <c r="E116"/>
      <c r="F116"/>
      <c r="G116"/>
      <c r="H116" s="2" t="s">
        <v>2298</v>
      </c>
      <c r="I116" s="6">
        <v>0.16207142857142859</v>
      </c>
      <c r="J116" s="5">
        <v>28</v>
      </c>
      <c r="K116"/>
    </row>
    <row r="117" spans="1:11" x14ac:dyDescent="0.3">
      <c r="E117"/>
      <c r="F117"/>
      <c r="G117"/>
      <c r="H117" s="2" t="s">
        <v>2221</v>
      </c>
      <c r="I117" s="6">
        <v>0.16719801980198021</v>
      </c>
      <c r="J117" s="5">
        <v>404</v>
      </c>
      <c r="K117"/>
    </row>
    <row r="118" spans="1:11" x14ac:dyDescent="0.3">
      <c r="E118"/>
      <c r="F118"/>
      <c r="G118"/>
      <c r="H118"/>
      <c r="I118"/>
      <c r="J118"/>
      <c r="K118"/>
    </row>
    <row r="119" spans="1:11" x14ac:dyDescent="0.3">
      <c r="E119"/>
      <c r="F119"/>
      <c r="G119"/>
      <c r="H119"/>
      <c r="I119"/>
      <c r="J119"/>
      <c r="K119"/>
    </row>
    <row r="120" spans="1:11" x14ac:dyDescent="0.3">
      <c r="E120"/>
      <c r="F120"/>
      <c r="G120"/>
      <c r="H120"/>
      <c r="I120"/>
      <c r="J120"/>
      <c r="K120"/>
    </row>
    <row r="121" spans="1:11" x14ac:dyDescent="0.3">
      <c r="E121"/>
      <c r="F121"/>
      <c r="G121"/>
      <c r="H121"/>
      <c r="I121"/>
      <c r="J121"/>
      <c r="K121"/>
    </row>
    <row r="122" spans="1:11" x14ac:dyDescent="0.3">
      <c r="E122"/>
      <c r="F122"/>
      <c r="G122"/>
      <c r="H122"/>
      <c r="I122"/>
      <c r="J122"/>
      <c r="K122"/>
    </row>
    <row r="123" spans="1:11" x14ac:dyDescent="0.3">
      <c r="E123"/>
      <c r="F123"/>
      <c r="G123"/>
      <c r="H123"/>
      <c r="I123"/>
      <c r="J123"/>
      <c r="K123"/>
    </row>
    <row r="124" spans="1:11" x14ac:dyDescent="0.3">
      <c r="E124"/>
      <c r="F124"/>
      <c r="G124"/>
      <c r="H124"/>
      <c r="I124"/>
      <c r="J124"/>
      <c r="K124"/>
    </row>
    <row r="125" spans="1:11" x14ac:dyDescent="0.3">
      <c r="E125"/>
      <c r="F125"/>
      <c r="G125"/>
      <c r="H125"/>
      <c r="I125"/>
      <c r="J125"/>
      <c r="K125"/>
    </row>
    <row r="126" spans="1:11" x14ac:dyDescent="0.3">
      <c r="E126"/>
      <c r="F126"/>
      <c r="G126"/>
      <c r="H126"/>
      <c r="I126"/>
      <c r="J126"/>
      <c r="K126"/>
    </row>
    <row r="127" spans="1:11" x14ac:dyDescent="0.3">
      <c r="E127"/>
      <c r="F127"/>
      <c r="G127"/>
      <c r="H127"/>
      <c r="I127"/>
      <c r="J127"/>
      <c r="K127"/>
    </row>
    <row r="128" spans="1:11" x14ac:dyDescent="0.3">
      <c r="E128"/>
      <c r="F128"/>
      <c r="G128"/>
      <c r="H128"/>
      <c r="I128"/>
      <c r="J128"/>
      <c r="K128"/>
    </row>
    <row r="129" spans="5:11" x14ac:dyDescent="0.3">
      <c r="E129"/>
      <c r="F129"/>
      <c r="G129"/>
      <c r="H129"/>
      <c r="I129"/>
      <c r="J129"/>
      <c r="K129"/>
    </row>
    <row r="130" spans="5:11" x14ac:dyDescent="0.3">
      <c r="E130"/>
      <c r="F130"/>
      <c r="G130"/>
      <c r="H130"/>
      <c r="I130"/>
      <c r="J130"/>
      <c r="K130"/>
    </row>
    <row r="131" spans="5:11" x14ac:dyDescent="0.3">
      <c r="E131"/>
      <c r="F131"/>
      <c r="G131"/>
      <c r="H131"/>
      <c r="I131"/>
      <c r="J131"/>
      <c r="K131"/>
    </row>
    <row r="132" spans="5:11" x14ac:dyDescent="0.3">
      <c r="E132"/>
      <c r="F132"/>
      <c r="G132"/>
      <c r="H132"/>
      <c r="I132"/>
      <c r="J132"/>
      <c r="K132"/>
    </row>
    <row r="133" spans="5:11" x14ac:dyDescent="0.3">
      <c r="E133"/>
      <c r="F133"/>
      <c r="G133"/>
      <c r="H133"/>
      <c r="I133"/>
      <c r="J133"/>
      <c r="K133"/>
    </row>
    <row r="134" spans="5:11" x14ac:dyDescent="0.3">
      <c r="E134"/>
      <c r="F134"/>
      <c r="G134"/>
      <c r="H134"/>
      <c r="I134"/>
      <c r="J134"/>
      <c r="K134"/>
    </row>
    <row r="135" spans="5:11" x14ac:dyDescent="0.3">
      <c r="E135"/>
      <c r="F135"/>
      <c r="G135"/>
      <c r="H135"/>
      <c r="I135"/>
      <c r="J135"/>
      <c r="K135"/>
    </row>
    <row r="136" spans="5:11" x14ac:dyDescent="0.3">
      <c r="E136"/>
      <c r="F136"/>
      <c r="G136"/>
      <c r="H136"/>
      <c r="I136"/>
      <c r="J136"/>
      <c r="K136"/>
    </row>
    <row r="137" spans="5:11" x14ac:dyDescent="0.3">
      <c r="E137"/>
      <c r="F137"/>
      <c r="G137"/>
      <c r="H137"/>
      <c r="I137"/>
      <c r="J137"/>
      <c r="K137"/>
    </row>
    <row r="138" spans="5:11" x14ac:dyDescent="0.3">
      <c r="H138"/>
      <c r="I138"/>
      <c r="J138"/>
      <c r="K138"/>
    </row>
    <row r="139" spans="5:11" x14ac:dyDescent="0.3">
      <c r="H139"/>
      <c r="I139"/>
      <c r="J139"/>
      <c r="K139"/>
    </row>
    <row r="140" spans="5:11" x14ac:dyDescent="0.3">
      <c r="H140"/>
      <c r="I140"/>
      <c r="J140"/>
      <c r="K140"/>
    </row>
    <row r="141" spans="5:11" x14ac:dyDescent="0.3">
      <c r="H141"/>
      <c r="I141"/>
      <c r="J141"/>
      <c r="K141"/>
    </row>
    <row r="142" spans="5:11" x14ac:dyDescent="0.3">
      <c r="H142"/>
      <c r="I142"/>
      <c r="J142"/>
      <c r="K142"/>
    </row>
    <row r="143" spans="5:11" x14ac:dyDescent="0.3">
      <c r="H143"/>
      <c r="I143"/>
      <c r="J143"/>
      <c r="K143"/>
    </row>
    <row r="144" spans="5:11" x14ac:dyDescent="0.3">
      <c r="H144"/>
      <c r="I144"/>
      <c r="J144"/>
      <c r="K144"/>
    </row>
    <row r="145" spans="8:11" x14ac:dyDescent="0.3">
      <c r="H145"/>
      <c r="I145"/>
      <c r="J145"/>
      <c r="K145"/>
    </row>
    <row r="146" spans="8:11" x14ac:dyDescent="0.3">
      <c r="H146"/>
      <c r="I146"/>
      <c r="J146"/>
      <c r="K146"/>
    </row>
    <row r="147" spans="8:11" x14ac:dyDescent="0.3">
      <c r="H147"/>
      <c r="I147"/>
      <c r="J147"/>
      <c r="K147"/>
    </row>
    <row r="148" spans="8:11" x14ac:dyDescent="0.3">
      <c r="H148"/>
      <c r="I148"/>
      <c r="J148"/>
      <c r="K148"/>
    </row>
    <row r="149" spans="8:11" x14ac:dyDescent="0.3">
      <c r="H149"/>
      <c r="I149"/>
      <c r="J149"/>
      <c r="K149"/>
    </row>
    <row r="150" spans="8:11" x14ac:dyDescent="0.3">
      <c r="H150"/>
      <c r="I150"/>
      <c r="J150"/>
      <c r="K150"/>
    </row>
    <row r="151" spans="8:11" x14ac:dyDescent="0.3">
      <c r="H151"/>
      <c r="I151"/>
      <c r="J151"/>
      <c r="K151"/>
    </row>
    <row r="152" spans="8:11" x14ac:dyDescent="0.3">
      <c r="H152"/>
      <c r="I152"/>
      <c r="J152"/>
      <c r="K152"/>
    </row>
    <row r="153" spans="8:11" x14ac:dyDescent="0.3">
      <c r="H153"/>
      <c r="I153"/>
      <c r="J153"/>
      <c r="K153"/>
    </row>
    <row r="154" spans="8:11" x14ac:dyDescent="0.3">
      <c r="H154"/>
      <c r="I154"/>
      <c r="J154"/>
      <c r="K154"/>
    </row>
    <row r="155" spans="8:11" x14ac:dyDescent="0.3">
      <c r="H155"/>
      <c r="I155"/>
      <c r="J155"/>
      <c r="K155"/>
    </row>
  </sheetData>
  <mergeCells count="2">
    <mergeCell ref="A1:L3"/>
    <mergeCell ref="N1:S3"/>
  </mergeCells>
  <conditionalFormatting pivot="1" sqref="E68:E75">
    <cfRule type="cellIs" dxfId="337" priority="13" operator="greaterThan">
      <formula>$E$76</formula>
    </cfRule>
  </conditionalFormatting>
  <conditionalFormatting pivot="1" sqref="E81:E88">
    <cfRule type="top10" dxfId="336" priority="11" rank="4"/>
  </conditionalFormatting>
  <conditionalFormatting pivot="1" sqref="F68:F75">
    <cfRule type="cellIs" dxfId="335" priority="10" operator="greaterThan">
      <formula>$F$76</formula>
    </cfRule>
  </conditionalFormatting>
  <conditionalFormatting pivot="1" sqref="G68:G75">
    <cfRule type="cellIs" dxfId="334" priority="9" operator="greaterThan">
      <formula>$G$76</formula>
    </cfRule>
  </conditionalFormatting>
  <conditionalFormatting pivot="1" sqref="H68:H75">
    <cfRule type="cellIs" dxfId="333" priority="8" operator="greaterThan">
      <formula>$H$76</formula>
    </cfRule>
  </conditionalFormatting>
  <conditionalFormatting pivot="1" sqref="I68:I75">
    <cfRule type="cellIs" dxfId="332" priority="7" operator="greaterThan">
      <formula>$I$76</formula>
    </cfRule>
  </conditionalFormatting>
  <conditionalFormatting pivot="1" sqref="J68:J75">
    <cfRule type="cellIs" dxfId="331" priority="6" operator="greaterThan">
      <formula>$J$76</formula>
    </cfRule>
  </conditionalFormatting>
  <conditionalFormatting pivot="1" sqref="F81:F88">
    <cfRule type="top10" dxfId="330" priority="5" rank="4"/>
  </conditionalFormatting>
  <conditionalFormatting pivot="1" sqref="G81:G88">
    <cfRule type="top10" dxfId="329" priority="4" rank="4"/>
  </conditionalFormatting>
  <conditionalFormatting pivot="1" sqref="H81:H88">
    <cfRule type="top10" dxfId="328" priority="3" rank="4"/>
  </conditionalFormatting>
  <conditionalFormatting pivot="1" sqref="I81:I88">
    <cfRule type="top10" dxfId="327" priority="2" rank="4"/>
  </conditionalFormatting>
  <conditionalFormatting pivot="1" sqref="J81:J88">
    <cfRule type="top10" dxfId="326" priority="1" rank="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A8488-682B-4263-A59D-566EA904DD79}">
  <dimension ref="A1:U1048576"/>
  <sheetViews>
    <sheetView topLeftCell="J1" zoomScale="102" zoomScaleNormal="90" workbookViewId="0">
      <pane ySplit="1" topLeftCell="A2" activePane="bottomLeft" state="frozen"/>
      <selection activeCell="O2171" sqref="O2171"/>
      <selection pane="bottomLeft" activeCell="U5" sqref="U5"/>
    </sheetView>
  </sheetViews>
  <sheetFormatPr defaultRowHeight="14.4" x14ac:dyDescent="0.3"/>
  <cols>
    <col min="1" max="1" width="10.77734375" style="42" customWidth="1"/>
    <col min="2" max="2" width="14.109375" style="42" customWidth="1"/>
    <col min="3" max="3" width="13.44140625" customWidth="1"/>
    <col min="4" max="4" width="16.21875" bestFit="1" customWidth="1"/>
    <col min="5" max="5" width="13.44140625" customWidth="1"/>
    <col min="6" max="6" width="12.44140625" customWidth="1"/>
    <col min="7" max="7" width="10.21875" customWidth="1"/>
    <col min="8" max="8" width="11.5546875" customWidth="1"/>
    <col min="9" max="9" width="15.44140625" style="46" bestFit="1" customWidth="1"/>
    <col min="10" max="10" width="12" style="5" bestFit="1" customWidth="1"/>
    <col min="11" max="11" width="14.21875" style="46" customWidth="1"/>
    <col min="12" max="12" width="15.21875" customWidth="1"/>
    <col min="13" max="13" width="16.6640625" hidden="1" customWidth="1"/>
    <col min="14" max="14" width="13.6640625" bestFit="1" customWidth="1"/>
    <col min="15" max="15" width="20.77734375" style="42" bestFit="1" customWidth="1"/>
    <col min="16" max="17" width="20.77734375" style="46" customWidth="1"/>
    <col min="18" max="18" width="20.5546875" style="46" customWidth="1"/>
    <col min="19" max="19" width="16.5546875" style="46" customWidth="1"/>
    <col min="20" max="20" width="15.109375" style="46" bestFit="1" customWidth="1"/>
    <col min="21" max="21" width="13.109375" style="42" customWidth="1"/>
  </cols>
  <sheetData>
    <row r="1" spans="1:21" x14ac:dyDescent="0.3">
      <c r="A1" s="8" t="s">
        <v>2255</v>
      </c>
      <c r="B1" s="8" t="s">
        <v>2256</v>
      </c>
      <c r="C1" s="12" t="s">
        <v>2220</v>
      </c>
      <c r="D1" s="12" t="s">
        <v>2252</v>
      </c>
      <c r="E1" s="12" t="s">
        <v>2254</v>
      </c>
      <c r="F1" s="12" t="s">
        <v>2257</v>
      </c>
      <c r="G1" s="12" t="s">
        <v>2258</v>
      </c>
      <c r="H1" s="12" t="s">
        <v>2259</v>
      </c>
      <c r="I1" s="9" t="s">
        <v>2260</v>
      </c>
      <c r="J1" s="13" t="s">
        <v>2261</v>
      </c>
      <c r="K1" s="9" t="s">
        <v>2262</v>
      </c>
      <c r="L1" s="12" t="s">
        <v>2263</v>
      </c>
      <c r="M1" s="12" t="s">
        <v>0</v>
      </c>
      <c r="N1" s="12" t="s">
        <v>2264</v>
      </c>
      <c r="O1" s="8" t="s">
        <v>2265</v>
      </c>
      <c r="P1" s="9" t="s">
        <v>2269</v>
      </c>
      <c r="Q1" s="9" t="s">
        <v>2268</v>
      </c>
      <c r="R1" s="9" t="s">
        <v>2266</v>
      </c>
      <c r="S1" s="9" t="s">
        <v>2267</v>
      </c>
      <c r="T1" s="9" t="s">
        <v>2245</v>
      </c>
      <c r="U1" s="8" t="s">
        <v>2246</v>
      </c>
    </row>
    <row r="2" spans="1:21" x14ac:dyDescent="0.3">
      <c r="A2" s="41" t="str">
        <f t="shared" ref="A2:A65" si="0">UPPER("P"&amp;LEFT(D2,3)&amp;LEFT(E2,2))</f>
        <v>PZAROU</v>
      </c>
      <c r="B2" s="43">
        <v>45383</v>
      </c>
      <c r="C2" s="10" t="s">
        <v>1</v>
      </c>
      <c r="D2" s="10" t="s">
        <v>3</v>
      </c>
      <c r="E2" s="10" t="s">
        <v>2</v>
      </c>
      <c r="F2" s="10" t="s">
        <v>4</v>
      </c>
      <c r="G2" s="10" t="s">
        <v>5</v>
      </c>
      <c r="H2" s="10" t="s">
        <v>6</v>
      </c>
      <c r="I2" s="45">
        <v>3616</v>
      </c>
      <c r="J2" s="11">
        <v>0</v>
      </c>
      <c r="K2" s="45">
        <f>I2*(1-J2)</f>
        <v>3616</v>
      </c>
      <c r="L2" s="10">
        <v>37</v>
      </c>
      <c r="M2" s="10">
        <v>3</v>
      </c>
      <c r="N2" s="10" t="b">
        <v>0</v>
      </c>
      <c r="O2" s="41"/>
      <c r="P2" s="45">
        <f>K2*0.42</f>
        <v>1518.72</v>
      </c>
      <c r="Q2" s="45">
        <f>K2-P2</f>
        <v>2097.2799999999997</v>
      </c>
      <c r="R2" s="45">
        <v>0</v>
      </c>
      <c r="S2" s="45">
        <f>IF(N2=TRUE,K2*0.1,0)</f>
        <v>0</v>
      </c>
      <c r="T2" s="45">
        <f>IF(N2=TRUE,K2,0)</f>
        <v>0</v>
      </c>
      <c r="U2" s="47">
        <f>Q2-R2-S2-T2</f>
        <v>2097.2799999999997</v>
      </c>
    </row>
    <row r="3" spans="1:21" x14ac:dyDescent="0.3">
      <c r="A3" s="41" t="str">
        <f t="shared" si="0"/>
        <v>PUNITO</v>
      </c>
      <c r="B3" s="43">
        <v>45383</v>
      </c>
      <c r="C3" s="10" t="s">
        <v>8</v>
      </c>
      <c r="D3" s="10" t="s">
        <v>10</v>
      </c>
      <c r="E3" s="10" t="s">
        <v>9</v>
      </c>
      <c r="F3" s="10" t="s">
        <v>11</v>
      </c>
      <c r="G3" s="10" t="s">
        <v>12</v>
      </c>
      <c r="H3" s="10" t="s">
        <v>13</v>
      </c>
      <c r="I3" s="45">
        <v>1409</v>
      </c>
      <c r="J3" s="11">
        <v>0</v>
      </c>
      <c r="K3" s="45">
        <f t="shared" ref="K3:K66" si="1">I3*(1-J3)</f>
        <v>1409</v>
      </c>
      <c r="L3" s="10">
        <v>2</v>
      </c>
      <c r="M3" s="10">
        <v>2.5</v>
      </c>
      <c r="N3" s="10" t="b">
        <v>0</v>
      </c>
      <c r="O3" s="41"/>
      <c r="P3" s="45">
        <f t="shared" ref="P3:P66" si="2">K3*0.42</f>
        <v>591.78</v>
      </c>
      <c r="Q3" s="45">
        <f t="shared" ref="Q3:Q66" si="3">K3-P3</f>
        <v>817.22</v>
      </c>
      <c r="R3" s="45">
        <v>0</v>
      </c>
      <c r="S3" s="45">
        <f t="shared" ref="S3:S66" si="4">IF(N3=TRUE,K3*0.1,0)</f>
        <v>0</v>
      </c>
      <c r="T3" s="45">
        <f t="shared" ref="T3:T66" si="5">IF(N3=TRUE,K3,0)</f>
        <v>0</v>
      </c>
      <c r="U3" s="47">
        <f t="shared" ref="U3:U66" si="6">Q3-R3-S3-T3</f>
        <v>817.22</v>
      </c>
    </row>
    <row r="4" spans="1:21" x14ac:dyDescent="0.3">
      <c r="A4" s="41" t="str">
        <f t="shared" si="0"/>
        <v>PUNIAC</v>
      </c>
      <c r="B4" s="43">
        <v>45384</v>
      </c>
      <c r="C4" s="10" t="s">
        <v>14</v>
      </c>
      <c r="D4" s="10" t="s">
        <v>10</v>
      </c>
      <c r="E4" s="10" t="s">
        <v>15</v>
      </c>
      <c r="F4" s="10" t="s">
        <v>11</v>
      </c>
      <c r="G4" s="10" t="s">
        <v>7</v>
      </c>
      <c r="H4" s="10" t="s">
        <v>16</v>
      </c>
      <c r="I4" s="45">
        <v>266</v>
      </c>
      <c r="J4" s="11">
        <v>0</v>
      </c>
      <c r="K4" s="45">
        <f t="shared" si="1"/>
        <v>266</v>
      </c>
      <c r="L4" s="10">
        <v>22</v>
      </c>
      <c r="M4" s="10">
        <v>3</v>
      </c>
      <c r="N4" s="10" t="b">
        <v>0</v>
      </c>
      <c r="O4" s="41"/>
      <c r="P4" s="45">
        <f t="shared" si="2"/>
        <v>111.72</v>
      </c>
      <c r="Q4" s="45">
        <f t="shared" si="3"/>
        <v>154.28</v>
      </c>
      <c r="R4" s="45">
        <v>0</v>
      </c>
      <c r="S4" s="45">
        <f t="shared" si="4"/>
        <v>0</v>
      </c>
      <c r="T4" s="45">
        <f t="shared" si="5"/>
        <v>0</v>
      </c>
      <c r="U4" s="47">
        <f t="shared" si="6"/>
        <v>154.28</v>
      </c>
    </row>
    <row r="5" spans="1:21" x14ac:dyDescent="0.3">
      <c r="A5" s="41" t="str">
        <f t="shared" si="0"/>
        <v>PUNISH</v>
      </c>
      <c r="B5" s="43">
        <v>45385</v>
      </c>
      <c r="C5" s="10" t="s">
        <v>17</v>
      </c>
      <c r="D5" s="10" t="s">
        <v>10</v>
      </c>
      <c r="E5" s="10" t="s">
        <v>18</v>
      </c>
      <c r="F5" s="10" t="s">
        <v>4</v>
      </c>
      <c r="G5" s="10" t="s">
        <v>5</v>
      </c>
      <c r="H5" s="10" t="s">
        <v>16</v>
      </c>
      <c r="I5" s="45">
        <v>4278</v>
      </c>
      <c r="J5" s="11">
        <v>0</v>
      </c>
      <c r="K5" s="45">
        <f t="shared" si="1"/>
        <v>4278</v>
      </c>
      <c r="L5" s="10">
        <v>48</v>
      </c>
      <c r="M5" s="10">
        <v>2.6</v>
      </c>
      <c r="N5" s="10" t="b">
        <v>1</v>
      </c>
      <c r="O5" s="41" t="s">
        <v>19</v>
      </c>
      <c r="P5" s="45">
        <f t="shared" si="2"/>
        <v>1796.76</v>
      </c>
      <c r="Q5" s="45">
        <f t="shared" si="3"/>
        <v>2481.2399999999998</v>
      </c>
      <c r="R5" s="45">
        <v>150</v>
      </c>
      <c r="S5" s="45">
        <f t="shared" si="4"/>
        <v>427.8</v>
      </c>
      <c r="T5" s="45">
        <f t="shared" si="5"/>
        <v>4278</v>
      </c>
      <c r="U5" s="47">
        <f t="shared" si="6"/>
        <v>-2374.5600000000004</v>
      </c>
    </row>
    <row r="6" spans="1:21" x14ac:dyDescent="0.3">
      <c r="A6" s="41" t="str">
        <f t="shared" si="0"/>
        <v>PBANTO</v>
      </c>
      <c r="B6" s="43">
        <v>45385</v>
      </c>
      <c r="C6" s="10" t="s">
        <v>20</v>
      </c>
      <c r="D6" s="10" t="s">
        <v>21</v>
      </c>
      <c r="E6" s="10" t="s">
        <v>9</v>
      </c>
      <c r="F6" s="10" t="s">
        <v>11</v>
      </c>
      <c r="G6" s="10" t="s">
        <v>5</v>
      </c>
      <c r="H6" s="10" t="s">
        <v>16</v>
      </c>
      <c r="I6" s="45">
        <v>1113</v>
      </c>
      <c r="J6" s="11">
        <v>0</v>
      </c>
      <c r="K6" s="45">
        <f t="shared" si="1"/>
        <v>1113</v>
      </c>
      <c r="L6" s="10">
        <v>10</v>
      </c>
      <c r="M6" s="10"/>
      <c r="N6" s="10" t="b">
        <v>0</v>
      </c>
      <c r="O6" s="41"/>
      <c r="P6" s="45">
        <f t="shared" si="2"/>
        <v>467.46</v>
      </c>
      <c r="Q6" s="45">
        <f t="shared" si="3"/>
        <v>645.54</v>
      </c>
      <c r="R6" s="45">
        <v>0</v>
      </c>
      <c r="S6" s="45">
        <f t="shared" si="4"/>
        <v>0</v>
      </c>
      <c r="T6" s="45">
        <f t="shared" si="5"/>
        <v>0</v>
      </c>
      <c r="U6" s="47">
        <f t="shared" si="6"/>
        <v>645.54</v>
      </c>
    </row>
    <row r="7" spans="1:21" x14ac:dyDescent="0.3">
      <c r="A7" s="41" t="str">
        <f t="shared" si="0"/>
        <v>PZARAC</v>
      </c>
      <c r="B7" s="43">
        <v>45385</v>
      </c>
      <c r="C7" s="10" t="s">
        <v>22</v>
      </c>
      <c r="D7" s="10" t="s">
        <v>3</v>
      </c>
      <c r="E7" s="10" t="s">
        <v>15</v>
      </c>
      <c r="F7" s="10" t="s">
        <v>23</v>
      </c>
      <c r="G7" s="10" t="s">
        <v>7</v>
      </c>
      <c r="H7" s="10" t="s">
        <v>7</v>
      </c>
      <c r="I7" s="45">
        <v>250</v>
      </c>
      <c r="J7" s="11">
        <v>0.35399999999999998</v>
      </c>
      <c r="K7" s="45">
        <f t="shared" si="1"/>
        <v>161.5</v>
      </c>
      <c r="L7" s="10">
        <v>38</v>
      </c>
      <c r="M7" s="10">
        <v>2.9</v>
      </c>
      <c r="N7" s="10" t="b">
        <v>1</v>
      </c>
      <c r="O7" s="41" t="s">
        <v>24</v>
      </c>
      <c r="P7" s="45">
        <f t="shared" si="2"/>
        <v>67.83</v>
      </c>
      <c r="Q7" s="45">
        <f t="shared" si="3"/>
        <v>93.67</v>
      </c>
      <c r="R7" s="45">
        <v>150</v>
      </c>
      <c r="S7" s="45">
        <f t="shared" si="4"/>
        <v>16.150000000000002</v>
      </c>
      <c r="T7" s="45">
        <f t="shared" si="5"/>
        <v>161.5</v>
      </c>
      <c r="U7" s="47">
        <f t="shared" si="6"/>
        <v>-233.98000000000002</v>
      </c>
    </row>
    <row r="8" spans="1:21" x14ac:dyDescent="0.3">
      <c r="A8" s="41" t="str">
        <f t="shared" si="0"/>
        <v>PZARBO</v>
      </c>
      <c r="B8" s="43">
        <v>45386</v>
      </c>
      <c r="C8" s="10" t="s">
        <v>25</v>
      </c>
      <c r="D8" s="10" t="s">
        <v>3</v>
      </c>
      <c r="E8" s="10" t="s">
        <v>26</v>
      </c>
      <c r="F8" s="10" t="s">
        <v>4</v>
      </c>
      <c r="G8" s="10" t="s">
        <v>27</v>
      </c>
      <c r="H8" s="10" t="s">
        <v>28</v>
      </c>
      <c r="I8" s="45">
        <v>2957</v>
      </c>
      <c r="J8" s="11">
        <v>0.54500000000000004</v>
      </c>
      <c r="K8" s="45">
        <f t="shared" si="1"/>
        <v>1345.4349999999999</v>
      </c>
      <c r="L8" s="10">
        <v>38</v>
      </c>
      <c r="M8" s="10">
        <v>2.6</v>
      </c>
      <c r="N8" s="10" t="b">
        <v>0</v>
      </c>
      <c r="O8" s="41"/>
      <c r="P8" s="45">
        <f t="shared" si="2"/>
        <v>565.08269999999993</v>
      </c>
      <c r="Q8" s="45">
        <f t="shared" si="3"/>
        <v>780.35230000000001</v>
      </c>
      <c r="R8" s="45">
        <v>0</v>
      </c>
      <c r="S8" s="45">
        <f t="shared" si="4"/>
        <v>0</v>
      </c>
      <c r="T8" s="45">
        <f t="shared" si="5"/>
        <v>0</v>
      </c>
      <c r="U8" s="47">
        <f t="shared" si="6"/>
        <v>780.35230000000001</v>
      </c>
    </row>
    <row r="9" spans="1:21" x14ac:dyDescent="0.3">
      <c r="A9" s="41" t="str">
        <f t="shared" si="0"/>
        <v>PMANDR</v>
      </c>
      <c r="B9" s="43">
        <v>45386</v>
      </c>
      <c r="C9" s="10" t="s">
        <v>29</v>
      </c>
      <c r="D9" s="10" t="s">
        <v>31</v>
      </c>
      <c r="E9" s="10" t="s">
        <v>30</v>
      </c>
      <c r="F9" s="10" t="s">
        <v>11</v>
      </c>
      <c r="G9" s="10" t="s">
        <v>5</v>
      </c>
      <c r="H9" s="10" t="s">
        <v>32</v>
      </c>
      <c r="I9" s="45">
        <v>2652</v>
      </c>
      <c r="J9" s="11">
        <v>0.221</v>
      </c>
      <c r="K9" s="45">
        <f t="shared" si="1"/>
        <v>2065.9079999999999</v>
      </c>
      <c r="L9" s="10">
        <v>47</v>
      </c>
      <c r="M9" s="10">
        <v>1.6</v>
      </c>
      <c r="N9" s="10" t="b">
        <v>1</v>
      </c>
      <c r="O9" s="41" t="s">
        <v>33</v>
      </c>
      <c r="P9" s="45">
        <f t="shared" si="2"/>
        <v>867.68135999999993</v>
      </c>
      <c r="Q9" s="45">
        <f t="shared" si="3"/>
        <v>1198.2266399999999</v>
      </c>
      <c r="R9" s="45">
        <v>150</v>
      </c>
      <c r="S9" s="45">
        <f t="shared" si="4"/>
        <v>206.5908</v>
      </c>
      <c r="T9" s="45">
        <f t="shared" si="5"/>
        <v>2065.9079999999999</v>
      </c>
      <c r="U9" s="47">
        <f t="shared" si="6"/>
        <v>-1224.27216</v>
      </c>
    </row>
    <row r="10" spans="1:21" x14ac:dyDescent="0.3">
      <c r="A10" s="41" t="str">
        <f t="shared" si="0"/>
        <v>PUNIOU</v>
      </c>
      <c r="B10" s="43">
        <v>45387</v>
      </c>
      <c r="C10" s="10" t="s">
        <v>34</v>
      </c>
      <c r="D10" s="10" t="s">
        <v>10</v>
      </c>
      <c r="E10" s="10" t="s">
        <v>2</v>
      </c>
      <c r="F10" s="10" t="s">
        <v>4</v>
      </c>
      <c r="G10" s="10" t="s">
        <v>5</v>
      </c>
      <c r="H10" s="10" t="s">
        <v>35</v>
      </c>
      <c r="I10" s="45">
        <v>3714</v>
      </c>
      <c r="J10" s="11">
        <v>0.128</v>
      </c>
      <c r="K10" s="45">
        <f t="shared" si="1"/>
        <v>3238.6080000000002</v>
      </c>
      <c r="L10" s="10">
        <v>14</v>
      </c>
      <c r="M10" s="10"/>
      <c r="N10" s="10" t="b">
        <v>0</v>
      </c>
      <c r="O10" s="41"/>
      <c r="P10" s="45">
        <f t="shared" si="2"/>
        <v>1360.2153599999999</v>
      </c>
      <c r="Q10" s="45">
        <f t="shared" si="3"/>
        <v>1878.3926400000003</v>
      </c>
      <c r="R10" s="45">
        <v>0</v>
      </c>
      <c r="S10" s="45">
        <f t="shared" si="4"/>
        <v>0</v>
      </c>
      <c r="T10" s="45">
        <f t="shared" si="5"/>
        <v>0</v>
      </c>
      <c r="U10" s="47">
        <f t="shared" si="6"/>
        <v>1878.3926400000003</v>
      </c>
    </row>
    <row r="11" spans="1:21" x14ac:dyDescent="0.3">
      <c r="A11" s="41" t="str">
        <f t="shared" si="0"/>
        <v>PH&amp;MOU</v>
      </c>
      <c r="B11" s="43">
        <v>45387</v>
      </c>
      <c r="C11" s="10" t="s">
        <v>36</v>
      </c>
      <c r="D11" s="10" t="s">
        <v>37</v>
      </c>
      <c r="E11" s="10" t="s">
        <v>2</v>
      </c>
      <c r="F11" s="10" t="s">
        <v>23</v>
      </c>
      <c r="G11" s="10" t="s">
        <v>38</v>
      </c>
      <c r="H11" s="10" t="s">
        <v>13</v>
      </c>
      <c r="I11" s="45">
        <v>4350</v>
      </c>
      <c r="J11" s="11">
        <v>0.109</v>
      </c>
      <c r="K11" s="45">
        <f t="shared" si="1"/>
        <v>3875.85</v>
      </c>
      <c r="L11" s="10">
        <v>37</v>
      </c>
      <c r="M11" s="10"/>
      <c r="N11" s="10" t="b">
        <v>0</v>
      </c>
      <c r="O11" s="41"/>
      <c r="P11" s="45">
        <f t="shared" si="2"/>
        <v>1627.857</v>
      </c>
      <c r="Q11" s="45">
        <f t="shared" si="3"/>
        <v>2247.9929999999999</v>
      </c>
      <c r="R11" s="45">
        <v>0</v>
      </c>
      <c r="S11" s="45">
        <f t="shared" si="4"/>
        <v>0</v>
      </c>
      <c r="T11" s="45">
        <f t="shared" si="5"/>
        <v>0</v>
      </c>
      <c r="U11" s="47">
        <f t="shared" si="6"/>
        <v>2247.9929999999999</v>
      </c>
    </row>
    <row r="12" spans="1:21" x14ac:dyDescent="0.3">
      <c r="A12" s="41" t="str">
        <f t="shared" si="0"/>
        <v>PMANTO</v>
      </c>
      <c r="B12" s="43">
        <v>45387</v>
      </c>
      <c r="C12" s="10" t="s">
        <v>39</v>
      </c>
      <c r="D12" s="10" t="s">
        <v>31</v>
      </c>
      <c r="E12" s="10" t="s">
        <v>9</v>
      </c>
      <c r="F12" s="10" t="s">
        <v>4</v>
      </c>
      <c r="G12" s="10" t="s">
        <v>12</v>
      </c>
      <c r="H12" s="10" t="s">
        <v>16</v>
      </c>
      <c r="I12" s="45">
        <v>1106</v>
      </c>
      <c r="J12" s="11">
        <v>0</v>
      </c>
      <c r="K12" s="45">
        <f t="shared" si="1"/>
        <v>1106</v>
      </c>
      <c r="L12" s="10">
        <v>3</v>
      </c>
      <c r="M12" s="10">
        <v>4.4000000000000004</v>
      </c>
      <c r="N12" s="10" t="b">
        <v>0</v>
      </c>
      <c r="O12" s="41"/>
      <c r="P12" s="45">
        <f t="shared" si="2"/>
        <v>464.52</v>
      </c>
      <c r="Q12" s="45">
        <f t="shared" si="3"/>
        <v>641.48</v>
      </c>
      <c r="R12" s="45">
        <v>0</v>
      </c>
      <c r="S12" s="45">
        <f t="shared" si="4"/>
        <v>0</v>
      </c>
      <c r="T12" s="45">
        <f t="shared" si="5"/>
        <v>0</v>
      </c>
      <c r="U12" s="47">
        <f t="shared" si="6"/>
        <v>641.48</v>
      </c>
    </row>
    <row r="13" spans="1:21" x14ac:dyDescent="0.3">
      <c r="A13" s="41" t="str">
        <f t="shared" si="0"/>
        <v>PUNISH</v>
      </c>
      <c r="B13" s="43">
        <v>45387</v>
      </c>
      <c r="C13" s="10" t="s">
        <v>40</v>
      </c>
      <c r="D13" s="10" t="s">
        <v>10</v>
      </c>
      <c r="E13" s="10" t="s">
        <v>18</v>
      </c>
      <c r="F13" s="10" t="s">
        <v>11</v>
      </c>
      <c r="G13" s="10" t="s">
        <v>27</v>
      </c>
      <c r="H13" s="10" t="s">
        <v>32</v>
      </c>
      <c r="I13" s="45">
        <v>4179</v>
      </c>
      <c r="J13" s="11">
        <v>0</v>
      </c>
      <c r="K13" s="45">
        <f t="shared" si="1"/>
        <v>4179</v>
      </c>
      <c r="L13" s="10">
        <v>2</v>
      </c>
      <c r="M13" s="10"/>
      <c r="N13" s="10" t="b">
        <v>1</v>
      </c>
      <c r="O13" s="41" t="s">
        <v>33</v>
      </c>
      <c r="P13" s="45">
        <f t="shared" si="2"/>
        <v>1755.1799999999998</v>
      </c>
      <c r="Q13" s="45">
        <f t="shared" si="3"/>
        <v>2423.8200000000002</v>
      </c>
      <c r="R13" s="45">
        <v>150</v>
      </c>
      <c r="S13" s="45">
        <f t="shared" si="4"/>
        <v>417.90000000000003</v>
      </c>
      <c r="T13" s="45">
        <f t="shared" si="5"/>
        <v>4179</v>
      </c>
      <c r="U13" s="47">
        <f t="shared" si="6"/>
        <v>-2323.08</v>
      </c>
    </row>
    <row r="14" spans="1:21" x14ac:dyDescent="0.3">
      <c r="A14" s="41" t="str">
        <f t="shared" si="0"/>
        <v>PANNBO</v>
      </c>
      <c r="B14" s="43">
        <v>45388</v>
      </c>
      <c r="C14" s="10" t="s">
        <v>41</v>
      </c>
      <c r="D14" s="10" t="s">
        <v>42</v>
      </c>
      <c r="E14" s="10" t="s">
        <v>26</v>
      </c>
      <c r="F14" s="10" t="s">
        <v>4</v>
      </c>
      <c r="G14" s="10" t="s">
        <v>27</v>
      </c>
      <c r="H14" s="10" t="s">
        <v>43</v>
      </c>
      <c r="I14" s="45">
        <v>2708</v>
      </c>
      <c r="J14" s="11">
        <v>0</v>
      </c>
      <c r="K14" s="45">
        <f t="shared" si="1"/>
        <v>2708</v>
      </c>
      <c r="L14" s="10">
        <v>43</v>
      </c>
      <c r="M14" s="10"/>
      <c r="N14" s="10" t="b">
        <v>1</v>
      </c>
      <c r="O14" s="41" t="s">
        <v>44</v>
      </c>
      <c r="P14" s="45">
        <f t="shared" si="2"/>
        <v>1137.3599999999999</v>
      </c>
      <c r="Q14" s="45">
        <f t="shared" si="3"/>
        <v>1570.64</v>
      </c>
      <c r="R14" s="45">
        <v>150</v>
      </c>
      <c r="S14" s="45">
        <f t="shared" si="4"/>
        <v>270.8</v>
      </c>
      <c r="T14" s="45">
        <f t="shared" si="5"/>
        <v>2708</v>
      </c>
      <c r="U14" s="47">
        <f t="shared" si="6"/>
        <v>-1558.1599999999999</v>
      </c>
    </row>
    <row r="15" spans="1:21" x14ac:dyDescent="0.3">
      <c r="A15" s="41" t="str">
        <f t="shared" si="0"/>
        <v>PUNIDR</v>
      </c>
      <c r="B15" s="43">
        <v>45388</v>
      </c>
      <c r="C15" s="10" t="s">
        <v>45</v>
      </c>
      <c r="D15" s="10" t="s">
        <v>10</v>
      </c>
      <c r="E15" s="10" t="s">
        <v>30</v>
      </c>
      <c r="F15" s="10" t="s">
        <v>23</v>
      </c>
      <c r="G15" s="10" t="s">
        <v>46</v>
      </c>
      <c r="H15" s="10" t="s">
        <v>47</v>
      </c>
      <c r="I15" s="45">
        <v>2203</v>
      </c>
      <c r="J15" s="11">
        <v>0</v>
      </c>
      <c r="K15" s="45">
        <f t="shared" si="1"/>
        <v>2203</v>
      </c>
      <c r="L15" s="10">
        <v>39</v>
      </c>
      <c r="M15" s="10">
        <v>1.6</v>
      </c>
      <c r="N15" s="10" t="b">
        <v>0</v>
      </c>
      <c r="O15" s="41"/>
      <c r="P15" s="45">
        <f t="shared" si="2"/>
        <v>925.26</v>
      </c>
      <c r="Q15" s="45">
        <f t="shared" si="3"/>
        <v>1277.74</v>
      </c>
      <c r="R15" s="45">
        <v>0</v>
      </c>
      <c r="S15" s="45">
        <f t="shared" si="4"/>
        <v>0</v>
      </c>
      <c r="T15" s="45">
        <f t="shared" si="5"/>
        <v>0</v>
      </c>
      <c r="U15" s="47">
        <f t="shared" si="6"/>
        <v>1277.74</v>
      </c>
    </row>
    <row r="16" spans="1:21" x14ac:dyDescent="0.3">
      <c r="A16" s="41" t="str">
        <f t="shared" si="0"/>
        <v>PMANTO</v>
      </c>
      <c r="B16" s="43">
        <v>45389</v>
      </c>
      <c r="C16" s="10" t="s">
        <v>48</v>
      </c>
      <c r="D16" s="10" t="s">
        <v>31</v>
      </c>
      <c r="E16" s="10" t="s">
        <v>9</v>
      </c>
      <c r="F16" s="10" t="s">
        <v>11</v>
      </c>
      <c r="G16" s="10" t="s">
        <v>49</v>
      </c>
      <c r="H16" s="10" t="s">
        <v>47</v>
      </c>
      <c r="I16" s="45">
        <v>1206</v>
      </c>
      <c r="J16" s="11">
        <v>0</v>
      </c>
      <c r="K16" s="45">
        <f t="shared" si="1"/>
        <v>1206</v>
      </c>
      <c r="L16" s="10">
        <v>7</v>
      </c>
      <c r="M16" s="10">
        <v>1.7</v>
      </c>
      <c r="N16" s="10" t="b">
        <v>1</v>
      </c>
      <c r="O16" s="41" t="s">
        <v>50</v>
      </c>
      <c r="P16" s="45">
        <f t="shared" si="2"/>
        <v>506.52</v>
      </c>
      <c r="Q16" s="45">
        <f t="shared" si="3"/>
        <v>699.48</v>
      </c>
      <c r="R16" s="45">
        <v>150</v>
      </c>
      <c r="S16" s="45">
        <f t="shared" si="4"/>
        <v>120.60000000000001</v>
      </c>
      <c r="T16" s="45">
        <f t="shared" si="5"/>
        <v>1206</v>
      </c>
      <c r="U16" s="47">
        <f t="shared" si="6"/>
        <v>-777.12</v>
      </c>
    </row>
    <row r="17" spans="1:21" x14ac:dyDescent="0.3">
      <c r="A17" s="41" t="str">
        <f t="shared" si="0"/>
        <v>PMANAC</v>
      </c>
      <c r="B17" s="43">
        <v>45390</v>
      </c>
      <c r="C17" s="10" t="s">
        <v>51</v>
      </c>
      <c r="D17" s="10" t="s">
        <v>31</v>
      </c>
      <c r="E17" s="10" t="s">
        <v>15</v>
      </c>
      <c r="F17" s="10" t="s">
        <v>11</v>
      </c>
      <c r="G17" s="10" t="s">
        <v>7</v>
      </c>
      <c r="H17" s="10" t="s">
        <v>35</v>
      </c>
      <c r="I17" s="45">
        <v>465</v>
      </c>
      <c r="J17" s="11">
        <v>0</v>
      </c>
      <c r="K17" s="45">
        <f t="shared" si="1"/>
        <v>465</v>
      </c>
      <c r="L17" s="10">
        <v>17</v>
      </c>
      <c r="M17" s="10">
        <v>2</v>
      </c>
      <c r="N17" s="10" t="b">
        <v>1</v>
      </c>
      <c r="O17" s="41" t="s">
        <v>44</v>
      </c>
      <c r="P17" s="45">
        <f t="shared" si="2"/>
        <v>195.29999999999998</v>
      </c>
      <c r="Q17" s="45">
        <f t="shared" si="3"/>
        <v>269.70000000000005</v>
      </c>
      <c r="R17" s="45">
        <v>150</v>
      </c>
      <c r="S17" s="45">
        <f t="shared" si="4"/>
        <v>46.5</v>
      </c>
      <c r="T17" s="45">
        <f t="shared" si="5"/>
        <v>465</v>
      </c>
      <c r="U17" s="47">
        <f t="shared" si="6"/>
        <v>-391.79999999999995</v>
      </c>
    </row>
    <row r="18" spans="1:21" x14ac:dyDescent="0.3">
      <c r="A18" s="41" t="str">
        <f t="shared" si="0"/>
        <v>PGAPSH</v>
      </c>
      <c r="B18" s="43">
        <v>45390</v>
      </c>
      <c r="C18" s="10" t="s">
        <v>52</v>
      </c>
      <c r="D18" s="10" t="s">
        <v>53</v>
      </c>
      <c r="E18" s="10" t="s">
        <v>18</v>
      </c>
      <c r="F18" s="10" t="s">
        <v>54</v>
      </c>
      <c r="G18" s="10" t="s">
        <v>27</v>
      </c>
      <c r="H18" s="10" t="s">
        <v>47</v>
      </c>
      <c r="I18" s="45">
        <v>3871</v>
      </c>
      <c r="J18" s="11">
        <v>0</v>
      </c>
      <c r="K18" s="45">
        <f t="shared" si="1"/>
        <v>3871</v>
      </c>
      <c r="L18" s="10">
        <v>14</v>
      </c>
      <c r="M18" s="10">
        <v>4.5999999999999996</v>
      </c>
      <c r="N18" s="10" t="b">
        <v>0</v>
      </c>
      <c r="O18" s="41"/>
      <c r="P18" s="45">
        <f t="shared" si="2"/>
        <v>1625.82</v>
      </c>
      <c r="Q18" s="45">
        <f t="shared" si="3"/>
        <v>2245.1800000000003</v>
      </c>
      <c r="R18" s="45">
        <v>0</v>
      </c>
      <c r="S18" s="45">
        <f t="shared" si="4"/>
        <v>0</v>
      </c>
      <c r="T18" s="45">
        <f t="shared" si="5"/>
        <v>0</v>
      </c>
      <c r="U18" s="47">
        <f t="shared" si="6"/>
        <v>2245.1800000000003</v>
      </c>
    </row>
    <row r="19" spans="1:21" x14ac:dyDescent="0.3">
      <c r="A19" s="41" t="str">
        <f t="shared" si="0"/>
        <v>PANNTO</v>
      </c>
      <c r="B19" s="43">
        <v>45390</v>
      </c>
      <c r="C19" s="10" t="s">
        <v>55</v>
      </c>
      <c r="D19" s="10" t="s">
        <v>42</v>
      </c>
      <c r="E19" s="10" t="s">
        <v>9</v>
      </c>
      <c r="F19" s="10" t="s">
        <v>11</v>
      </c>
      <c r="G19" s="10" t="s">
        <v>12</v>
      </c>
      <c r="H19" s="10" t="s">
        <v>56</v>
      </c>
      <c r="I19" s="45">
        <v>1453</v>
      </c>
      <c r="J19" s="11">
        <v>0</v>
      </c>
      <c r="K19" s="45">
        <f t="shared" si="1"/>
        <v>1453</v>
      </c>
      <c r="L19" s="10">
        <v>14</v>
      </c>
      <c r="M19" s="10">
        <v>3.5</v>
      </c>
      <c r="N19" s="10" t="b">
        <v>0</v>
      </c>
      <c r="O19" s="41"/>
      <c r="P19" s="45">
        <f t="shared" si="2"/>
        <v>610.26</v>
      </c>
      <c r="Q19" s="45">
        <f t="shared" si="3"/>
        <v>842.74</v>
      </c>
      <c r="R19" s="45">
        <v>0</v>
      </c>
      <c r="S19" s="45">
        <f t="shared" si="4"/>
        <v>0</v>
      </c>
      <c r="T19" s="45">
        <f t="shared" si="5"/>
        <v>0</v>
      </c>
      <c r="U19" s="47">
        <f t="shared" si="6"/>
        <v>842.74</v>
      </c>
    </row>
    <row r="20" spans="1:21" x14ac:dyDescent="0.3">
      <c r="A20" s="41" t="str">
        <f t="shared" si="0"/>
        <v>PMANOU</v>
      </c>
      <c r="B20" s="43">
        <v>45390</v>
      </c>
      <c r="C20" s="10" t="s">
        <v>57</v>
      </c>
      <c r="D20" s="10" t="s">
        <v>31</v>
      </c>
      <c r="E20" s="10" t="s">
        <v>2</v>
      </c>
      <c r="F20" s="10" t="s">
        <v>54</v>
      </c>
      <c r="G20" s="10" t="s">
        <v>49</v>
      </c>
      <c r="H20" s="10" t="s">
        <v>58</v>
      </c>
      <c r="I20" s="45">
        <v>3026</v>
      </c>
      <c r="J20" s="11">
        <v>0.58499999999999996</v>
      </c>
      <c r="K20" s="45">
        <f t="shared" si="1"/>
        <v>1255.7900000000002</v>
      </c>
      <c r="L20" s="10">
        <v>16</v>
      </c>
      <c r="M20" s="10">
        <v>4.0999999999999996</v>
      </c>
      <c r="N20" s="10" t="b">
        <v>1</v>
      </c>
      <c r="O20" s="41" t="s">
        <v>33</v>
      </c>
      <c r="P20" s="45">
        <f t="shared" si="2"/>
        <v>527.43180000000007</v>
      </c>
      <c r="Q20" s="45">
        <f t="shared" si="3"/>
        <v>728.35820000000012</v>
      </c>
      <c r="R20" s="45">
        <v>150</v>
      </c>
      <c r="S20" s="45">
        <f t="shared" si="4"/>
        <v>125.57900000000002</v>
      </c>
      <c r="T20" s="45">
        <f t="shared" si="5"/>
        <v>1255.7900000000002</v>
      </c>
      <c r="U20" s="47">
        <f t="shared" si="6"/>
        <v>-803.01080000000002</v>
      </c>
    </row>
    <row r="21" spans="1:21" x14ac:dyDescent="0.3">
      <c r="A21" s="41" t="str">
        <f t="shared" si="0"/>
        <v>PBANOU</v>
      </c>
      <c r="B21" s="43">
        <v>45391</v>
      </c>
      <c r="C21" s="10" t="s">
        <v>59</v>
      </c>
      <c r="D21" s="10" t="s">
        <v>21</v>
      </c>
      <c r="E21" s="10" t="s">
        <v>2</v>
      </c>
      <c r="F21" s="10" t="s">
        <v>54</v>
      </c>
      <c r="G21" s="10" t="s">
        <v>38</v>
      </c>
      <c r="H21" s="10" t="s">
        <v>28</v>
      </c>
      <c r="I21" s="45">
        <v>3669</v>
      </c>
      <c r="J21" s="11">
        <v>0</v>
      </c>
      <c r="K21" s="45">
        <f t="shared" si="1"/>
        <v>3669</v>
      </c>
      <c r="L21" s="10">
        <v>1</v>
      </c>
      <c r="M21" s="10">
        <v>3.7</v>
      </c>
      <c r="N21" s="10" t="b">
        <v>0</v>
      </c>
      <c r="O21" s="41"/>
      <c r="P21" s="45">
        <f t="shared" si="2"/>
        <v>1540.98</v>
      </c>
      <c r="Q21" s="45">
        <f t="shared" si="3"/>
        <v>2128.02</v>
      </c>
      <c r="R21" s="45">
        <v>0</v>
      </c>
      <c r="S21" s="45">
        <f t="shared" si="4"/>
        <v>0</v>
      </c>
      <c r="T21" s="45">
        <f t="shared" si="5"/>
        <v>0</v>
      </c>
      <c r="U21" s="47">
        <f t="shared" si="6"/>
        <v>2128.02</v>
      </c>
    </row>
    <row r="22" spans="1:21" x14ac:dyDescent="0.3">
      <c r="A22" s="41" t="str">
        <f t="shared" si="0"/>
        <v>PMANBO</v>
      </c>
      <c r="B22" s="43">
        <v>45392</v>
      </c>
      <c r="C22" s="10" t="s">
        <v>60</v>
      </c>
      <c r="D22" s="10" t="s">
        <v>31</v>
      </c>
      <c r="E22" s="10" t="s">
        <v>26</v>
      </c>
      <c r="F22" s="10" t="s">
        <v>23</v>
      </c>
      <c r="G22" s="10" t="s">
        <v>12</v>
      </c>
      <c r="H22" s="10" t="s">
        <v>47</v>
      </c>
      <c r="I22" s="45">
        <v>2614</v>
      </c>
      <c r="J22" s="11">
        <v>0.218</v>
      </c>
      <c r="K22" s="45">
        <f t="shared" si="1"/>
        <v>2044.1480000000001</v>
      </c>
      <c r="L22" s="10">
        <v>42</v>
      </c>
      <c r="M22" s="10"/>
      <c r="N22" s="10" t="b">
        <v>0</v>
      </c>
      <c r="O22" s="41"/>
      <c r="P22" s="45">
        <f t="shared" si="2"/>
        <v>858.54216000000008</v>
      </c>
      <c r="Q22" s="45">
        <f t="shared" si="3"/>
        <v>1185.6058400000002</v>
      </c>
      <c r="R22" s="45">
        <v>0</v>
      </c>
      <c r="S22" s="45">
        <f t="shared" si="4"/>
        <v>0</v>
      </c>
      <c r="T22" s="45">
        <f t="shared" si="5"/>
        <v>0</v>
      </c>
      <c r="U22" s="47">
        <f t="shared" si="6"/>
        <v>1185.6058400000002</v>
      </c>
    </row>
    <row r="23" spans="1:21" x14ac:dyDescent="0.3">
      <c r="A23" s="41" t="str">
        <f t="shared" si="0"/>
        <v>PZARAC</v>
      </c>
      <c r="B23" s="43">
        <v>45392</v>
      </c>
      <c r="C23" s="10" t="s">
        <v>61</v>
      </c>
      <c r="D23" s="10" t="s">
        <v>3</v>
      </c>
      <c r="E23" s="10" t="s">
        <v>15</v>
      </c>
      <c r="F23" s="10" t="s">
        <v>4</v>
      </c>
      <c r="G23" s="10" t="s">
        <v>7</v>
      </c>
      <c r="H23" s="10" t="s">
        <v>7</v>
      </c>
      <c r="I23" s="45">
        <v>462</v>
      </c>
      <c r="J23" s="11">
        <v>0</v>
      </c>
      <c r="K23" s="45">
        <f t="shared" si="1"/>
        <v>462</v>
      </c>
      <c r="L23" s="10">
        <v>10</v>
      </c>
      <c r="M23" s="10">
        <v>2.5</v>
      </c>
      <c r="N23" s="10" t="b">
        <v>0</v>
      </c>
      <c r="O23" s="41"/>
      <c r="P23" s="45">
        <f t="shared" si="2"/>
        <v>194.04</v>
      </c>
      <c r="Q23" s="45">
        <f t="shared" si="3"/>
        <v>267.96000000000004</v>
      </c>
      <c r="R23" s="45">
        <v>0</v>
      </c>
      <c r="S23" s="45">
        <f t="shared" si="4"/>
        <v>0</v>
      </c>
      <c r="T23" s="45">
        <f t="shared" si="5"/>
        <v>0</v>
      </c>
      <c r="U23" s="47">
        <f t="shared" si="6"/>
        <v>267.96000000000004</v>
      </c>
    </row>
    <row r="24" spans="1:21" x14ac:dyDescent="0.3">
      <c r="A24" s="41" t="str">
        <f t="shared" si="0"/>
        <v>PZARAC</v>
      </c>
      <c r="B24" s="43">
        <v>45393</v>
      </c>
      <c r="C24" s="10" t="s">
        <v>62</v>
      </c>
      <c r="D24" s="10" t="s">
        <v>3</v>
      </c>
      <c r="E24" s="10" t="s">
        <v>15</v>
      </c>
      <c r="F24" s="10" t="s">
        <v>11</v>
      </c>
      <c r="G24" s="10" t="s">
        <v>7</v>
      </c>
      <c r="H24" s="10" t="s">
        <v>7</v>
      </c>
      <c r="I24" s="45">
        <v>253</v>
      </c>
      <c r="J24" s="11">
        <v>0</v>
      </c>
      <c r="K24" s="45">
        <f t="shared" si="1"/>
        <v>253</v>
      </c>
      <c r="L24" s="10">
        <v>46</v>
      </c>
      <c r="M24" s="10">
        <v>1.2</v>
      </c>
      <c r="N24" s="10" t="b">
        <v>1</v>
      </c>
      <c r="O24" s="41" t="s">
        <v>33</v>
      </c>
      <c r="P24" s="45">
        <f t="shared" si="2"/>
        <v>106.25999999999999</v>
      </c>
      <c r="Q24" s="45">
        <f t="shared" si="3"/>
        <v>146.74</v>
      </c>
      <c r="R24" s="45">
        <v>150</v>
      </c>
      <c r="S24" s="45">
        <f t="shared" si="4"/>
        <v>25.3</v>
      </c>
      <c r="T24" s="45">
        <f t="shared" si="5"/>
        <v>253</v>
      </c>
      <c r="U24" s="47">
        <f t="shared" si="6"/>
        <v>-281.56</v>
      </c>
    </row>
    <row r="25" spans="1:21" x14ac:dyDescent="0.3">
      <c r="A25" s="41" t="str">
        <f t="shared" si="0"/>
        <v>PBANDR</v>
      </c>
      <c r="B25" s="43">
        <v>45393</v>
      </c>
      <c r="C25" s="10" t="s">
        <v>63</v>
      </c>
      <c r="D25" s="10" t="s">
        <v>21</v>
      </c>
      <c r="E25" s="10" t="s">
        <v>30</v>
      </c>
      <c r="F25" s="10" t="s">
        <v>54</v>
      </c>
      <c r="G25" s="10" t="s">
        <v>5</v>
      </c>
      <c r="H25" s="10" t="s">
        <v>35</v>
      </c>
      <c r="I25" s="45">
        <v>2647</v>
      </c>
      <c r="J25" s="11">
        <v>0</v>
      </c>
      <c r="K25" s="45">
        <f t="shared" si="1"/>
        <v>2647</v>
      </c>
      <c r="L25" s="10">
        <v>37</v>
      </c>
      <c r="M25" s="10">
        <v>1.2</v>
      </c>
      <c r="N25" s="10" t="b">
        <v>0</v>
      </c>
      <c r="O25" s="41"/>
      <c r="P25" s="45">
        <f t="shared" si="2"/>
        <v>1111.74</v>
      </c>
      <c r="Q25" s="45">
        <f t="shared" si="3"/>
        <v>1535.26</v>
      </c>
      <c r="R25" s="45">
        <v>0</v>
      </c>
      <c r="S25" s="45">
        <f t="shared" si="4"/>
        <v>0</v>
      </c>
      <c r="T25" s="45">
        <f t="shared" si="5"/>
        <v>0</v>
      </c>
      <c r="U25" s="47">
        <f t="shared" si="6"/>
        <v>1535.26</v>
      </c>
    </row>
    <row r="26" spans="1:21" x14ac:dyDescent="0.3">
      <c r="A26" s="41" t="str">
        <f t="shared" si="0"/>
        <v>PFORTO</v>
      </c>
      <c r="B26" s="43">
        <v>45393</v>
      </c>
      <c r="C26" s="10" t="s">
        <v>64</v>
      </c>
      <c r="D26" s="10" t="s">
        <v>65</v>
      </c>
      <c r="E26" s="10" t="s">
        <v>9</v>
      </c>
      <c r="F26" s="10" t="s">
        <v>23</v>
      </c>
      <c r="G26" s="10" t="s">
        <v>46</v>
      </c>
      <c r="H26" s="10" t="s">
        <v>32</v>
      </c>
      <c r="I26" s="45">
        <v>948</v>
      </c>
      <c r="J26" s="11">
        <v>0.29100000000000004</v>
      </c>
      <c r="K26" s="45">
        <f t="shared" si="1"/>
        <v>672.13199999999995</v>
      </c>
      <c r="L26" s="10">
        <v>38</v>
      </c>
      <c r="M26" s="10">
        <v>3.6</v>
      </c>
      <c r="N26" s="10" t="b">
        <v>1</v>
      </c>
      <c r="O26" s="41" t="s">
        <v>33</v>
      </c>
      <c r="P26" s="45">
        <f t="shared" si="2"/>
        <v>282.29543999999999</v>
      </c>
      <c r="Q26" s="45">
        <f t="shared" si="3"/>
        <v>389.83655999999996</v>
      </c>
      <c r="R26" s="45">
        <v>150</v>
      </c>
      <c r="S26" s="45">
        <f t="shared" si="4"/>
        <v>67.213200000000001</v>
      </c>
      <c r="T26" s="45">
        <f t="shared" si="5"/>
        <v>672.13199999999995</v>
      </c>
      <c r="U26" s="47">
        <f t="shared" si="6"/>
        <v>-499.50864000000001</v>
      </c>
    </row>
    <row r="27" spans="1:21" x14ac:dyDescent="0.3">
      <c r="A27" s="41" t="str">
        <f t="shared" si="0"/>
        <v>PUNIBO</v>
      </c>
      <c r="B27" s="43">
        <v>45394</v>
      </c>
      <c r="C27" s="10" t="s">
        <v>66</v>
      </c>
      <c r="D27" s="10" t="s">
        <v>10</v>
      </c>
      <c r="E27" s="10" t="s">
        <v>26</v>
      </c>
      <c r="F27" s="10" t="s">
        <v>4</v>
      </c>
      <c r="G27" s="10" t="s">
        <v>49</v>
      </c>
      <c r="H27" s="10" t="s">
        <v>6</v>
      </c>
      <c r="I27" s="45">
        <v>2990</v>
      </c>
      <c r="J27" s="11">
        <v>0.34</v>
      </c>
      <c r="K27" s="45">
        <f t="shared" si="1"/>
        <v>1973.3999999999999</v>
      </c>
      <c r="L27" s="10">
        <v>16</v>
      </c>
      <c r="M27" s="10">
        <v>3.7</v>
      </c>
      <c r="N27" s="10" t="b">
        <v>1</v>
      </c>
      <c r="O27" s="41" t="s">
        <v>33</v>
      </c>
      <c r="P27" s="45">
        <f t="shared" si="2"/>
        <v>828.82799999999986</v>
      </c>
      <c r="Q27" s="45">
        <f t="shared" si="3"/>
        <v>1144.5720000000001</v>
      </c>
      <c r="R27" s="45">
        <v>150</v>
      </c>
      <c r="S27" s="45">
        <f t="shared" si="4"/>
        <v>197.34</v>
      </c>
      <c r="T27" s="45">
        <f t="shared" si="5"/>
        <v>1973.3999999999999</v>
      </c>
      <c r="U27" s="47">
        <f t="shared" si="6"/>
        <v>-1176.1679999999997</v>
      </c>
    </row>
    <row r="28" spans="1:21" x14ac:dyDescent="0.3">
      <c r="A28" s="41" t="str">
        <f t="shared" si="0"/>
        <v>PBANBO</v>
      </c>
      <c r="B28" s="43">
        <v>45394</v>
      </c>
      <c r="C28" s="10" t="s">
        <v>67</v>
      </c>
      <c r="D28" s="10" t="s">
        <v>21</v>
      </c>
      <c r="E28" s="10" t="s">
        <v>26</v>
      </c>
      <c r="F28" s="10" t="s">
        <v>54</v>
      </c>
      <c r="G28" s="10" t="s">
        <v>12</v>
      </c>
      <c r="H28" s="10" t="s">
        <v>6</v>
      </c>
      <c r="I28" s="45">
        <v>2940</v>
      </c>
      <c r="J28" s="11">
        <v>0.36</v>
      </c>
      <c r="K28" s="45">
        <f t="shared" si="1"/>
        <v>1881.6000000000001</v>
      </c>
      <c r="L28" s="10">
        <v>25</v>
      </c>
      <c r="M28" s="10">
        <v>1.1000000000000001</v>
      </c>
      <c r="N28" s="10" t="b">
        <v>0</v>
      </c>
      <c r="O28" s="41"/>
      <c r="P28" s="45">
        <f t="shared" si="2"/>
        <v>790.27200000000005</v>
      </c>
      <c r="Q28" s="45">
        <f t="shared" si="3"/>
        <v>1091.328</v>
      </c>
      <c r="R28" s="45">
        <v>0</v>
      </c>
      <c r="S28" s="45">
        <f t="shared" si="4"/>
        <v>0</v>
      </c>
      <c r="T28" s="45">
        <f t="shared" si="5"/>
        <v>0</v>
      </c>
      <c r="U28" s="47">
        <f t="shared" si="6"/>
        <v>1091.328</v>
      </c>
    </row>
    <row r="29" spans="1:21" x14ac:dyDescent="0.3">
      <c r="A29" s="41" t="str">
        <f t="shared" si="0"/>
        <v>PGAPBO</v>
      </c>
      <c r="B29" s="43">
        <v>45394</v>
      </c>
      <c r="C29" s="10" t="s">
        <v>68</v>
      </c>
      <c r="D29" s="10" t="s">
        <v>53</v>
      </c>
      <c r="E29" s="10" t="s">
        <v>26</v>
      </c>
      <c r="F29" s="10" t="s">
        <v>54</v>
      </c>
      <c r="G29" s="10" t="s">
        <v>49</v>
      </c>
      <c r="H29" s="10" t="s">
        <v>32</v>
      </c>
      <c r="I29" s="45">
        <v>2709</v>
      </c>
      <c r="J29" s="11">
        <v>0</v>
      </c>
      <c r="K29" s="45">
        <f t="shared" si="1"/>
        <v>2709</v>
      </c>
      <c r="L29" s="10">
        <v>28</v>
      </c>
      <c r="M29" s="10">
        <v>3.8</v>
      </c>
      <c r="N29" s="10" t="b">
        <v>0</v>
      </c>
      <c r="O29" s="41"/>
      <c r="P29" s="45">
        <f t="shared" si="2"/>
        <v>1137.78</v>
      </c>
      <c r="Q29" s="45">
        <f t="shared" si="3"/>
        <v>1571.22</v>
      </c>
      <c r="R29" s="45">
        <v>0</v>
      </c>
      <c r="S29" s="45">
        <f t="shared" si="4"/>
        <v>0</v>
      </c>
      <c r="T29" s="45">
        <f t="shared" si="5"/>
        <v>0</v>
      </c>
      <c r="U29" s="47">
        <f t="shared" si="6"/>
        <v>1571.22</v>
      </c>
    </row>
    <row r="30" spans="1:21" x14ac:dyDescent="0.3">
      <c r="A30" s="41" t="str">
        <f t="shared" si="0"/>
        <v>PANNDR</v>
      </c>
      <c r="B30" s="43">
        <v>45395</v>
      </c>
      <c r="C30" s="10" t="s">
        <v>69</v>
      </c>
      <c r="D30" s="10" t="s">
        <v>42</v>
      </c>
      <c r="E30" s="10" t="s">
        <v>30</v>
      </c>
      <c r="F30" s="10" t="s">
        <v>54</v>
      </c>
      <c r="G30" s="10" t="s">
        <v>12</v>
      </c>
      <c r="H30" s="10" t="s">
        <v>43</v>
      </c>
      <c r="I30" s="45">
        <v>2684</v>
      </c>
      <c r="J30" s="11">
        <v>0</v>
      </c>
      <c r="K30" s="45">
        <f t="shared" si="1"/>
        <v>2684</v>
      </c>
      <c r="L30" s="10">
        <v>6</v>
      </c>
      <c r="M30" s="10">
        <v>1.2</v>
      </c>
      <c r="N30" s="10" t="b">
        <v>1</v>
      </c>
      <c r="O30" s="41" t="s">
        <v>19</v>
      </c>
      <c r="P30" s="45">
        <f t="shared" si="2"/>
        <v>1127.28</v>
      </c>
      <c r="Q30" s="45">
        <f t="shared" si="3"/>
        <v>1556.72</v>
      </c>
      <c r="R30" s="45">
        <v>150</v>
      </c>
      <c r="S30" s="45">
        <f t="shared" si="4"/>
        <v>268.40000000000003</v>
      </c>
      <c r="T30" s="45">
        <f t="shared" si="5"/>
        <v>2684</v>
      </c>
      <c r="U30" s="47">
        <f t="shared" si="6"/>
        <v>-1545.68</v>
      </c>
    </row>
    <row r="31" spans="1:21" x14ac:dyDescent="0.3">
      <c r="A31" s="41" t="str">
        <f t="shared" si="0"/>
        <v>PGAPSH</v>
      </c>
      <c r="B31" s="43">
        <v>45395</v>
      </c>
      <c r="C31" s="10" t="s">
        <v>70</v>
      </c>
      <c r="D31" s="10" t="s">
        <v>53</v>
      </c>
      <c r="E31" s="10" t="s">
        <v>18</v>
      </c>
      <c r="F31" s="10" t="s">
        <v>4</v>
      </c>
      <c r="G31" s="10" t="s">
        <v>5</v>
      </c>
      <c r="H31" s="10" t="s">
        <v>6</v>
      </c>
      <c r="I31" s="45">
        <v>3453</v>
      </c>
      <c r="J31" s="11">
        <v>0</v>
      </c>
      <c r="K31" s="45">
        <f t="shared" si="1"/>
        <v>3453</v>
      </c>
      <c r="L31" s="10">
        <v>1</v>
      </c>
      <c r="M31" s="10"/>
      <c r="N31" s="10" t="b">
        <v>0</v>
      </c>
      <c r="O31" s="41"/>
      <c r="P31" s="45">
        <f t="shared" si="2"/>
        <v>1450.26</v>
      </c>
      <c r="Q31" s="45">
        <f t="shared" si="3"/>
        <v>2002.74</v>
      </c>
      <c r="R31" s="45">
        <v>0</v>
      </c>
      <c r="S31" s="45">
        <f t="shared" si="4"/>
        <v>0</v>
      </c>
      <c r="T31" s="45">
        <f t="shared" si="5"/>
        <v>0</v>
      </c>
      <c r="U31" s="47">
        <f t="shared" si="6"/>
        <v>2002.74</v>
      </c>
    </row>
    <row r="32" spans="1:21" x14ac:dyDescent="0.3">
      <c r="A32" s="41" t="str">
        <f t="shared" si="0"/>
        <v>PUNISH</v>
      </c>
      <c r="B32" s="43">
        <v>45395</v>
      </c>
      <c r="C32" s="10" t="s">
        <v>71</v>
      </c>
      <c r="D32" s="10" t="s">
        <v>10</v>
      </c>
      <c r="E32" s="10" t="s">
        <v>18</v>
      </c>
      <c r="F32" s="10" t="s">
        <v>54</v>
      </c>
      <c r="G32" s="10" t="s">
        <v>27</v>
      </c>
      <c r="H32" s="10" t="s">
        <v>6</v>
      </c>
      <c r="I32" s="45">
        <v>4432</v>
      </c>
      <c r="J32" s="11">
        <v>0</v>
      </c>
      <c r="K32" s="45">
        <f t="shared" si="1"/>
        <v>4432</v>
      </c>
      <c r="L32" s="10">
        <v>37</v>
      </c>
      <c r="M32" s="10">
        <v>4.0999999999999996</v>
      </c>
      <c r="N32" s="10" t="b">
        <v>0</v>
      </c>
      <c r="O32" s="41"/>
      <c r="P32" s="45">
        <f t="shared" si="2"/>
        <v>1861.4399999999998</v>
      </c>
      <c r="Q32" s="45">
        <f t="shared" si="3"/>
        <v>2570.5600000000004</v>
      </c>
      <c r="R32" s="45">
        <v>0</v>
      </c>
      <c r="S32" s="45">
        <f t="shared" si="4"/>
        <v>0</v>
      </c>
      <c r="T32" s="45">
        <f t="shared" si="5"/>
        <v>0</v>
      </c>
      <c r="U32" s="47">
        <f t="shared" si="6"/>
        <v>2570.5600000000004</v>
      </c>
    </row>
    <row r="33" spans="1:21" x14ac:dyDescent="0.3">
      <c r="A33" s="41" t="str">
        <f t="shared" si="0"/>
        <v>PGAPTO</v>
      </c>
      <c r="B33" s="43">
        <v>45395</v>
      </c>
      <c r="C33" s="10" t="s">
        <v>72</v>
      </c>
      <c r="D33" s="10" t="s">
        <v>53</v>
      </c>
      <c r="E33" s="10" t="s">
        <v>9</v>
      </c>
      <c r="F33" s="10" t="s">
        <v>4</v>
      </c>
      <c r="G33" s="10" t="s">
        <v>12</v>
      </c>
      <c r="H33" s="10" t="s">
        <v>58</v>
      </c>
      <c r="I33" s="45">
        <v>979</v>
      </c>
      <c r="J33" s="11">
        <v>0.24399999999999999</v>
      </c>
      <c r="K33" s="45">
        <f t="shared" si="1"/>
        <v>740.12400000000002</v>
      </c>
      <c r="L33" s="10">
        <v>5</v>
      </c>
      <c r="M33" s="10"/>
      <c r="N33" s="10" t="b">
        <v>0</v>
      </c>
      <c r="O33" s="41"/>
      <c r="P33" s="45">
        <f t="shared" si="2"/>
        <v>310.85208</v>
      </c>
      <c r="Q33" s="45">
        <f t="shared" si="3"/>
        <v>429.27192000000002</v>
      </c>
      <c r="R33" s="45">
        <v>0</v>
      </c>
      <c r="S33" s="45">
        <f t="shared" si="4"/>
        <v>0</v>
      </c>
      <c r="T33" s="45">
        <f t="shared" si="5"/>
        <v>0</v>
      </c>
      <c r="U33" s="47">
        <f t="shared" si="6"/>
        <v>429.27192000000002</v>
      </c>
    </row>
    <row r="34" spans="1:21" x14ac:dyDescent="0.3">
      <c r="A34" s="41" t="str">
        <f t="shared" si="0"/>
        <v>PZARSH</v>
      </c>
      <c r="B34" s="43">
        <v>45396</v>
      </c>
      <c r="C34" s="10" t="s">
        <v>73</v>
      </c>
      <c r="D34" s="10" t="s">
        <v>3</v>
      </c>
      <c r="E34" s="10" t="s">
        <v>18</v>
      </c>
      <c r="F34" s="10" t="s">
        <v>4</v>
      </c>
      <c r="G34" s="10" t="s">
        <v>5</v>
      </c>
      <c r="H34" s="10" t="s">
        <v>58</v>
      </c>
      <c r="I34" s="45">
        <v>3168</v>
      </c>
      <c r="J34" s="11">
        <v>0</v>
      </c>
      <c r="K34" s="45">
        <f t="shared" si="1"/>
        <v>3168</v>
      </c>
      <c r="L34" s="10">
        <v>43</v>
      </c>
      <c r="M34" s="10">
        <v>1.1000000000000001</v>
      </c>
      <c r="N34" s="10" t="b">
        <v>0</v>
      </c>
      <c r="O34" s="41"/>
      <c r="P34" s="45">
        <f t="shared" si="2"/>
        <v>1330.56</v>
      </c>
      <c r="Q34" s="45">
        <f t="shared" si="3"/>
        <v>1837.44</v>
      </c>
      <c r="R34" s="45">
        <v>0</v>
      </c>
      <c r="S34" s="45">
        <f t="shared" si="4"/>
        <v>0</v>
      </c>
      <c r="T34" s="45">
        <f t="shared" si="5"/>
        <v>0</v>
      </c>
      <c r="U34" s="47">
        <f t="shared" si="6"/>
        <v>1837.44</v>
      </c>
    </row>
    <row r="35" spans="1:21" x14ac:dyDescent="0.3">
      <c r="A35" s="41" t="str">
        <f t="shared" si="0"/>
        <v>PBANTO</v>
      </c>
      <c r="B35" s="43">
        <v>45396</v>
      </c>
      <c r="C35" s="10" t="s">
        <v>74</v>
      </c>
      <c r="D35" s="10" t="s">
        <v>21</v>
      </c>
      <c r="E35" s="10" t="s">
        <v>9</v>
      </c>
      <c r="F35" s="10" t="s">
        <v>54</v>
      </c>
      <c r="G35" s="10" t="s">
        <v>5</v>
      </c>
      <c r="H35" s="10" t="s">
        <v>28</v>
      </c>
      <c r="I35" s="45">
        <v>1518</v>
      </c>
      <c r="J35" s="11">
        <v>0</v>
      </c>
      <c r="K35" s="45">
        <f t="shared" si="1"/>
        <v>1518</v>
      </c>
      <c r="L35" s="10">
        <v>44</v>
      </c>
      <c r="M35" s="10">
        <v>1.6</v>
      </c>
      <c r="N35" s="10" t="b">
        <v>0</v>
      </c>
      <c r="O35" s="41"/>
      <c r="P35" s="45">
        <f t="shared" si="2"/>
        <v>637.55999999999995</v>
      </c>
      <c r="Q35" s="45">
        <f t="shared" si="3"/>
        <v>880.44</v>
      </c>
      <c r="R35" s="45">
        <v>0</v>
      </c>
      <c r="S35" s="45">
        <f t="shared" si="4"/>
        <v>0</v>
      </c>
      <c r="T35" s="45">
        <f t="shared" si="5"/>
        <v>0</v>
      </c>
      <c r="U35" s="47">
        <f t="shared" si="6"/>
        <v>880.44</v>
      </c>
    </row>
    <row r="36" spans="1:21" x14ac:dyDescent="0.3">
      <c r="A36" s="41" t="str">
        <f t="shared" si="0"/>
        <v>PFORAC</v>
      </c>
      <c r="B36" s="43">
        <v>45397</v>
      </c>
      <c r="C36" s="10" t="s">
        <v>75</v>
      </c>
      <c r="D36" s="10" t="s">
        <v>65</v>
      </c>
      <c r="E36" s="10" t="s">
        <v>15</v>
      </c>
      <c r="F36" s="10" t="s">
        <v>23</v>
      </c>
      <c r="G36" s="10" t="s">
        <v>7</v>
      </c>
      <c r="H36" s="10" t="s">
        <v>7</v>
      </c>
      <c r="I36" s="45">
        <v>441</v>
      </c>
      <c r="J36" s="11">
        <v>0</v>
      </c>
      <c r="K36" s="45">
        <f t="shared" si="1"/>
        <v>441</v>
      </c>
      <c r="L36" s="10">
        <v>38</v>
      </c>
      <c r="M36" s="10">
        <v>1.5</v>
      </c>
      <c r="N36" s="10" t="b">
        <v>0</v>
      </c>
      <c r="O36" s="41"/>
      <c r="P36" s="45">
        <f t="shared" si="2"/>
        <v>185.22</v>
      </c>
      <c r="Q36" s="45">
        <f t="shared" si="3"/>
        <v>255.78</v>
      </c>
      <c r="R36" s="45">
        <v>0</v>
      </c>
      <c r="S36" s="45">
        <f t="shared" si="4"/>
        <v>0</v>
      </c>
      <c r="T36" s="45">
        <f t="shared" si="5"/>
        <v>0</v>
      </c>
      <c r="U36" s="47">
        <f t="shared" si="6"/>
        <v>255.78</v>
      </c>
    </row>
    <row r="37" spans="1:21" x14ac:dyDescent="0.3">
      <c r="A37" s="41" t="str">
        <f t="shared" si="0"/>
        <v>PUNITO</v>
      </c>
      <c r="B37" s="43">
        <v>45397</v>
      </c>
      <c r="C37" s="10" t="s">
        <v>76</v>
      </c>
      <c r="D37" s="10" t="s">
        <v>10</v>
      </c>
      <c r="E37" s="10" t="s">
        <v>9</v>
      </c>
      <c r="F37" s="10" t="s">
        <v>11</v>
      </c>
      <c r="G37" s="10" t="s">
        <v>38</v>
      </c>
      <c r="H37" s="10" t="s">
        <v>43</v>
      </c>
      <c r="I37" s="45">
        <v>1097</v>
      </c>
      <c r="J37" s="11">
        <v>5.7000000000000002E-2</v>
      </c>
      <c r="K37" s="45">
        <f t="shared" si="1"/>
        <v>1034.471</v>
      </c>
      <c r="L37" s="10">
        <v>37</v>
      </c>
      <c r="M37" s="10">
        <v>4.9000000000000004</v>
      </c>
      <c r="N37" s="10" t="b">
        <v>0</v>
      </c>
      <c r="O37" s="41"/>
      <c r="P37" s="45">
        <f t="shared" si="2"/>
        <v>434.47782000000001</v>
      </c>
      <c r="Q37" s="45">
        <f t="shared" si="3"/>
        <v>599.99317999999994</v>
      </c>
      <c r="R37" s="45">
        <v>0</v>
      </c>
      <c r="S37" s="45">
        <f t="shared" si="4"/>
        <v>0</v>
      </c>
      <c r="T37" s="45">
        <f t="shared" si="5"/>
        <v>0</v>
      </c>
      <c r="U37" s="47">
        <f t="shared" si="6"/>
        <v>599.99317999999994</v>
      </c>
    </row>
    <row r="38" spans="1:21" x14ac:dyDescent="0.3">
      <c r="A38" s="41" t="str">
        <f t="shared" si="0"/>
        <v>PBANBO</v>
      </c>
      <c r="B38" s="43">
        <v>45397</v>
      </c>
      <c r="C38" s="10" t="s">
        <v>77</v>
      </c>
      <c r="D38" s="10" t="s">
        <v>21</v>
      </c>
      <c r="E38" s="10" t="s">
        <v>26</v>
      </c>
      <c r="F38" s="10" t="s">
        <v>23</v>
      </c>
      <c r="G38" s="10" t="s">
        <v>38</v>
      </c>
      <c r="H38" s="10" t="s">
        <v>35</v>
      </c>
      <c r="I38" s="45">
        <v>2105</v>
      </c>
      <c r="J38" s="11">
        <v>0.47799999999999998</v>
      </c>
      <c r="K38" s="45">
        <f t="shared" si="1"/>
        <v>1098.81</v>
      </c>
      <c r="L38" s="10">
        <v>31</v>
      </c>
      <c r="M38" s="10">
        <v>4.0999999999999996</v>
      </c>
      <c r="N38" s="10" t="b">
        <v>0</v>
      </c>
      <c r="O38" s="41"/>
      <c r="P38" s="45">
        <f t="shared" si="2"/>
        <v>461.50019999999995</v>
      </c>
      <c r="Q38" s="45">
        <f t="shared" si="3"/>
        <v>637.3098</v>
      </c>
      <c r="R38" s="45">
        <v>0</v>
      </c>
      <c r="S38" s="45">
        <f t="shared" si="4"/>
        <v>0</v>
      </c>
      <c r="T38" s="45">
        <f t="shared" si="5"/>
        <v>0</v>
      </c>
      <c r="U38" s="47">
        <f t="shared" si="6"/>
        <v>637.3098</v>
      </c>
    </row>
    <row r="39" spans="1:21" x14ac:dyDescent="0.3">
      <c r="A39" s="41" t="str">
        <f t="shared" si="0"/>
        <v>PBANDR</v>
      </c>
      <c r="B39" s="43">
        <v>45397</v>
      </c>
      <c r="C39" s="10" t="s">
        <v>78</v>
      </c>
      <c r="D39" s="10" t="s">
        <v>21</v>
      </c>
      <c r="E39" s="10" t="s">
        <v>30</v>
      </c>
      <c r="F39" s="10" t="s">
        <v>54</v>
      </c>
      <c r="G39" s="10" t="s">
        <v>12</v>
      </c>
      <c r="H39" s="10" t="s">
        <v>43</v>
      </c>
      <c r="I39" s="45">
        <v>2270</v>
      </c>
      <c r="J39" s="11">
        <v>0</v>
      </c>
      <c r="K39" s="45">
        <f t="shared" si="1"/>
        <v>2270</v>
      </c>
      <c r="L39" s="10">
        <v>32</v>
      </c>
      <c r="M39" s="10">
        <v>3.4</v>
      </c>
      <c r="N39" s="10" t="b">
        <v>0</v>
      </c>
      <c r="O39" s="41"/>
      <c r="P39" s="45">
        <f t="shared" si="2"/>
        <v>953.4</v>
      </c>
      <c r="Q39" s="45">
        <f t="shared" si="3"/>
        <v>1316.6</v>
      </c>
      <c r="R39" s="45">
        <v>0</v>
      </c>
      <c r="S39" s="45">
        <f t="shared" si="4"/>
        <v>0</v>
      </c>
      <c r="T39" s="45">
        <f t="shared" si="5"/>
        <v>0</v>
      </c>
      <c r="U39" s="47">
        <f t="shared" si="6"/>
        <v>1316.6</v>
      </c>
    </row>
    <row r="40" spans="1:21" x14ac:dyDescent="0.3">
      <c r="A40" s="41" t="str">
        <f t="shared" si="0"/>
        <v>PZARSH</v>
      </c>
      <c r="B40" s="43">
        <v>45397</v>
      </c>
      <c r="C40" s="10" t="s">
        <v>79</v>
      </c>
      <c r="D40" s="10" t="s">
        <v>3</v>
      </c>
      <c r="E40" s="10" t="s">
        <v>18</v>
      </c>
      <c r="F40" s="10" t="s">
        <v>11</v>
      </c>
      <c r="G40" s="10" t="s">
        <v>46</v>
      </c>
      <c r="H40" s="10" t="s">
        <v>35</v>
      </c>
      <c r="I40" s="45">
        <v>3171</v>
      </c>
      <c r="J40" s="11">
        <v>0.14199999999999999</v>
      </c>
      <c r="K40" s="45">
        <f t="shared" si="1"/>
        <v>2720.7179999999998</v>
      </c>
      <c r="L40" s="10">
        <v>10</v>
      </c>
      <c r="M40" s="10"/>
      <c r="N40" s="10" t="b">
        <v>1</v>
      </c>
      <c r="O40" s="41" t="s">
        <v>80</v>
      </c>
      <c r="P40" s="45">
        <f t="shared" si="2"/>
        <v>1142.70156</v>
      </c>
      <c r="Q40" s="45">
        <f t="shared" si="3"/>
        <v>1578.0164399999999</v>
      </c>
      <c r="R40" s="45">
        <v>150</v>
      </c>
      <c r="S40" s="45">
        <f t="shared" si="4"/>
        <v>272.0718</v>
      </c>
      <c r="T40" s="45">
        <f t="shared" si="5"/>
        <v>2720.7179999999998</v>
      </c>
      <c r="U40" s="47">
        <f t="shared" si="6"/>
        <v>-1564.7733599999999</v>
      </c>
    </row>
    <row r="41" spans="1:21" x14ac:dyDescent="0.3">
      <c r="A41" s="41" t="str">
        <f t="shared" si="0"/>
        <v>PBANBO</v>
      </c>
      <c r="B41" s="43">
        <v>45398</v>
      </c>
      <c r="C41" s="10" t="s">
        <v>81</v>
      </c>
      <c r="D41" s="10" t="s">
        <v>21</v>
      </c>
      <c r="E41" s="10" t="s">
        <v>26</v>
      </c>
      <c r="F41" s="10" t="s">
        <v>11</v>
      </c>
      <c r="G41" s="10" t="s">
        <v>7</v>
      </c>
      <c r="H41" s="10" t="s">
        <v>58</v>
      </c>
      <c r="I41" s="45">
        <v>2061</v>
      </c>
      <c r="J41" s="11">
        <v>0</v>
      </c>
      <c r="K41" s="45">
        <f t="shared" si="1"/>
        <v>2061</v>
      </c>
      <c r="L41" s="10">
        <v>40</v>
      </c>
      <c r="M41" s="10"/>
      <c r="N41" s="10" t="b">
        <v>1</v>
      </c>
      <c r="O41" s="41" t="s">
        <v>33</v>
      </c>
      <c r="P41" s="45">
        <f t="shared" si="2"/>
        <v>865.62</v>
      </c>
      <c r="Q41" s="45">
        <f t="shared" si="3"/>
        <v>1195.3800000000001</v>
      </c>
      <c r="R41" s="45">
        <v>150</v>
      </c>
      <c r="S41" s="45">
        <f t="shared" si="4"/>
        <v>206.10000000000002</v>
      </c>
      <c r="T41" s="45">
        <f t="shared" si="5"/>
        <v>2061</v>
      </c>
      <c r="U41" s="47">
        <f t="shared" si="6"/>
        <v>-1221.7199999999998</v>
      </c>
    </row>
    <row r="42" spans="1:21" x14ac:dyDescent="0.3">
      <c r="A42" s="41" t="str">
        <f t="shared" si="0"/>
        <v>PUNITO</v>
      </c>
      <c r="B42" s="43">
        <v>45398</v>
      </c>
      <c r="C42" s="10" t="s">
        <v>82</v>
      </c>
      <c r="D42" s="10" t="s">
        <v>10</v>
      </c>
      <c r="E42" s="10" t="s">
        <v>9</v>
      </c>
      <c r="F42" s="10" t="s">
        <v>54</v>
      </c>
      <c r="G42" s="10" t="s">
        <v>27</v>
      </c>
      <c r="H42" s="10" t="s">
        <v>43</v>
      </c>
      <c r="I42" s="45">
        <v>1282</v>
      </c>
      <c r="J42" s="11">
        <v>0</v>
      </c>
      <c r="K42" s="45">
        <f t="shared" si="1"/>
        <v>1282</v>
      </c>
      <c r="L42" s="10">
        <v>6</v>
      </c>
      <c r="M42" s="10"/>
      <c r="N42" s="10" t="b">
        <v>1</v>
      </c>
      <c r="O42" s="41" t="s">
        <v>44</v>
      </c>
      <c r="P42" s="45">
        <f t="shared" si="2"/>
        <v>538.43999999999994</v>
      </c>
      <c r="Q42" s="45">
        <f t="shared" si="3"/>
        <v>743.56000000000006</v>
      </c>
      <c r="R42" s="45">
        <v>150</v>
      </c>
      <c r="S42" s="45">
        <f t="shared" si="4"/>
        <v>128.20000000000002</v>
      </c>
      <c r="T42" s="45">
        <f t="shared" si="5"/>
        <v>1282</v>
      </c>
      <c r="U42" s="47">
        <f t="shared" si="6"/>
        <v>-816.64</v>
      </c>
    </row>
    <row r="43" spans="1:21" x14ac:dyDescent="0.3">
      <c r="A43" s="41" t="str">
        <f t="shared" si="0"/>
        <v>PANNTO</v>
      </c>
      <c r="B43" s="43">
        <v>45398</v>
      </c>
      <c r="C43" s="10" t="s">
        <v>83</v>
      </c>
      <c r="D43" s="10" t="s">
        <v>42</v>
      </c>
      <c r="E43" s="10" t="s">
        <v>9</v>
      </c>
      <c r="F43" s="10" t="s">
        <v>54</v>
      </c>
      <c r="G43" s="10" t="s">
        <v>49</v>
      </c>
      <c r="H43" s="10" t="s">
        <v>35</v>
      </c>
      <c r="I43" s="45">
        <v>1717</v>
      </c>
      <c r="J43" s="11">
        <v>0</v>
      </c>
      <c r="K43" s="45">
        <f t="shared" si="1"/>
        <v>1717</v>
      </c>
      <c r="L43" s="10">
        <v>22</v>
      </c>
      <c r="M43" s="10">
        <v>4.3</v>
      </c>
      <c r="N43" s="10" t="b">
        <v>0</v>
      </c>
      <c r="O43" s="41"/>
      <c r="P43" s="45">
        <f t="shared" si="2"/>
        <v>721.14</v>
      </c>
      <c r="Q43" s="45">
        <f t="shared" si="3"/>
        <v>995.86</v>
      </c>
      <c r="R43" s="45">
        <v>0</v>
      </c>
      <c r="S43" s="45">
        <f t="shared" si="4"/>
        <v>0</v>
      </c>
      <c r="T43" s="45">
        <f t="shared" si="5"/>
        <v>0</v>
      </c>
      <c r="U43" s="47">
        <f t="shared" si="6"/>
        <v>995.86</v>
      </c>
    </row>
    <row r="44" spans="1:21" x14ac:dyDescent="0.3">
      <c r="A44" s="41" t="str">
        <f t="shared" si="0"/>
        <v>PZAROU</v>
      </c>
      <c r="B44" s="43">
        <v>45399</v>
      </c>
      <c r="C44" s="10" t="s">
        <v>84</v>
      </c>
      <c r="D44" s="10" t="s">
        <v>3</v>
      </c>
      <c r="E44" s="10" t="s">
        <v>2</v>
      </c>
      <c r="F44" s="10" t="s">
        <v>11</v>
      </c>
      <c r="G44" s="10" t="s">
        <v>46</v>
      </c>
      <c r="H44" s="10" t="s">
        <v>56</v>
      </c>
      <c r="I44" s="45">
        <v>3557</v>
      </c>
      <c r="J44" s="11">
        <v>0.51400000000000001</v>
      </c>
      <c r="K44" s="45">
        <f t="shared" si="1"/>
        <v>1728.702</v>
      </c>
      <c r="L44" s="10">
        <v>36</v>
      </c>
      <c r="M44" s="10">
        <v>4</v>
      </c>
      <c r="N44" s="10" t="b">
        <v>0</v>
      </c>
      <c r="O44" s="41"/>
      <c r="P44" s="45">
        <f t="shared" si="2"/>
        <v>726.05484000000001</v>
      </c>
      <c r="Q44" s="45">
        <f t="shared" si="3"/>
        <v>1002.64716</v>
      </c>
      <c r="R44" s="45">
        <v>0</v>
      </c>
      <c r="S44" s="45">
        <f t="shared" si="4"/>
        <v>0</v>
      </c>
      <c r="T44" s="45">
        <f t="shared" si="5"/>
        <v>0</v>
      </c>
      <c r="U44" s="47">
        <f t="shared" si="6"/>
        <v>1002.64716</v>
      </c>
    </row>
    <row r="45" spans="1:21" x14ac:dyDescent="0.3">
      <c r="A45" s="41" t="str">
        <f t="shared" si="0"/>
        <v>PZARSH</v>
      </c>
      <c r="B45" s="43">
        <v>45399</v>
      </c>
      <c r="C45" s="10" t="s">
        <v>85</v>
      </c>
      <c r="D45" s="10" t="s">
        <v>3</v>
      </c>
      <c r="E45" s="10" t="s">
        <v>18</v>
      </c>
      <c r="F45" s="10" t="s">
        <v>4</v>
      </c>
      <c r="G45" s="10" t="s">
        <v>5</v>
      </c>
      <c r="H45" s="10" t="s">
        <v>13</v>
      </c>
      <c r="I45" s="45">
        <v>3033</v>
      </c>
      <c r="J45" s="11">
        <v>0</v>
      </c>
      <c r="K45" s="45">
        <f t="shared" si="1"/>
        <v>3033</v>
      </c>
      <c r="L45" s="10">
        <v>36</v>
      </c>
      <c r="M45" s="10">
        <v>3.3</v>
      </c>
      <c r="N45" s="10" t="b">
        <v>1</v>
      </c>
      <c r="O45" s="41" t="s">
        <v>33</v>
      </c>
      <c r="P45" s="45">
        <f t="shared" si="2"/>
        <v>1273.8599999999999</v>
      </c>
      <c r="Q45" s="45">
        <f t="shared" si="3"/>
        <v>1759.14</v>
      </c>
      <c r="R45" s="45">
        <v>150</v>
      </c>
      <c r="S45" s="45">
        <f t="shared" si="4"/>
        <v>303.3</v>
      </c>
      <c r="T45" s="45">
        <f t="shared" si="5"/>
        <v>3033</v>
      </c>
      <c r="U45" s="47">
        <f t="shared" si="6"/>
        <v>-1727.1599999999999</v>
      </c>
    </row>
    <row r="46" spans="1:21" x14ac:dyDescent="0.3">
      <c r="A46" s="41" t="str">
        <f t="shared" si="0"/>
        <v>PBANTO</v>
      </c>
      <c r="B46" s="43">
        <v>45399</v>
      </c>
      <c r="C46" s="10" t="s">
        <v>86</v>
      </c>
      <c r="D46" s="10" t="s">
        <v>21</v>
      </c>
      <c r="E46" s="10" t="s">
        <v>9</v>
      </c>
      <c r="F46" s="10" t="s">
        <v>11</v>
      </c>
      <c r="G46" s="10" t="s">
        <v>38</v>
      </c>
      <c r="H46" s="10" t="s">
        <v>35</v>
      </c>
      <c r="I46" s="45">
        <v>959</v>
      </c>
      <c r="J46" s="11">
        <v>0</v>
      </c>
      <c r="K46" s="45">
        <f t="shared" si="1"/>
        <v>959</v>
      </c>
      <c r="L46" s="10">
        <v>11</v>
      </c>
      <c r="M46" s="10">
        <v>1.7</v>
      </c>
      <c r="N46" s="10" t="b">
        <v>0</v>
      </c>
      <c r="O46" s="41"/>
      <c r="P46" s="45">
        <f t="shared" si="2"/>
        <v>402.78</v>
      </c>
      <c r="Q46" s="45">
        <f t="shared" si="3"/>
        <v>556.22</v>
      </c>
      <c r="R46" s="45">
        <v>0</v>
      </c>
      <c r="S46" s="45">
        <f t="shared" si="4"/>
        <v>0</v>
      </c>
      <c r="T46" s="45">
        <f t="shared" si="5"/>
        <v>0</v>
      </c>
      <c r="U46" s="47">
        <f t="shared" si="6"/>
        <v>556.22</v>
      </c>
    </row>
    <row r="47" spans="1:21" x14ac:dyDescent="0.3">
      <c r="A47" s="41" t="str">
        <f t="shared" si="0"/>
        <v>PUNIDR</v>
      </c>
      <c r="B47" s="43">
        <v>45400</v>
      </c>
      <c r="C47" s="10" t="s">
        <v>87</v>
      </c>
      <c r="D47" s="10" t="s">
        <v>10</v>
      </c>
      <c r="E47" s="10" t="s">
        <v>30</v>
      </c>
      <c r="F47" s="10" t="s">
        <v>54</v>
      </c>
      <c r="G47" s="10" t="s">
        <v>5</v>
      </c>
      <c r="H47" s="10" t="s">
        <v>88</v>
      </c>
      <c r="I47" s="45">
        <v>2184</v>
      </c>
      <c r="J47" s="11">
        <v>0</v>
      </c>
      <c r="K47" s="45">
        <f t="shared" si="1"/>
        <v>2184</v>
      </c>
      <c r="L47" s="10">
        <v>33</v>
      </c>
      <c r="M47" s="10">
        <v>3.6</v>
      </c>
      <c r="N47" s="10" t="b">
        <v>0</v>
      </c>
      <c r="O47" s="41"/>
      <c r="P47" s="45">
        <f t="shared" si="2"/>
        <v>917.28</v>
      </c>
      <c r="Q47" s="45">
        <f t="shared" si="3"/>
        <v>1266.72</v>
      </c>
      <c r="R47" s="45">
        <v>0</v>
      </c>
      <c r="S47" s="45">
        <f t="shared" si="4"/>
        <v>0</v>
      </c>
      <c r="T47" s="45">
        <f t="shared" si="5"/>
        <v>0</v>
      </c>
      <c r="U47" s="47">
        <f t="shared" si="6"/>
        <v>1266.72</v>
      </c>
    </row>
    <row r="48" spans="1:21" x14ac:dyDescent="0.3">
      <c r="A48" s="41" t="str">
        <f t="shared" si="0"/>
        <v>PMANSH</v>
      </c>
      <c r="B48" s="43">
        <v>45400</v>
      </c>
      <c r="C48" s="10" t="s">
        <v>89</v>
      </c>
      <c r="D48" s="10" t="s">
        <v>31</v>
      </c>
      <c r="E48" s="10" t="s">
        <v>18</v>
      </c>
      <c r="F48" s="10" t="s">
        <v>54</v>
      </c>
      <c r="G48" s="10" t="s">
        <v>12</v>
      </c>
      <c r="H48" s="10" t="s">
        <v>13</v>
      </c>
      <c r="I48" s="45">
        <v>4084</v>
      </c>
      <c r="J48" s="11">
        <v>0.30299999999999999</v>
      </c>
      <c r="K48" s="45">
        <f t="shared" si="1"/>
        <v>2846.5480000000002</v>
      </c>
      <c r="L48" s="10">
        <v>13</v>
      </c>
      <c r="M48" s="10">
        <v>4.4000000000000004</v>
      </c>
      <c r="N48" s="10" t="b">
        <v>1</v>
      </c>
      <c r="O48" s="41" t="s">
        <v>44</v>
      </c>
      <c r="P48" s="45">
        <f t="shared" si="2"/>
        <v>1195.55016</v>
      </c>
      <c r="Q48" s="45">
        <f t="shared" si="3"/>
        <v>1650.9978400000002</v>
      </c>
      <c r="R48" s="45">
        <v>150</v>
      </c>
      <c r="S48" s="45">
        <f t="shared" si="4"/>
        <v>284.65480000000002</v>
      </c>
      <c r="T48" s="45">
        <f t="shared" si="5"/>
        <v>2846.5480000000002</v>
      </c>
      <c r="U48" s="47">
        <f t="shared" si="6"/>
        <v>-1630.20496</v>
      </c>
    </row>
    <row r="49" spans="1:21" x14ac:dyDescent="0.3">
      <c r="A49" s="41" t="str">
        <f t="shared" si="0"/>
        <v>PANNAC</v>
      </c>
      <c r="B49" s="43">
        <v>45400</v>
      </c>
      <c r="C49" s="10" t="s">
        <v>90</v>
      </c>
      <c r="D49" s="10" t="s">
        <v>42</v>
      </c>
      <c r="E49" s="10" t="s">
        <v>15</v>
      </c>
      <c r="F49" s="10" t="s">
        <v>11</v>
      </c>
      <c r="G49" s="10" t="s">
        <v>7</v>
      </c>
      <c r="H49" s="10" t="s">
        <v>35</v>
      </c>
      <c r="I49" s="45">
        <v>185</v>
      </c>
      <c r="J49" s="11">
        <v>0.53900000000000003</v>
      </c>
      <c r="K49" s="45">
        <f t="shared" si="1"/>
        <v>85.284999999999997</v>
      </c>
      <c r="L49" s="10">
        <v>42</v>
      </c>
      <c r="M49" s="10">
        <v>2.4</v>
      </c>
      <c r="N49" s="10" t="b">
        <v>0</v>
      </c>
      <c r="O49" s="41"/>
      <c r="P49" s="45">
        <f t="shared" si="2"/>
        <v>35.819699999999997</v>
      </c>
      <c r="Q49" s="45">
        <f t="shared" si="3"/>
        <v>49.465299999999999</v>
      </c>
      <c r="R49" s="45">
        <v>0</v>
      </c>
      <c r="S49" s="45">
        <f t="shared" si="4"/>
        <v>0</v>
      </c>
      <c r="T49" s="45">
        <f t="shared" si="5"/>
        <v>0</v>
      </c>
      <c r="U49" s="47">
        <f t="shared" si="6"/>
        <v>49.465299999999999</v>
      </c>
    </row>
    <row r="50" spans="1:21" x14ac:dyDescent="0.3">
      <c r="A50" s="41" t="str">
        <f t="shared" si="0"/>
        <v>PFORBO</v>
      </c>
      <c r="B50" s="43">
        <v>45400</v>
      </c>
      <c r="C50" s="10" t="s">
        <v>91</v>
      </c>
      <c r="D50" s="10" t="s">
        <v>65</v>
      </c>
      <c r="E50" s="10" t="s">
        <v>26</v>
      </c>
      <c r="F50" s="10" t="s">
        <v>54</v>
      </c>
      <c r="G50" s="10" t="s">
        <v>7</v>
      </c>
      <c r="H50" s="10" t="s">
        <v>43</v>
      </c>
      <c r="I50" s="45">
        <v>2549</v>
      </c>
      <c r="J50" s="11">
        <v>0</v>
      </c>
      <c r="K50" s="45">
        <f t="shared" si="1"/>
        <v>2549</v>
      </c>
      <c r="L50" s="10">
        <v>7</v>
      </c>
      <c r="M50" s="10">
        <v>2.8</v>
      </c>
      <c r="N50" s="10" t="b">
        <v>0</v>
      </c>
      <c r="O50" s="41"/>
      <c r="P50" s="45">
        <f t="shared" si="2"/>
        <v>1070.58</v>
      </c>
      <c r="Q50" s="45">
        <f t="shared" si="3"/>
        <v>1478.42</v>
      </c>
      <c r="R50" s="45">
        <v>0</v>
      </c>
      <c r="S50" s="45">
        <f t="shared" si="4"/>
        <v>0</v>
      </c>
      <c r="T50" s="45">
        <f t="shared" si="5"/>
        <v>0</v>
      </c>
      <c r="U50" s="47">
        <f t="shared" si="6"/>
        <v>1478.42</v>
      </c>
    </row>
    <row r="51" spans="1:21" x14ac:dyDescent="0.3">
      <c r="A51" s="41" t="str">
        <f t="shared" si="0"/>
        <v>PBANAC</v>
      </c>
      <c r="B51" s="43">
        <v>45400</v>
      </c>
      <c r="C51" s="10" t="s">
        <v>92</v>
      </c>
      <c r="D51" s="10" t="s">
        <v>21</v>
      </c>
      <c r="E51" s="10" t="s">
        <v>15</v>
      </c>
      <c r="F51" s="10" t="s">
        <v>54</v>
      </c>
      <c r="G51" s="10" t="s">
        <v>7</v>
      </c>
      <c r="H51" s="10" t="s">
        <v>88</v>
      </c>
      <c r="I51" s="45">
        <v>459</v>
      </c>
      <c r="J51" s="11">
        <v>0.55899999999999994</v>
      </c>
      <c r="K51" s="45">
        <f t="shared" si="1"/>
        <v>202.41900000000004</v>
      </c>
      <c r="L51" s="10">
        <v>43</v>
      </c>
      <c r="M51" s="10"/>
      <c r="N51" s="10" t="b">
        <v>0</v>
      </c>
      <c r="O51" s="41"/>
      <c r="P51" s="45">
        <f t="shared" si="2"/>
        <v>85.015980000000013</v>
      </c>
      <c r="Q51" s="45">
        <f t="shared" si="3"/>
        <v>117.40302000000003</v>
      </c>
      <c r="R51" s="45">
        <v>0</v>
      </c>
      <c r="S51" s="45">
        <f t="shared" si="4"/>
        <v>0</v>
      </c>
      <c r="T51" s="45">
        <f t="shared" si="5"/>
        <v>0</v>
      </c>
      <c r="U51" s="47">
        <f t="shared" si="6"/>
        <v>117.40302000000003</v>
      </c>
    </row>
    <row r="52" spans="1:21" x14ac:dyDescent="0.3">
      <c r="A52" s="41" t="str">
        <f t="shared" si="0"/>
        <v>PH&amp;MBO</v>
      </c>
      <c r="B52" s="43">
        <v>45401</v>
      </c>
      <c r="C52" s="10" t="s">
        <v>93</v>
      </c>
      <c r="D52" s="10" t="s">
        <v>37</v>
      </c>
      <c r="E52" s="10" t="s">
        <v>26</v>
      </c>
      <c r="F52" s="10" t="s">
        <v>23</v>
      </c>
      <c r="G52" s="10" t="s">
        <v>49</v>
      </c>
      <c r="H52" s="10" t="s">
        <v>47</v>
      </c>
      <c r="I52" s="45">
        <v>2422</v>
      </c>
      <c r="J52" s="11">
        <v>0</v>
      </c>
      <c r="K52" s="45">
        <f t="shared" si="1"/>
        <v>2422</v>
      </c>
      <c r="L52" s="10">
        <v>3</v>
      </c>
      <c r="M52" s="10">
        <v>1.8</v>
      </c>
      <c r="N52" s="10" t="b">
        <v>1</v>
      </c>
      <c r="O52" s="41" t="s">
        <v>19</v>
      </c>
      <c r="P52" s="45">
        <f t="shared" si="2"/>
        <v>1017.24</v>
      </c>
      <c r="Q52" s="45">
        <f t="shared" si="3"/>
        <v>1404.76</v>
      </c>
      <c r="R52" s="45">
        <v>150</v>
      </c>
      <c r="S52" s="45">
        <f t="shared" si="4"/>
        <v>242.20000000000002</v>
      </c>
      <c r="T52" s="45">
        <f t="shared" si="5"/>
        <v>2422</v>
      </c>
      <c r="U52" s="47">
        <f t="shared" si="6"/>
        <v>-1409.44</v>
      </c>
    </row>
    <row r="53" spans="1:21" x14ac:dyDescent="0.3">
      <c r="A53" s="41" t="str">
        <f t="shared" si="0"/>
        <v>PFOROU</v>
      </c>
      <c r="B53" s="43">
        <v>45401</v>
      </c>
      <c r="C53" s="10" t="s">
        <v>94</v>
      </c>
      <c r="D53" s="10" t="s">
        <v>65</v>
      </c>
      <c r="E53" s="10" t="s">
        <v>2</v>
      </c>
      <c r="F53" s="10" t="s">
        <v>4</v>
      </c>
      <c r="G53" s="10" t="s">
        <v>27</v>
      </c>
      <c r="H53" s="10" t="s">
        <v>43</v>
      </c>
      <c r="I53" s="45">
        <v>4163</v>
      </c>
      <c r="J53" s="11">
        <v>0</v>
      </c>
      <c r="K53" s="45">
        <f t="shared" si="1"/>
        <v>4163</v>
      </c>
      <c r="L53" s="10">
        <v>50</v>
      </c>
      <c r="M53" s="10">
        <v>4.5</v>
      </c>
      <c r="N53" s="10" t="b">
        <v>0</v>
      </c>
      <c r="O53" s="41"/>
      <c r="P53" s="45">
        <f t="shared" si="2"/>
        <v>1748.46</v>
      </c>
      <c r="Q53" s="45">
        <f t="shared" si="3"/>
        <v>2414.54</v>
      </c>
      <c r="R53" s="45">
        <v>0</v>
      </c>
      <c r="S53" s="45">
        <f t="shared" si="4"/>
        <v>0</v>
      </c>
      <c r="T53" s="45">
        <f t="shared" si="5"/>
        <v>0</v>
      </c>
      <c r="U53" s="47">
        <f t="shared" si="6"/>
        <v>2414.54</v>
      </c>
    </row>
    <row r="54" spans="1:21" x14ac:dyDescent="0.3">
      <c r="A54" s="41" t="str">
        <f t="shared" si="0"/>
        <v>PGAPSH</v>
      </c>
      <c r="B54" s="43">
        <v>45402</v>
      </c>
      <c r="C54" s="10" t="s">
        <v>95</v>
      </c>
      <c r="D54" s="10" t="s">
        <v>53</v>
      </c>
      <c r="E54" s="10" t="s">
        <v>18</v>
      </c>
      <c r="F54" s="10" t="s">
        <v>54</v>
      </c>
      <c r="G54" s="10" t="s">
        <v>27</v>
      </c>
      <c r="H54" s="10" t="s">
        <v>56</v>
      </c>
      <c r="I54" s="45">
        <v>4440</v>
      </c>
      <c r="J54" s="11">
        <v>0.57100000000000006</v>
      </c>
      <c r="K54" s="45">
        <f t="shared" si="1"/>
        <v>1904.7599999999998</v>
      </c>
      <c r="L54" s="10">
        <v>14</v>
      </c>
      <c r="M54" s="10">
        <v>1.8</v>
      </c>
      <c r="N54" s="10" t="b">
        <v>1</v>
      </c>
      <c r="O54" s="41" t="s">
        <v>44</v>
      </c>
      <c r="P54" s="45">
        <f t="shared" si="2"/>
        <v>799.99919999999986</v>
      </c>
      <c r="Q54" s="45">
        <f t="shared" si="3"/>
        <v>1104.7608</v>
      </c>
      <c r="R54" s="45">
        <v>150</v>
      </c>
      <c r="S54" s="45">
        <f t="shared" si="4"/>
        <v>190.476</v>
      </c>
      <c r="T54" s="45">
        <f t="shared" si="5"/>
        <v>1904.7599999999998</v>
      </c>
      <c r="U54" s="47">
        <f t="shared" si="6"/>
        <v>-1140.4751999999999</v>
      </c>
    </row>
    <row r="55" spans="1:21" x14ac:dyDescent="0.3">
      <c r="A55" s="41" t="str">
        <f t="shared" si="0"/>
        <v>PZAROU</v>
      </c>
      <c r="B55" s="43">
        <v>45402</v>
      </c>
      <c r="C55" s="10" t="s">
        <v>96</v>
      </c>
      <c r="D55" s="10" t="s">
        <v>3</v>
      </c>
      <c r="E55" s="10" t="s">
        <v>2</v>
      </c>
      <c r="F55" s="10" t="s">
        <v>4</v>
      </c>
      <c r="G55" s="10" t="s">
        <v>27</v>
      </c>
      <c r="H55" s="10" t="s">
        <v>43</v>
      </c>
      <c r="I55" s="45">
        <v>3896</v>
      </c>
      <c r="J55" s="11">
        <v>0</v>
      </c>
      <c r="K55" s="45">
        <f t="shared" si="1"/>
        <v>3896</v>
      </c>
      <c r="L55" s="10">
        <v>21</v>
      </c>
      <c r="M55" s="10">
        <v>4.2</v>
      </c>
      <c r="N55" s="10" t="b">
        <v>1</v>
      </c>
      <c r="O55" s="41" t="s">
        <v>33</v>
      </c>
      <c r="P55" s="45">
        <f t="shared" si="2"/>
        <v>1636.32</v>
      </c>
      <c r="Q55" s="45">
        <f t="shared" si="3"/>
        <v>2259.6800000000003</v>
      </c>
      <c r="R55" s="45">
        <v>150</v>
      </c>
      <c r="S55" s="45">
        <f t="shared" si="4"/>
        <v>389.6</v>
      </c>
      <c r="T55" s="45">
        <f t="shared" si="5"/>
        <v>3896</v>
      </c>
      <c r="U55" s="47">
        <f t="shared" si="6"/>
        <v>-2175.9199999999996</v>
      </c>
    </row>
    <row r="56" spans="1:21" x14ac:dyDescent="0.3">
      <c r="A56" s="41" t="str">
        <f t="shared" si="0"/>
        <v>PBANAC</v>
      </c>
      <c r="B56" s="43">
        <v>45403</v>
      </c>
      <c r="C56" s="10" t="s">
        <v>97</v>
      </c>
      <c r="D56" s="10" t="s">
        <v>21</v>
      </c>
      <c r="E56" s="10" t="s">
        <v>15</v>
      </c>
      <c r="F56" s="10" t="s">
        <v>23</v>
      </c>
      <c r="G56" s="10" t="s">
        <v>7</v>
      </c>
      <c r="H56" s="10" t="s">
        <v>16</v>
      </c>
      <c r="I56" s="45">
        <v>155</v>
      </c>
      <c r="J56" s="11">
        <v>0.50900000000000001</v>
      </c>
      <c r="K56" s="45">
        <f t="shared" si="1"/>
        <v>76.105000000000004</v>
      </c>
      <c r="L56" s="10">
        <v>21</v>
      </c>
      <c r="M56" s="10">
        <v>3</v>
      </c>
      <c r="N56" s="10" t="b">
        <v>0</v>
      </c>
      <c r="O56" s="41"/>
      <c r="P56" s="45">
        <f t="shared" si="2"/>
        <v>31.964100000000002</v>
      </c>
      <c r="Q56" s="45">
        <f t="shared" si="3"/>
        <v>44.140900000000002</v>
      </c>
      <c r="R56" s="45">
        <v>0</v>
      </c>
      <c r="S56" s="45">
        <f t="shared" si="4"/>
        <v>0</v>
      </c>
      <c r="T56" s="45">
        <f t="shared" si="5"/>
        <v>0</v>
      </c>
      <c r="U56" s="47">
        <f t="shared" si="6"/>
        <v>44.140900000000002</v>
      </c>
    </row>
    <row r="57" spans="1:21" x14ac:dyDescent="0.3">
      <c r="A57" s="41" t="str">
        <f t="shared" si="0"/>
        <v>PGAPOU</v>
      </c>
      <c r="B57" s="43">
        <v>45403</v>
      </c>
      <c r="C57" s="10" t="s">
        <v>98</v>
      </c>
      <c r="D57" s="10" t="s">
        <v>53</v>
      </c>
      <c r="E57" s="10" t="s">
        <v>2</v>
      </c>
      <c r="F57" s="10" t="s">
        <v>54</v>
      </c>
      <c r="G57" s="10" t="s">
        <v>27</v>
      </c>
      <c r="H57" s="10" t="s">
        <v>7</v>
      </c>
      <c r="I57" s="45">
        <v>4127</v>
      </c>
      <c r="J57" s="11">
        <v>0.152</v>
      </c>
      <c r="K57" s="45">
        <f t="shared" si="1"/>
        <v>3499.6959999999999</v>
      </c>
      <c r="L57" s="10">
        <v>42</v>
      </c>
      <c r="M57" s="10"/>
      <c r="N57" s="10" t="b">
        <v>1</v>
      </c>
      <c r="O57" s="41" t="s">
        <v>50</v>
      </c>
      <c r="P57" s="45">
        <f t="shared" si="2"/>
        <v>1469.8723199999999</v>
      </c>
      <c r="Q57" s="45">
        <f t="shared" si="3"/>
        <v>2029.82368</v>
      </c>
      <c r="R57" s="45">
        <v>150</v>
      </c>
      <c r="S57" s="45">
        <f t="shared" si="4"/>
        <v>349.96960000000001</v>
      </c>
      <c r="T57" s="45">
        <f t="shared" si="5"/>
        <v>3499.6959999999999</v>
      </c>
      <c r="U57" s="47">
        <f t="shared" si="6"/>
        <v>-1969.8419199999998</v>
      </c>
    </row>
    <row r="58" spans="1:21" x14ac:dyDescent="0.3">
      <c r="A58" s="41" t="str">
        <f t="shared" si="0"/>
        <v>PH&amp;MTO</v>
      </c>
      <c r="B58" s="43">
        <v>45403</v>
      </c>
      <c r="C58" s="10" t="s">
        <v>99</v>
      </c>
      <c r="D58" s="10" t="s">
        <v>37</v>
      </c>
      <c r="E58" s="10" t="s">
        <v>9</v>
      </c>
      <c r="F58" s="10" t="s">
        <v>4</v>
      </c>
      <c r="G58" s="10" t="s">
        <v>27</v>
      </c>
      <c r="H58" s="10" t="s">
        <v>47</v>
      </c>
      <c r="I58" s="45">
        <v>1510</v>
      </c>
      <c r="J58" s="11">
        <v>0</v>
      </c>
      <c r="K58" s="45">
        <f t="shared" si="1"/>
        <v>1510</v>
      </c>
      <c r="L58" s="10">
        <v>35</v>
      </c>
      <c r="M58" s="10">
        <v>3.9</v>
      </c>
      <c r="N58" s="10" t="b">
        <v>0</v>
      </c>
      <c r="O58" s="41"/>
      <c r="P58" s="45">
        <f t="shared" si="2"/>
        <v>634.19999999999993</v>
      </c>
      <c r="Q58" s="45">
        <f t="shared" si="3"/>
        <v>875.80000000000007</v>
      </c>
      <c r="R58" s="45">
        <v>0</v>
      </c>
      <c r="S58" s="45">
        <f t="shared" si="4"/>
        <v>0</v>
      </c>
      <c r="T58" s="45">
        <f t="shared" si="5"/>
        <v>0</v>
      </c>
      <c r="U58" s="47">
        <f t="shared" si="6"/>
        <v>875.80000000000007</v>
      </c>
    </row>
    <row r="59" spans="1:21" x14ac:dyDescent="0.3">
      <c r="A59" s="41" t="str">
        <f t="shared" si="0"/>
        <v>PZARBO</v>
      </c>
      <c r="B59" s="43">
        <v>45403</v>
      </c>
      <c r="C59" s="10" t="s">
        <v>100</v>
      </c>
      <c r="D59" s="10" t="s">
        <v>3</v>
      </c>
      <c r="E59" s="10" t="s">
        <v>26</v>
      </c>
      <c r="F59" s="10" t="s">
        <v>4</v>
      </c>
      <c r="G59" s="10" t="s">
        <v>5</v>
      </c>
      <c r="H59" s="10" t="s">
        <v>88</v>
      </c>
      <c r="I59" s="45">
        <v>2025</v>
      </c>
      <c r="J59" s="11">
        <v>0.26300000000000001</v>
      </c>
      <c r="K59" s="45">
        <f t="shared" si="1"/>
        <v>1492.425</v>
      </c>
      <c r="L59" s="10">
        <v>19</v>
      </c>
      <c r="M59" s="10">
        <v>2.2999999999999998</v>
      </c>
      <c r="N59" s="10" t="b">
        <v>0</v>
      </c>
      <c r="O59" s="41"/>
      <c r="P59" s="45">
        <f t="shared" si="2"/>
        <v>626.81849999999997</v>
      </c>
      <c r="Q59" s="45">
        <f t="shared" si="3"/>
        <v>865.60649999999998</v>
      </c>
      <c r="R59" s="45">
        <v>0</v>
      </c>
      <c r="S59" s="45">
        <f t="shared" si="4"/>
        <v>0</v>
      </c>
      <c r="T59" s="45">
        <f t="shared" si="5"/>
        <v>0</v>
      </c>
      <c r="U59" s="47">
        <f t="shared" si="6"/>
        <v>865.60649999999998</v>
      </c>
    </row>
    <row r="60" spans="1:21" x14ac:dyDescent="0.3">
      <c r="A60" s="41" t="str">
        <f t="shared" si="0"/>
        <v>PMANTO</v>
      </c>
      <c r="B60" s="43">
        <v>45404</v>
      </c>
      <c r="C60" s="10" t="s">
        <v>101</v>
      </c>
      <c r="D60" s="10" t="s">
        <v>31</v>
      </c>
      <c r="E60" s="10" t="s">
        <v>9</v>
      </c>
      <c r="F60" s="10" t="s">
        <v>54</v>
      </c>
      <c r="G60" s="10" t="s">
        <v>46</v>
      </c>
      <c r="H60" s="10" t="s">
        <v>16</v>
      </c>
      <c r="I60" s="45">
        <v>1509</v>
      </c>
      <c r="J60" s="11">
        <v>0</v>
      </c>
      <c r="K60" s="45">
        <f t="shared" si="1"/>
        <v>1509</v>
      </c>
      <c r="L60" s="10">
        <v>39</v>
      </c>
      <c r="M60" s="10">
        <v>1.4</v>
      </c>
      <c r="N60" s="10" t="b">
        <v>0</v>
      </c>
      <c r="O60" s="41"/>
      <c r="P60" s="45">
        <f t="shared" si="2"/>
        <v>633.78</v>
      </c>
      <c r="Q60" s="45">
        <f t="shared" si="3"/>
        <v>875.22</v>
      </c>
      <c r="R60" s="45">
        <v>0</v>
      </c>
      <c r="S60" s="45">
        <f t="shared" si="4"/>
        <v>0</v>
      </c>
      <c r="T60" s="45">
        <f t="shared" si="5"/>
        <v>0</v>
      </c>
      <c r="U60" s="47">
        <f t="shared" si="6"/>
        <v>875.22</v>
      </c>
    </row>
    <row r="61" spans="1:21" x14ac:dyDescent="0.3">
      <c r="A61" s="41" t="str">
        <f t="shared" si="0"/>
        <v>PMANSH</v>
      </c>
      <c r="B61" s="43">
        <v>45404</v>
      </c>
      <c r="C61" s="10" t="s">
        <v>102</v>
      </c>
      <c r="D61" s="10" t="s">
        <v>31</v>
      </c>
      <c r="E61" s="10" t="s">
        <v>18</v>
      </c>
      <c r="F61" s="10" t="s">
        <v>11</v>
      </c>
      <c r="G61" s="10" t="s">
        <v>38</v>
      </c>
      <c r="H61" s="10" t="s">
        <v>32</v>
      </c>
      <c r="I61" s="45">
        <v>4152</v>
      </c>
      <c r="J61" s="11">
        <v>2.6000000000000002E-2</v>
      </c>
      <c r="K61" s="45">
        <f t="shared" si="1"/>
        <v>4044.0479999999998</v>
      </c>
      <c r="L61" s="10">
        <v>27</v>
      </c>
      <c r="M61" s="10"/>
      <c r="N61" s="10" t="b">
        <v>1</v>
      </c>
      <c r="O61" s="41" t="s">
        <v>44</v>
      </c>
      <c r="P61" s="45">
        <f t="shared" si="2"/>
        <v>1698.5001599999998</v>
      </c>
      <c r="Q61" s="45">
        <f t="shared" si="3"/>
        <v>2345.5478400000002</v>
      </c>
      <c r="R61" s="45">
        <v>150</v>
      </c>
      <c r="S61" s="45">
        <f t="shared" si="4"/>
        <v>404.40480000000002</v>
      </c>
      <c r="T61" s="45">
        <f t="shared" si="5"/>
        <v>4044.0479999999998</v>
      </c>
      <c r="U61" s="47">
        <f t="shared" si="6"/>
        <v>-2252.9049599999998</v>
      </c>
    </row>
    <row r="62" spans="1:21" x14ac:dyDescent="0.3">
      <c r="A62" s="41" t="str">
        <f t="shared" si="0"/>
        <v>PANNSH</v>
      </c>
      <c r="B62" s="43">
        <v>45404</v>
      </c>
      <c r="C62" s="10" t="s">
        <v>103</v>
      </c>
      <c r="D62" s="10" t="s">
        <v>42</v>
      </c>
      <c r="E62" s="10" t="s">
        <v>18</v>
      </c>
      <c r="F62" s="10" t="s">
        <v>54</v>
      </c>
      <c r="G62" s="10" t="s">
        <v>49</v>
      </c>
      <c r="H62" s="10" t="s">
        <v>43</v>
      </c>
      <c r="I62" s="45">
        <v>3930</v>
      </c>
      <c r="J62" s="11">
        <v>6.6000000000000003E-2</v>
      </c>
      <c r="K62" s="45">
        <f t="shared" si="1"/>
        <v>3670.62</v>
      </c>
      <c r="L62" s="10">
        <v>15</v>
      </c>
      <c r="M62" s="10">
        <v>4</v>
      </c>
      <c r="N62" s="10" t="b">
        <v>0</v>
      </c>
      <c r="O62" s="41"/>
      <c r="P62" s="45">
        <f t="shared" si="2"/>
        <v>1541.6604</v>
      </c>
      <c r="Q62" s="45">
        <f t="shared" si="3"/>
        <v>2128.9596000000001</v>
      </c>
      <c r="R62" s="45">
        <v>0</v>
      </c>
      <c r="S62" s="45">
        <f t="shared" si="4"/>
        <v>0</v>
      </c>
      <c r="T62" s="45">
        <f t="shared" si="5"/>
        <v>0</v>
      </c>
      <c r="U62" s="47">
        <f t="shared" si="6"/>
        <v>2128.9596000000001</v>
      </c>
    </row>
    <row r="63" spans="1:21" x14ac:dyDescent="0.3">
      <c r="A63" s="41" t="str">
        <f t="shared" si="0"/>
        <v>PGAPOU</v>
      </c>
      <c r="B63" s="43">
        <v>45405</v>
      </c>
      <c r="C63" s="10" t="s">
        <v>104</v>
      </c>
      <c r="D63" s="10" t="s">
        <v>53</v>
      </c>
      <c r="E63" s="10" t="s">
        <v>2</v>
      </c>
      <c r="F63" s="10" t="s">
        <v>23</v>
      </c>
      <c r="G63" s="10" t="s">
        <v>49</v>
      </c>
      <c r="H63" s="10" t="s">
        <v>58</v>
      </c>
      <c r="I63" s="45">
        <v>3798</v>
      </c>
      <c r="J63" s="11">
        <v>0</v>
      </c>
      <c r="K63" s="45">
        <f t="shared" si="1"/>
        <v>3798</v>
      </c>
      <c r="L63" s="10">
        <v>33</v>
      </c>
      <c r="M63" s="10">
        <v>4.4000000000000004</v>
      </c>
      <c r="N63" s="10" t="b">
        <v>0</v>
      </c>
      <c r="O63" s="41"/>
      <c r="P63" s="45">
        <f t="shared" si="2"/>
        <v>1595.1599999999999</v>
      </c>
      <c r="Q63" s="45">
        <f t="shared" si="3"/>
        <v>2202.84</v>
      </c>
      <c r="R63" s="45">
        <v>0</v>
      </c>
      <c r="S63" s="45">
        <f t="shared" si="4"/>
        <v>0</v>
      </c>
      <c r="T63" s="45">
        <f t="shared" si="5"/>
        <v>0</v>
      </c>
      <c r="U63" s="47">
        <f t="shared" si="6"/>
        <v>2202.84</v>
      </c>
    </row>
    <row r="64" spans="1:21" x14ac:dyDescent="0.3">
      <c r="A64" s="41" t="str">
        <f t="shared" si="0"/>
        <v>PFORAC</v>
      </c>
      <c r="B64" s="43">
        <v>45405</v>
      </c>
      <c r="C64" s="10" t="s">
        <v>105</v>
      </c>
      <c r="D64" s="10" t="s">
        <v>65</v>
      </c>
      <c r="E64" s="10" t="s">
        <v>15</v>
      </c>
      <c r="F64" s="10" t="s">
        <v>11</v>
      </c>
      <c r="G64" s="10" t="s">
        <v>7</v>
      </c>
      <c r="H64" s="10" t="s">
        <v>7</v>
      </c>
      <c r="I64" s="45">
        <v>256</v>
      </c>
      <c r="J64" s="11">
        <v>1.1000000000000001E-2</v>
      </c>
      <c r="K64" s="45">
        <f t="shared" si="1"/>
        <v>253.184</v>
      </c>
      <c r="L64" s="10">
        <v>30</v>
      </c>
      <c r="M64" s="10">
        <v>1.9</v>
      </c>
      <c r="N64" s="10" t="b">
        <v>0</v>
      </c>
      <c r="O64" s="41"/>
      <c r="P64" s="45">
        <f t="shared" si="2"/>
        <v>106.33727999999999</v>
      </c>
      <c r="Q64" s="45">
        <f t="shared" si="3"/>
        <v>146.84672</v>
      </c>
      <c r="R64" s="45">
        <v>0</v>
      </c>
      <c r="S64" s="45">
        <f t="shared" si="4"/>
        <v>0</v>
      </c>
      <c r="T64" s="45">
        <f t="shared" si="5"/>
        <v>0</v>
      </c>
      <c r="U64" s="47">
        <f t="shared" si="6"/>
        <v>146.84672</v>
      </c>
    </row>
    <row r="65" spans="1:21" x14ac:dyDescent="0.3">
      <c r="A65" s="41" t="str">
        <f t="shared" si="0"/>
        <v>PH&amp;MSH</v>
      </c>
      <c r="B65" s="43">
        <v>45406</v>
      </c>
      <c r="C65" s="10" t="s">
        <v>106</v>
      </c>
      <c r="D65" s="10" t="s">
        <v>37</v>
      </c>
      <c r="E65" s="10" t="s">
        <v>18</v>
      </c>
      <c r="F65" s="10" t="s">
        <v>54</v>
      </c>
      <c r="G65" s="10" t="s">
        <v>7</v>
      </c>
      <c r="H65" s="10" t="s">
        <v>35</v>
      </c>
      <c r="I65" s="45">
        <v>4457</v>
      </c>
      <c r="J65" s="11">
        <v>0.18</v>
      </c>
      <c r="K65" s="45">
        <f t="shared" si="1"/>
        <v>3654.7400000000002</v>
      </c>
      <c r="L65" s="10">
        <v>11</v>
      </c>
      <c r="M65" s="10">
        <v>4.5</v>
      </c>
      <c r="N65" s="10" t="b">
        <v>1</v>
      </c>
      <c r="O65" s="41" t="s">
        <v>33</v>
      </c>
      <c r="P65" s="45">
        <f t="shared" si="2"/>
        <v>1534.9908</v>
      </c>
      <c r="Q65" s="45">
        <f t="shared" si="3"/>
        <v>2119.7492000000002</v>
      </c>
      <c r="R65" s="45">
        <v>150</v>
      </c>
      <c r="S65" s="45">
        <f t="shared" si="4"/>
        <v>365.47400000000005</v>
      </c>
      <c r="T65" s="45">
        <f t="shared" si="5"/>
        <v>3654.7400000000002</v>
      </c>
      <c r="U65" s="47">
        <f t="shared" si="6"/>
        <v>-2050.4648000000002</v>
      </c>
    </row>
    <row r="66" spans="1:21" x14ac:dyDescent="0.3">
      <c r="A66" s="41" t="str">
        <f t="shared" ref="A66:A129" si="7">UPPER("P"&amp;LEFT(D66,3)&amp;LEFT(E66,2))</f>
        <v>PZARTO</v>
      </c>
      <c r="B66" s="43">
        <v>45406</v>
      </c>
      <c r="C66" s="10" t="s">
        <v>107</v>
      </c>
      <c r="D66" s="10" t="s">
        <v>3</v>
      </c>
      <c r="E66" s="10" t="s">
        <v>9</v>
      </c>
      <c r="F66" s="10" t="s">
        <v>11</v>
      </c>
      <c r="G66" s="10" t="s">
        <v>46</v>
      </c>
      <c r="H66" s="10" t="s">
        <v>28</v>
      </c>
      <c r="I66" s="45">
        <v>1410</v>
      </c>
      <c r="J66" s="11">
        <v>2.4E-2</v>
      </c>
      <c r="K66" s="45">
        <f t="shared" si="1"/>
        <v>1376.16</v>
      </c>
      <c r="L66" s="10">
        <v>20</v>
      </c>
      <c r="M66" s="10">
        <v>4.2</v>
      </c>
      <c r="N66" s="10" t="b">
        <v>0</v>
      </c>
      <c r="O66" s="41"/>
      <c r="P66" s="45">
        <f t="shared" si="2"/>
        <v>577.98720000000003</v>
      </c>
      <c r="Q66" s="45">
        <f t="shared" si="3"/>
        <v>798.17280000000005</v>
      </c>
      <c r="R66" s="45">
        <v>0</v>
      </c>
      <c r="S66" s="45">
        <f t="shared" si="4"/>
        <v>0</v>
      </c>
      <c r="T66" s="45">
        <f t="shared" si="5"/>
        <v>0</v>
      </c>
      <c r="U66" s="47">
        <f t="shared" si="6"/>
        <v>798.17280000000005</v>
      </c>
    </row>
    <row r="67" spans="1:21" x14ac:dyDescent="0.3">
      <c r="A67" s="41" t="str">
        <f t="shared" si="7"/>
        <v>PMANBO</v>
      </c>
      <c r="B67" s="43">
        <v>45406</v>
      </c>
      <c r="C67" s="10" t="s">
        <v>108</v>
      </c>
      <c r="D67" s="10" t="s">
        <v>31</v>
      </c>
      <c r="E67" s="10" t="s">
        <v>26</v>
      </c>
      <c r="F67" s="10" t="s">
        <v>4</v>
      </c>
      <c r="G67" s="10" t="s">
        <v>46</v>
      </c>
      <c r="H67" s="10" t="s">
        <v>43</v>
      </c>
      <c r="I67" s="45">
        <v>2727</v>
      </c>
      <c r="J67" s="11">
        <v>0.217</v>
      </c>
      <c r="K67" s="45">
        <f t="shared" ref="K67:K130" si="8">I67*(1-J67)</f>
        <v>2135.241</v>
      </c>
      <c r="L67" s="10">
        <v>21</v>
      </c>
      <c r="M67" s="10">
        <v>3.6</v>
      </c>
      <c r="N67" s="10" t="b">
        <v>0</v>
      </c>
      <c r="O67" s="41"/>
      <c r="P67" s="45">
        <f t="shared" ref="P67:P130" si="9">K67*0.42</f>
        <v>896.80121999999994</v>
      </c>
      <c r="Q67" s="45">
        <f t="shared" ref="Q67:Q130" si="10">K67-P67</f>
        <v>1238.4397800000002</v>
      </c>
      <c r="R67" s="45">
        <v>0</v>
      </c>
      <c r="S67" s="45">
        <f t="shared" ref="S67:S130" si="11">IF(N67=TRUE,K67*0.1,0)</f>
        <v>0</v>
      </c>
      <c r="T67" s="45">
        <f t="shared" ref="T67:T130" si="12">IF(N67=TRUE,K67,0)</f>
        <v>0</v>
      </c>
      <c r="U67" s="47">
        <f t="shared" ref="U67:U130" si="13">Q67-R67-S67-T67</f>
        <v>1238.4397800000002</v>
      </c>
    </row>
    <row r="68" spans="1:21" x14ac:dyDescent="0.3">
      <c r="A68" s="41" t="str">
        <f t="shared" si="7"/>
        <v>PANNAC</v>
      </c>
      <c r="B68" s="43">
        <v>45407</v>
      </c>
      <c r="C68" s="10" t="s">
        <v>109</v>
      </c>
      <c r="D68" s="10" t="s">
        <v>42</v>
      </c>
      <c r="E68" s="10" t="s">
        <v>15</v>
      </c>
      <c r="F68" s="10" t="s">
        <v>54</v>
      </c>
      <c r="G68" s="10" t="s">
        <v>7</v>
      </c>
      <c r="H68" s="10" t="s">
        <v>35</v>
      </c>
      <c r="I68" s="45">
        <v>328</v>
      </c>
      <c r="J68" s="11">
        <v>0</v>
      </c>
      <c r="K68" s="45">
        <f t="shared" si="8"/>
        <v>328</v>
      </c>
      <c r="L68" s="10">
        <v>44</v>
      </c>
      <c r="M68" s="10">
        <v>3.8</v>
      </c>
      <c r="N68" s="10" t="b">
        <v>1</v>
      </c>
      <c r="O68" s="41" t="s">
        <v>44</v>
      </c>
      <c r="P68" s="45">
        <f t="shared" si="9"/>
        <v>137.76</v>
      </c>
      <c r="Q68" s="45">
        <f t="shared" si="10"/>
        <v>190.24</v>
      </c>
      <c r="R68" s="45">
        <v>150</v>
      </c>
      <c r="S68" s="45">
        <f t="shared" si="11"/>
        <v>32.800000000000004</v>
      </c>
      <c r="T68" s="45">
        <f t="shared" si="12"/>
        <v>328</v>
      </c>
      <c r="U68" s="47">
        <f t="shared" si="13"/>
        <v>-320.56</v>
      </c>
    </row>
    <row r="69" spans="1:21" x14ac:dyDescent="0.3">
      <c r="A69" s="41" t="str">
        <f t="shared" si="7"/>
        <v>PFORTO</v>
      </c>
      <c r="B69" s="43">
        <v>45407</v>
      </c>
      <c r="C69" s="10" t="s">
        <v>110</v>
      </c>
      <c r="D69" s="10" t="s">
        <v>65</v>
      </c>
      <c r="E69" s="10" t="s">
        <v>9</v>
      </c>
      <c r="F69" s="10" t="s">
        <v>4</v>
      </c>
      <c r="G69" s="10" t="s">
        <v>5</v>
      </c>
      <c r="H69" s="10" t="s">
        <v>16</v>
      </c>
      <c r="I69" s="45">
        <v>1224</v>
      </c>
      <c r="J69" s="11">
        <v>0</v>
      </c>
      <c r="K69" s="45">
        <f t="shared" si="8"/>
        <v>1224</v>
      </c>
      <c r="L69" s="10">
        <v>17</v>
      </c>
      <c r="M69" s="10">
        <v>4.5999999999999996</v>
      </c>
      <c r="N69" s="10" t="b">
        <v>1</v>
      </c>
      <c r="O69" s="41" t="s">
        <v>44</v>
      </c>
      <c r="P69" s="45">
        <f t="shared" si="9"/>
        <v>514.07999999999993</v>
      </c>
      <c r="Q69" s="45">
        <f t="shared" si="10"/>
        <v>709.92000000000007</v>
      </c>
      <c r="R69" s="45">
        <v>150</v>
      </c>
      <c r="S69" s="45">
        <f t="shared" si="11"/>
        <v>122.4</v>
      </c>
      <c r="T69" s="45">
        <f t="shared" si="12"/>
        <v>1224</v>
      </c>
      <c r="U69" s="47">
        <f t="shared" si="13"/>
        <v>-786.4799999999999</v>
      </c>
    </row>
    <row r="70" spans="1:21" x14ac:dyDescent="0.3">
      <c r="A70" s="41" t="str">
        <f t="shared" si="7"/>
        <v>PFORDR</v>
      </c>
      <c r="B70" s="43">
        <v>45407</v>
      </c>
      <c r="C70" s="10" t="s">
        <v>111</v>
      </c>
      <c r="D70" s="10" t="s">
        <v>65</v>
      </c>
      <c r="E70" s="10" t="s">
        <v>30</v>
      </c>
      <c r="F70" s="10" t="s">
        <v>4</v>
      </c>
      <c r="G70" s="10" t="s">
        <v>46</v>
      </c>
      <c r="H70" s="10" t="s">
        <v>35</v>
      </c>
      <c r="I70" s="45">
        <v>2851</v>
      </c>
      <c r="J70" s="11">
        <v>9.5000000000000001E-2</v>
      </c>
      <c r="K70" s="45">
        <f t="shared" si="8"/>
        <v>2580.1550000000002</v>
      </c>
      <c r="L70" s="10">
        <v>17</v>
      </c>
      <c r="M70" s="10"/>
      <c r="N70" s="10" t="b">
        <v>1</v>
      </c>
      <c r="O70" s="41" t="s">
        <v>19</v>
      </c>
      <c r="P70" s="45">
        <f t="shared" si="9"/>
        <v>1083.6650999999999</v>
      </c>
      <c r="Q70" s="45">
        <f t="shared" si="10"/>
        <v>1496.4899000000003</v>
      </c>
      <c r="R70" s="45">
        <v>150</v>
      </c>
      <c r="S70" s="45">
        <f t="shared" si="11"/>
        <v>258.01550000000003</v>
      </c>
      <c r="T70" s="45">
        <f t="shared" si="12"/>
        <v>2580.1550000000002</v>
      </c>
      <c r="U70" s="47">
        <f t="shared" si="13"/>
        <v>-1491.6805999999999</v>
      </c>
    </row>
    <row r="71" spans="1:21" x14ac:dyDescent="0.3">
      <c r="A71" s="41" t="str">
        <f t="shared" si="7"/>
        <v>PZARTO</v>
      </c>
      <c r="B71" s="43">
        <v>45407</v>
      </c>
      <c r="C71" s="10" t="s">
        <v>112</v>
      </c>
      <c r="D71" s="10" t="s">
        <v>3</v>
      </c>
      <c r="E71" s="10" t="s">
        <v>9</v>
      </c>
      <c r="F71" s="10" t="s">
        <v>54</v>
      </c>
      <c r="G71" s="10" t="s">
        <v>5</v>
      </c>
      <c r="H71" s="10" t="s">
        <v>58</v>
      </c>
      <c r="I71" s="45">
        <v>1460</v>
      </c>
      <c r="J71" s="11">
        <v>0.19800000000000001</v>
      </c>
      <c r="K71" s="45">
        <f t="shared" si="8"/>
        <v>1170.92</v>
      </c>
      <c r="L71" s="10">
        <v>17</v>
      </c>
      <c r="M71" s="10">
        <v>2.6</v>
      </c>
      <c r="N71" s="10" t="b">
        <v>0</v>
      </c>
      <c r="O71" s="41"/>
      <c r="P71" s="45">
        <f t="shared" si="9"/>
        <v>491.78640000000001</v>
      </c>
      <c r="Q71" s="45">
        <f t="shared" si="10"/>
        <v>679.13360000000011</v>
      </c>
      <c r="R71" s="45">
        <v>0</v>
      </c>
      <c r="S71" s="45">
        <f t="shared" si="11"/>
        <v>0</v>
      </c>
      <c r="T71" s="45">
        <f t="shared" si="12"/>
        <v>0</v>
      </c>
      <c r="U71" s="47">
        <f t="shared" si="13"/>
        <v>679.13360000000011</v>
      </c>
    </row>
    <row r="72" spans="1:21" x14ac:dyDescent="0.3">
      <c r="A72" s="41" t="str">
        <f t="shared" si="7"/>
        <v>PANNSH</v>
      </c>
      <c r="B72" s="43">
        <v>45408</v>
      </c>
      <c r="C72" s="10" t="s">
        <v>113</v>
      </c>
      <c r="D72" s="10" t="s">
        <v>42</v>
      </c>
      <c r="E72" s="10" t="s">
        <v>18</v>
      </c>
      <c r="F72" s="10" t="s">
        <v>11</v>
      </c>
      <c r="G72" s="10" t="s">
        <v>5</v>
      </c>
      <c r="H72" s="10" t="s">
        <v>43</v>
      </c>
      <c r="I72" s="45">
        <v>3045</v>
      </c>
      <c r="J72" s="11">
        <v>0</v>
      </c>
      <c r="K72" s="45">
        <f t="shared" si="8"/>
        <v>3045</v>
      </c>
      <c r="L72" s="10">
        <v>46</v>
      </c>
      <c r="M72" s="10"/>
      <c r="N72" s="10" t="b">
        <v>0</v>
      </c>
      <c r="O72" s="41"/>
      <c r="P72" s="45">
        <f t="shared" si="9"/>
        <v>1278.8999999999999</v>
      </c>
      <c r="Q72" s="45">
        <f t="shared" si="10"/>
        <v>1766.1000000000001</v>
      </c>
      <c r="R72" s="45">
        <v>0</v>
      </c>
      <c r="S72" s="45">
        <f t="shared" si="11"/>
        <v>0</v>
      </c>
      <c r="T72" s="45">
        <f t="shared" si="12"/>
        <v>0</v>
      </c>
      <c r="U72" s="47">
        <f t="shared" si="13"/>
        <v>1766.1000000000001</v>
      </c>
    </row>
    <row r="73" spans="1:21" x14ac:dyDescent="0.3">
      <c r="A73" s="41" t="str">
        <f t="shared" si="7"/>
        <v>PMANOU</v>
      </c>
      <c r="B73" s="43">
        <v>45408</v>
      </c>
      <c r="C73" s="10" t="s">
        <v>114</v>
      </c>
      <c r="D73" s="10" t="s">
        <v>31</v>
      </c>
      <c r="E73" s="10" t="s">
        <v>2</v>
      </c>
      <c r="F73" s="10" t="s">
        <v>54</v>
      </c>
      <c r="G73" s="10" t="s">
        <v>38</v>
      </c>
      <c r="H73" s="10" t="s">
        <v>6</v>
      </c>
      <c r="I73" s="45">
        <v>3771</v>
      </c>
      <c r="J73" s="11">
        <v>7.400000000000001E-2</v>
      </c>
      <c r="K73" s="45">
        <f t="shared" si="8"/>
        <v>3491.9459999999999</v>
      </c>
      <c r="L73" s="10">
        <v>49</v>
      </c>
      <c r="M73" s="10"/>
      <c r="N73" s="10" t="b">
        <v>0</v>
      </c>
      <c r="O73" s="41"/>
      <c r="P73" s="45">
        <f t="shared" si="9"/>
        <v>1466.6173199999998</v>
      </c>
      <c r="Q73" s="45">
        <f t="shared" si="10"/>
        <v>2025.3286800000001</v>
      </c>
      <c r="R73" s="45">
        <v>0</v>
      </c>
      <c r="S73" s="45">
        <f t="shared" si="11"/>
        <v>0</v>
      </c>
      <c r="T73" s="45">
        <f t="shared" si="12"/>
        <v>0</v>
      </c>
      <c r="U73" s="47">
        <f t="shared" si="13"/>
        <v>2025.3286800000001</v>
      </c>
    </row>
    <row r="74" spans="1:21" x14ac:dyDescent="0.3">
      <c r="A74" s="41" t="str">
        <f t="shared" si="7"/>
        <v>PBANOU</v>
      </c>
      <c r="B74" s="43">
        <v>45409</v>
      </c>
      <c r="C74" s="10" t="s">
        <v>115</v>
      </c>
      <c r="D74" s="10" t="s">
        <v>21</v>
      </c>
      <c r="E74" s="10" t="s">
        <v>2</v>
      </c>
      <c r="F74" s="10" t="s">
        <v>54</v>
      </c>
      <c r="G74" s="10" t="s">
        <v>49</v>
      </c>
      <c r="H74" s="10" t="s">
        <v>43</v>
      </c>
      <c r="I74" s="45">
        <v>4213</v>
      </c>
      <c r="J74" s="11">
        <v>0.55200000000000005</v>
      </c>
      <c r="K74" s="45">
        <f t="shared" si="8"/>
        <v>1887.4239999999998</v>
      </c>
      <c r="L74" s="10">
        <v>21</v>
      </c>
      <c r="M74" s="10">
        <v>4.5</v>
      </c>
      <c r="N74" s="10" t="b">
        <v>0</v>
      </c>
      <c r="O74" s="41"/>
      <c r="P74" s="45">
        <f t="shared" si="9"/>
        <v>792.71807999999987</v>
      </c>
      <c r="Q74" s="45">
        <f t="shared" si="10"/>
        <v>1094.7059199999999</v>
      </c>
      <c r="R74" s="45">
        <v>0</v>
      </c>
      <c r="S74" s="45">
        <f t="shared" si="11"/>
        <v>0</v>
      </c>
      <c r="T74" s="45">
        <f t="shared" si="12"/>
        <v>0</v>
      </c>
      <c r="U74" s="47">
        <f t="shared" si="13"/>
        <v>1094.7059199999999</v>
      </c>
    </row>
    <row r="75" spans="1:21" x14ac:dyDescent="0.3">
      <c r="A75" s="41" t="str">
        <f t="shared" si="7"/>
        <v>PMANTO</v>
      </c>
      <c r="B75" s="43">
        <v>45409</v>
      </c>
      <c r="C75" s="10" t="s">
        <v>116</v>
      </c>
      <c r="D75" s="10" t="s">
        <v>31</v>
      </c>
      <c r="E75" s="10" t="s">
        <v>9</v>
      </c>
      <c r="F75" s="10" t="s">
        <v>23</v>
      </c>
      <c r="G75" s="10" t="s">
        <v>46</v>
      </c>
      <c r="H75" s="10" t="s">
        <v>6</v>
      </c>
      <c r="I75" s="45">
        <v>957</v>
      </c>
      <c r="J75" s="11">
        <v>0</v>
      </c>
      <c r="K75" s="45">
        <f t="shared" si="8"/>
        <v>957</v>
      </c>
      <c r="L75" s="10">
        <v>8</v>
      </c>
      <c r="M75" s="10">
        <v>2.9</v>
      </c>
      <c r="N75" s="10" t="b">
        <v>0</v>
      </c>
      <c r="O75" s="41"/>
      <c r="P75" s="45">
        <f t="shared" si="9"/>
        <v>401.94</v>
      </c>
      <c r="Q75" s="45">
        <f t="shared" si="10"/>
        <v>555.05999999999995</v>
      </c>
      <c r="R75" s="45">
        <v>0</v>
      </c>
      <c r="S75" s="45">
        <f t="shared" si="11"/>
        <v>0</v>
      </c>
      <c r="T75" s="45">
        <f t="shared" si="12"/>
        <v>0</v>
      </c>
      <c r="U75" s="47">
        <f t="shared" si="13"/>
        <v>555.05999999999995</v>
      </c>
    </row>
    <row r="76" spans="1:21" x14ac:dyDescent="0.3">
      <c r="A76" s="41" t="str">
        <f t="shared" si="7"/>
        <v>PMANDR</v>
      </c>
      <c r="B76" s="43">
        <v>45409</v>
      </c>
      <c r="C76" s="10" t="s">
        <v>117</v>
      </c>
      <c r="D76" s="10" t="s">
        <v>31</v>
      </c>
      <c r="E76" s="10" t="s">
        <v>30</v>
      </c>
      <c r="F76" s="10" t="s">
        <v>4</v>
      </c>
      <c r="G76" s="10" t="s">
        <v>46</v>
      </c>
      <c r="H76" s="10" t="s">
        <v>35</v>
      </c>
      <c r="I76" s="45">
        <v>2674</v>
      </c>
      <c r="J76" s="11">
        <v>0</v>
      </c>
      <c r="K76" s="45">
        <f t="shared" si="8"/>
        <v>2674</v>
      </c>
      <c r="L76" s="10">
        <v>32</v>
      </c>
      <c r="M76" s="10">
        <v>3.3</v>
      </c>
      <c r="N76" s="10" t="b">
        <v>1</v>
      </c>
      <c r="O76" s="41" t="s">
        <v>33</v>
      </c>
      <c r="P76" s="45">
        <f t="shared" si="9"/>
        <v>1123.08</v>
      </c>
      <c r="Q76" s="45">
        <f t="shared" si="10"/>
        <v>1550.92</v>
      </c>
      <c r="R76" s="45">
        <v>150</v>
      </c>
      <c r="S76" s="45">
        <f t="shared" si="11"/>
        <v>267.40000000000003</v>
      </c>
      <c r="T76" s="45">
        <f t="shared" si="12"/>
        <v>2674</v>
      </c>
      <c r="U76" s="47">
        <f t="shared" si="13"/>
        <v>-1540.48</v>
      </c>
    </row>
    <row r="77" spans="1:21" x14ac:dyDescent="0.3">
      <c r="A77" s="41" t="str">
        <f t="shared" si="7"/>
        <v>PGAPOU</v>
      </c>
      <c r="B77" s="43">
        <v>45410</v>
      </c>
      <c r="C77" s="10" t="s">
        <v>118</v>
      </c>
      <c r="D77" s="10" t="s">
        <v>53</v>
      </c>
      <c r="E77" s="10" t="s">
        <v>2</v>
      </c>
      <c r="F77" s="10" t="s">
        <v>4</v>
      </c>
      <c r="G77" s="10" t="s">
        <v>5</v>
      </c>
      <c r="H77" s="10" t="s">
        <v>7</v>
      </c>
      <c r="I77" s="45">
        <v>4330</v>
      </c>
      <c r="J77" s="11">
        <v>0.48</v>
      </c>
      <c r="K77" s="45">
        <f t="shared" si="8"/>
        <v>2251.6</v>
      </c>
      <c r="L77" s="10">
        <v>22</v>
      </c>
      <c r="M77" s="10">
        <v>4.4000000000000004</v>
      </c>
      <c r="N77" s="10" t="b">
        <v>1</v>
      </c>
      <c r="O77" s="41" t="s">
        <v>44</v>
      </c>
      <c r="P77" s="45">
        <f t="shared" si="9"/>
        <v>945.67199999999991</v>
      </c>
      <c r="Q77" s="45">
        <f t="shared" si="10"/>
        <v>1305.9279999999999</v>
      </c>
      <c r="R77" s="45">
        <v>150</v>
      </c>
      <c r="S77" s="45">
        <f t="shared" si="11"/>
        <v>225.16</v>
      </c>
      <c r="T77" s="45">
        <f t="shared" si="12"/>
        <v>2251.6</v>
      </c>
      <c r="U77" s="47">
        <f t="shared" si="13"/>
        <v>-1320.8319999999999</v>
      </c>
    </row>
    <row r="78" spans="1:21" x14ac:dyDescent="0.3">
      <c r="A78" s="41" t="str">
        <f t="shared" si="7"/>
        <v>PMANDR</v>
      </c>
      <c r="B78" s="43">
        <v>45410</v>
      </c>
      <c r="C78" s="10" t="s">
        <v>119</v>
      </c>
      <c r="D78" s="10" t="s">
        <v>31</v>
      </c>
      <c r="E78" s="10" t="s">
        <v>30</v>
      </c>
      <c r="F78" s="10" t="s">
        <v>4</v>
      </c>
      <c r="G78" s="10" t="s">
        <v>38</v>
      </c>
      <c r="H78" s="10" t="s">
        <v>6</v>
      </c>
      <c r="I78" s="45">
        <v>2950</v>
      </c>
      <c r="J78" s="11">
        <v>0</v>
      </c>
      <c r="K78" s="45">
        <f t="shared" si="8"/>
        <v>2950</v>
      </c>
      <c r="L78" s="10">
        <v>43</v>
      </c>
      <c r="M78" s="10">
        <v>2.9</v>
      </c>
      <c r="N78" s="10" t="b">
        <v>0</v>
      </c>
      <c r="O78" s="41"/>
      <c r="P78" s="45">
        <f t="shared" si="9"/>
        <v>1239</v>
      </c>
      <c r="Q78" s="45">
        <f t="shared" si="10"/>
        <v>1711</v>
      </c>
      <c r="R78" s="45">
        <v>0</v>
      </c>
      <c r="S78" s="45">
        <f t="shared" si="11"/>
        <v>0</v>
      </c>
      <c r="T78" s="45">
        <f t="shared" si="12"/>
        <v>0</v>
      </c>
      <c r="U78" s="47">
        <f t="shared" si="13"/>
        <v>1711</v>
      </c>
    </row>
    <row r="79" spans="1:21" x14ac:dyDescent="0.3">
      <c r="A79" s="41" t="str">
        <f t="shared" si="7"/>
        <v>PUNIAC</v>
      </c>
      <c r="B79" s="43">
        <v>45410</v>
      </c>
      <c r="C79" s="10" t="s">
        <v>120</v>
      </c>
      <c r="D79" s="10" t="s">
        <v>10</v>
      </c>
      <c r="E79" s="10" t="s">
        <v>15</v>
      </c>
      <c r="F79" s="10" t="s">
        <v>23</v>
      </c>
      <c r="G79" s="10" t="s">
        <v>7</v>
      </c>
      <c r="H79" s="10" t="s">
        <v>58</v>
      </c>
      <c r="I79" s="45">
        <v>377</v>
      </c>
      <c r="J79" s="11">
        <v>0.22500000000000001</v>
      </c>
      <c r="K79" s="45">
        <f t="shared" si="8"/>
        <v>292.17500000000001</v>
      </c>
      <c r="L79" s="10">
        <v>7</v>
      </c>
      <c r="M79" s="10">
        <v>1.9</v>
      </c>
      <c r="N79" s="10" t="b">
        <v>1</v>
      </c>
      <c r="O79" s="41" t="s">
        <v>33</v>
      </c>
      <c r="P79" s="45">
        <f t="shared" si="9"/>
        <v>122.7135</v>
      </c>
      <c r="Q79" s="45">
        <f t="shared" si="10"/>
        <v>169.4615</v>
      </c>
      <c r="R79" s="45">
        <v>150</v>
      </c>
      <c r="S79" s="45">
        <f t="shared" si="11"/>
        <v>29.217500000000001</v>
      </c>
      <c r="T79" s="45">
        <f t="shared" si="12"/>
        <v>292.17500000000001</v>
      </c>
      <c r="U79" s="47">
        <f t="shared" si="13"/>
        <v>-301.93100000000004</v>
      </c>
    </row>
    <row r="80" spans="1:21" x14ac:dyDescent="0.3">
      <c r="A80" s="41" t="str">
        <f t="shared" si="7"/>
        <v>PH&amp;MTO</v>
      </c>
      <c r="B80" s="43">
        <v>45410</v>
      </c>
      <c r="C80" s="10" t="s">
        <v>121</v>
      </c>
      <c r="D80" s="10" t="s">
        <v>37</v>
      </c>
      <c r="E80" s="10" t="s">
        <v>9</v>
      </c>
      <c r="F80" s="10" t="s">
        <v>54</v>
      </c>
      <c r="G80" s="10" t="s">
        <v>27</v>
      </c>
      <c r="H80" s="10" t="s">
        <v>35</v>
      </c>
      <c r="I80" s="45">
        <v>954</v>
      </c>
      <c r="J80" s="11">
        <v>0</v>
      </c>
      <c r="K80" s="45">
        <f t="shared" si="8"/>
        <v>954</v>
      </c>
      <c r="L80" s="10">
        <v>36</v>
      </c>
      <c r="M80" s="10">
        <v>3.4</v>
      </c>
      <c r="N80" s="10" t="b">
        <v>0</v>
      </c>
      <c r="O80" s="41"/>
      <c r="P80" s="45">
        <f t="shared" si="9"/>
        <v>400.68</v>
      </c>
      <c r="Q80" s="45">
        <f t="shared" si="10"/>
        <v>553.31999999999994</v>
      </c>
      <c r="R80" s="45">
        <v>0</v>
      </c>
      <c r="S80" s="45">
        <f t="shared" si="11"/>
        <v>0</v>
      </c>
      <c r="T80" s="45">
        <f t="shared" si="12"/>
        <v>0</v>
      </c>
      <c r="U80" s="47">
        <f t="shared" si="13"/>
        <v>553.31999999999994</v>
      </c>
    </row>
    <row r="81" spans="1:21" x14ac:dyDescent="0.3">
      <c r="A81" s="41" t="str">
        <f t="shared" si="7"/>
        <v>PUNIAC</v>
      </c>
      <c r="B81" s="43">
        <v>45411</v>
      </c>
      <c r="C81" s="10" t="s">
        <v>122</v>
      </c>
      <c r="D81" s="10" t="s">
        <v>10</v>
      </c>
      <c r="E81" s="10" t="s">
        <v>15</v>
      </c>
      <c r="F81" s="10" t="s">
        <v>23</v>
      </c>
      <c r="G81" s="10" t="s">
        <v>7</v>
      </c>
      <c r="H81" s="10" t="s">
        <v>88</v>
      </c>
      <c r="I81" s="45">
        <v>211</v>
      </c>
      <c r="J81" s="11">
        <v>0</v>
      </c>
      <c r="K81" s="45">
        <f t="shared" si="8"/>
        <v>211</v>
      </c>
      <c r="L81" s="10">
        <v>38</v>
      </c>
      <c r="M81" s="10">
        <v>4</v>
      </c>
      <c r="N81" s="10" t="b">
        <v>0</v>
      </c>
      <c r="O81" s="41"/>
      <c r="P81" s="45">
        <f t="shared" si="9"/>
        <v>88.61999999999999</v>
      </c>
      <c r="Q81" s="45">
        <f t="shared" si="10"/>
        <v>122.38000000000001</v>
      </c>
      <c r="R81" s="45">
        <v>0</v>
      </c>
      <c r="S81" s="45">
        <f t="shared" si="11"/>
        <v>0</v>
      </c>
      <c r="T81" s="45">
        <f t="shared" si="12"/>
        <v>0</v>
      </c>
      <c r="U81" s="47">
        <f t="shared" si="13"/>
        <v>122.38000000000001</v>
      </c>
    </row>
    <row r="82" spans="1:21" x14ac:dyDescent="0.3">
      <c r="A82" s="41" t="str">
        <f t="shared" si="7"/>
        <v>PBANTO</v>
      </c>
      <c r="B82" s="43">
        <v>45411</v>
      </c>
      <c r="C82" s="10" t="s">
        <v>123</v>
      </c>
      <c r="D82" s="10" t="s">
        <v>21</v>
      </c>
      <c r="E82" s="10" t="s">
        <v>9</v>
      </c>
      <c r="F82" s="10" t="s">
        <v>4</v>
      </c>
      <c r="G82" s="10" t="s">
        <v>27</v>
      </c>
      <c r="H82" s="10" t="s">
        <v>56</v>
      </c>
      <c r="I82" s="45">
        <v>932</v>
      </c>
      <c r="J82" s="11">
        <v>0.191</v>
      </c>
      <c r="K82" s="45">
        <f t="shared" si="8"/>
        <v>753.98799999999994</v>
      </c>
      <c r="L82" s="10">
        <v>23</v>
      </c>
      <c r="M82" s="10"/>
      <c r="N82" s="10" t="b">
        <v>0</v>
      </c>
      <c r="O82" s="41"/>
      <c r="P82" s="45">
        <f t="shared" si="9"/>
        <v>316.67495999999994</v>
      </c>
      <c r="Q82" s="45">
        <f t="shared" si="10"/>
        <v>437.31304</v>
      </c>
      <c r="R82" s="45">
        <v>0</v>
      </c>
      <c r="S82" s="45">
        <f t="shared" si="11"/>
        <v>0</v>
      </c>
      <c r="T82" s="45">
        <f t="shared" si="12"/>
        <v>0</v>
      </c>
      <c r="U82" s="47">
        <f t="shared" si="13"/>
        <v>437.31304</v>
      </c>
    </row>
    <row r="83" spans="1:21" x14ac:dyDescent="0.3">
      <c r="A83" s="41" t="str">
        <f t="shared" si="7"/>
        <v>PANNTO</v>
      </c>
      <c r="B83" s="43">
        <v>45411</v>
      </c>
      <c r="C83" s="10" t="s">
        <v>124</v>
      </c>
      <c r="D83" s="10" t="s">
        <v>42</v>
      </c>
      <c r="E83" s="10" t="s">
        <v>9</v>
      </c>
      <c r="F83" s="10" t="s">
        <v>23</v>
      </c>
      <c r="G83" s="10" t="s">
        <v>49</v>
      </c>
      <c r="H83" s="10" t="s">
        <v>43</v>
      </c>
      <c r="I83" s="45">
        <v>1094</v>
      </c>
      <c r="J83" s="11">
        <v>0.191</v>
      </c>
      <c r="K83" s="45">
        <f t="shared" si="8"/>
        <v>885.04599999999994</v>
      </c>
      <c r="L83" s="10">
        <v>15</v>
      </c>
      <c r="M83" s="10">
        <v>4.9000000000000004</v>
      </c>
      <c r="N83" s="10" t="b">
        <v>0</v>
      </c>
      <c r="O83" s="41"/>
      <c r="P83" s="45">
        <f t="shared" si="9"/>
        <v>371.71931999999998</v>
      </c>
      <c r="Q83" s="45">
        <f t="shared" si="10"/>
        <v>513.3266799999999</v>
      </c>
      <c r="R83" s="45">
        <v>0</v>
      </c>
      <c r="S83" s="45">
        <f t="shared" si="11"/>
        <v>0</v>
      </c>
      <c r="T83" s="45">
        <f t="shared" si="12"/>
        <v>0</v>
      </c>
      <c r="U83" s="47">
        <f t="shared" si="13"/>
        <v>513.3266799999999</v>
      </c>
    </row>
    <row r="84" spans="1:21" x14ac:dyDescent="0.3">
      <c r="A84" s="41" t="str">
        <f t="shared" si="7"/>
        <v>PANNDR</v>
      </c>
      <c r="B84" s="43">
        <v>45411</v>
      </c>
      <c r="C84" s="10" t="s">
        <v>125</v>
      </c>
      <c r="D84" s="10" t="s">
        <v>42</v>
      </c>
      <c r="E84" s="10" t="s">
        <v>30</v>
      </c>
      <c r="F84" s="10" t="s">
        <v>11</v>
      </c>
      <c r="G84" s="10" t="s">
        <v>27</v>
      </c>
      <c r="H84" s="10" t="s">
        <v>32</v>
      </c>
      <c r="I84" s="45">
        <v>2226</v>
      </c>
      <c r="J84" s="11">
        <v>0</v>
      </c>
      <c r="K84" s="45">
        <f t="shared" si="8"/>
        <v>2226</v>
      </c>
      <c r="L84" s="10">
        <v>34</v>
      </c>
      <c r="M84" s="10">
        <v>3.7</v>
      </c>
      <c r="N84" s="10" t="b">
        <v>0</v>
      </c>
      <c r="O84" s="41"/>
      <c r="P84" s="45">
        <f t="shared" si="9"/>
        <v>934.92</v>
      </c>
      <c r="Q84" s="45">
        <f t="shared" si="10"/>
        <v>1291.08</v>
      </c>
      <c r="R84" s="45">
        <v>0</v>
      </c>
      <c r="S84" s="45">
        <f t="shared" si="11"/>
        <v>0</v>
      </c>
      <c r="T84" s="45">
        <f t="shared" si="12"/>
        <v>0</v>
      </c>
      <c r="U84" s="47">
        <f t="shared" si="13"/>
        <v>1291.08</v>
      </c>
    </row>
    <row r="85" spans="1:21" x14ac:dyDescent="0.3">
      <c r="A85" s="41" t="str">
        <f t="shared" si="7"/>
        <v>PZARSH</v>
      </c>
      <c r="B85" s="43">
        <v>45411</v>
      </c>
      <c r="C85" s="10" t="s">
        <v>126</v>
      </c>
      <c r="D85" s="10" t="s">
        <v>3</v>
      </c>
      <c r="E85" s="10" t="s">
        <v>18</v>
      </c>
      <c r="F85" s="10" t="s">
        <v>54</v>
      </c>
      <c r="G85" s="10" t="s">
        <v>46</v>
      </c>
      <c r="H85" s="10" t="s">
        <v>58</v>
      </c>
      <c r="I85" s="45">
        <v>4113</v>
      </c>
      <c r="J85" s="11">
        <v>0</v>
      </c>
      <c r="K85" s="45">
        <f t="shared" si="8"/>
        <v>4113</v>
      </c>
      <c r="L85" s="10">
        <v>50</v>
      </c>
      <c r="M85" s="10"/>
      <c r="N85" s="10" t="b">
        <v>0</v>
      </c>
      <c r="O85" s="41"/>
      <c r="P85" s="45">
        <f t="shared" si="9"/>
        <v>1727.46</v>
      </c>
      <c r="Q85" s="45">
        <f t="shared" si="10"/>
        <v>2385.54</v>
      </c>
      <c r="R85" s="45">
        <v>0</v>
      </c>
      <c r="S85" s="45">
        <f t="shared" si="11"/>
        <v>0</v>
      </c>
      <c r="T85" s="45">
        <f t="shared" si="12"/>
        <v>0</v>
      </c>
      <c r="U85" s="47">
        <f t="shared" si="13"/>
        <v>2385.54</v>
      </c>
    </row>
    <row r="86" spans="1:21" x14ac:dyDescent="0.3">
      <c r="A86" s="41" t="str">
        <f t="shared" si="7"/>
        <v>PANNOU</v>
      </c>
      <c r="B86" s="43">
        <v>45412</v>
      </c>
      <c r="C86" s="10" t="s">
        <v>127</v>
      </c>
      <c r="D86" s="10" t="s">
        <v>42</v>
      </c>
      <c r="E86" s="10" t="s">
        <v>2</v>
      </c>
      <c r="F86" s="10" t="s">
        <v>4</v>
      </c>
      <c r="G86" s="10" t="s">
        <v>5</v>
      </c>
      <c r="H86" s="10" t="s">
        <v>47</v>
      </c>
      <c r="I86" s="45">
        <v>4075</v>
      </c>
      <c r="J86" s="11">
        <v>0.22600000000000001</v>
      </c>
      <c r="K86" s="45">
        <f t="shared" si="8"/>
        <v>3154.05</v>
      </c>
      <c r="L86" s="10">
        <v>50</v>
      </c>
      <c r="M86" s="10"/>
      <c r="N86" s="10" t="b">
        <v>0</v>
      </c>
      <c r="O86" s="41"/>
      <c r="P86" s="45">
        <f t="shared" si="9"/>
        <v>1324.701</v>
      </c>
      <c r="Q86" s="45">
        <f t="shared" si="10"/>
        <v>1829.3490000000002</v>
      </c>
      <c r="R86" s="45">
        <v>0</v>
      </c>
      <c r="S86" s="45">
        <f t="shared" si="11"/>
        <v>0</v>
      </c>
      <c r="T86" s="45">
        <f t="shared" si="12"/>
        <v>0</v>
      </c>
      <c r="U86" s="47">
        <f t="shared" si="13"/>
        <v>1829.3490000000002</v>
      </c>
    </row>
    <row r="87" spans="1:21" x14ac:dyDescent="0.3">
      <c r="A87" s="41" t="str">
        <f t="shared" si="7"/>
        <v>PFORBO</v>
      </c>
      <c r="B87" s="43">
        <v>45412</v>
      </c>
      <c r="C87" s="10" t="s">
        <v>128</v>
      </c>
      <c r="D87" s="10" t="s">
        <v>65</v>
      </c>
      <c r="E87" s="10" t="s">
        <v>26</v>
      </c>
      <c r="F87" s="10" t="s">
        <v>11</v>
      </c>
      <c r="G87" s="10" t="s">
        <v>46</v>
      </c>
      <c r="H87" s="10" t="s">
        <v>16</v>
      </c>
      <c r="I87" s="45">
        <v>2729</v>
      </c>
      <c r="J87" s="11">
        <v>0.11900000000000001</v>
      </c>
      <c r="K87" s="45">
        <f t="shared" si="8"/>
        <v>2404.2489999999998</v>
      </c>
      <c r="L87" s="10">
        <v>45</v>
      </c>
      <c r="M87" s="10">
        <v>3.4</v>
      </c>
      <c r="N87" s="10" t="b">
        <v>0</v>
      </c>
      <c r="O87" s="41"/>
      <c r="P87" s="45">
        <f t="shared" si="9"/>
        <v>1009.7845799999999</v>
      </c>
      <c r="Q87" s="45">
        <f t="shared" si="10"/>
        <v>1394.4644199999998</v>
      </c>
      <c r="R87" s="45">
        <v>0</v>
      </c>
      <c r="S87" s="45">
        <f t="shared" si="11"/>
        <v>0</v>
      </c>
      <c r="T87" s="45">
        <f t="shared" si="12"/>
        <v>0</v>
      </c>
      <c r="U87" s="47">
        <f t="shared" si="13"/>
        <v>1394.4644199999998</v>
      </c>
    </row>
    <row r="88" spans="1:21" x14ac:dyDescent="0.3">
      <c r="A88" s="41" t="str">
        <f t="shared" si="7"/>
        <v>PUNIOU</v>
      </c>
      <c r="B88" s="43">
        <v>45412</v>
      </c>
      <c r="C88" s="10" t="s">
        <v>129</v>
      </c>
      <c r="D88" s="10" t="s">
        <v>10</v>
      </c>
      <c r="E88" s="10" t="s">
        <v>2</v>
      </c>
      <c r="F88" s="10" t="s">
        <v>54</v>
      </c>
      <c r="G88" s="10" t="s">
        <v>49</v>
      </c>
      <c r="H88" s="10" t="s">
        <v>28</v>
      </c>
      <c r="I88" s="45">
        <v>3378</v>
      </c>
      <c r="J88" s="11">
        <v>0</v>
      </c>
      <c r="K88" s="45">
        <f t="shared" si="8"/>
        <v>3378</v>
      </c>
      <c r="L88" s="10">
        <v>26</v>
      </c>
      <c r="M88" s="10"/>
      <c r="N88" s="10" t="b">
        <v>0</v>
      </c>
      <c r="O88" s="41"/>
      <c r="P88" s="45">
        <f t="shared" si="9"/>
        <v>1418.76</v>
      </c>
      <c r="Q88" s="45">
        <f t="shared" si="10"/>
        <v>1959.24</v>
      </c>
      <c r="R88" s="45">
        <v>0</v>
      </c>
      <c r="S88" s="45">
        <f t="shared" si="11"/>
        <v>0</v>
      </c>
      <c r="T88" s="45">
        <f t="shared" si="12"/>
        <v>0</v>
      </c>
      <c r="U88" s="47">
        <f t="shared" si="13"/>
        <v>1959.24</v>
      </c>
    </row>
    <row r="89" spans="1:21" x14ac:dyDescent="0.3">
      <c r="A89" s="41" t="str">
        <f t="shared" si="7"/>
        <v>PBANDR</v>
      </c>
      <c r="B89" s="43">
        <v>45413</v>
      </c>
      <c r="C89" s="10" t="s">
        <v>130</v>
      </c>
      <c r="D89" s="10" t="s">
        <v>21</v>
      </c>
      <c r="E89" s="10" t="s">
        <v>30</v>
      </c>
      <c r="F89" s="10" t="s">
        <v>4</v>
      </c>
      <c r="G89" s="10" t="s">
        <v>27</v>
      </c>
      <c r="H89" s="10" t="s">
        <v>56</v>
      </c>
      <c r="I89" s="45">
        <v>2694</v>
      </c>
      <c r="J89" s="11">
        <v>0</v>
      </c>
      <c r="K89" s="45">
        <f t="shared" si="8"/>
        <v>2694</v>
      </c>
      <c r="L89" s="10">
        <v>17</v>
      </c>
      <c r="M89" s="10">
        <v>4.4000000000000004</v>
      </c>
      <c r="N89" s="10" t="b">
        <v>0</v>
      </c>
      <c r="O89" s="41"/>
      <c r="P89" s="45">
        <f t="shared" si="9"/>
        <v>1131.48</v>
      </c>
      <c r="Q89" s="45">
        <f t="shared" si="10"/>
        <v>1562.52</v>
      </c>
      <c r="R89" s="45">
        <v>0</v>
      </c>
      <c r="S89" s="45">
        <f t="shared" si="11"/>
        <v>0</v>
      </c>
      <c r="T89" s="45">
        <f t="shared" si="12"/>
        <v>0</v>
      </c>
      <c r="U89" s="47">
        <f t="shared" si="13"/>
        <v>1562.52</v>
      </c>
    </row>
    <row r="90" spans="1:21" x14ac:dyDescent="0.3">
      <c r="A90" s="41" t="str">
        <f t="shared" si="7"/>
        <v>PH&amp;MSH</v>
      </c>
      <c r="B90" s="43">
        <v>45413</v>
      </c>
      <c r="C90" s="10" t="s">
        <v>131</v>
      </c>
      <c r="D90" s="10" t="s">
        <v>37</v>
      </c>
      <c r="E90" s="10" t="s">
        <v>18</v>
      </c>
      <c r="F90" s="10" t="s">
        <v>4</v>
      </c>
      <c r="G90" s="10" t="s">
        <v>49</v>
      </c>
      <c r="H90" s="10" t="s">
        <v>7</v>
      </c>
      <c r="I90" s="45">
        <v>4449</v>
      </c>
      <c r="J90" s="11">
        <v>0.55299999999999994</v>
      </c>
      <c r="K90" s="45">
        <f t="shared" si="8"/>
        <v>1988.7030000000002</v>
      </c>
      <c r="L90" s="10">
        <v>47</v>
      </c>
      <c r="M90" s="10">
        <v>4.0999999999999996</v>
      </c>
      <c r="N90" s="10" t="b">
        <v>1</v>
      </c>
      <c r="O90" s="41" t="s">
        <v>80</v>
      </c>
      <c r="P90" s="45">
        <f t="shared" si="9"/>
        <v>835.25526000000002</v>
      </c>
      <c r="Q90" s="45">
        <f t="shared" si="10"/>
        <v>1153.4477400000001</v>
      </c>
      <c r="R90" s="45">
        <v>150</v>
      </c>
      <c r="S90" s="45">
        <f t="shared" si="11"/>
        <v>198.87030000000004</v>
      </c>
      <c r="T90" s="45">
        <f t="shared" si="12"/>
        <v>1988.7030000000002</v>
      </c>
      <c r="U90" s="47">
        <f t="shared" si="13"/>
        <v>-1184.1255600000002</v>
      </c>
    </row>
    <row r="91" spans="1:21" x14ac:dyDescent="0.3">
      <c r="A91" s="41" t="str">
        <f t="shared" si="7"/>
        <v>PH&amp;MBO</v>
      </c>
      <c r="B91" s="43">
        <v>45413</v>
      </c>
      <c r="C91" s="10" t="s">
        <v>132</v>
      </c>
      <c r="D91" s="10" t="s">
        <v>37</v>
      </c>
      <c r="E91" s="10" t="s">
        <v>26</v>
      </c>
      <c r="F91" s="10" t="s">
        <v>54</v>
      </c>
      <c r="G91" s="10" t="s">
        <v>38</v>
      </c>
      <c r="H91" s="10" t="s">
        <v>43</v>
      </c>
      <c r="I91" s="45">
        <v>2812</v>
      </c>
      <c r="J91" s="11">
        <v>0.4</v>
      </c>
      <c r="K91" s="45">
        <f t="shared" si="8"/>
        <v>1687.2</v>
      </c>
      <c r="L91" s="10">
        <v>46</v>
      </c>
      <c r="M91" s="10">
        <v>1.9</v>
      </c>
      <c r="N91" s="10" t="b">
        <v>0</v>
      </c>
      <c r="O91" s="41"/>
      <c r="P91" s="45">
        <f t="shared" si="9"/>
        <v>708.62400000000002</v>
      </c>
      <c r="Q91" s="45">
        <f t="shared" si="10"/>
        <v>978.57600000000002</v>
      </c>
      <c r="R91" s="45">
        <v>0</v>
      </c>
      <c r="S91" s="45">
        <f t="shared" si="11"/>
        <v>0</v>
      </c>
      <c r="T91" s="45">
        <f t="shared" si="12"/>
        <v>0</v>
      </c>
      <c r="U91" s="47">
        <f t="shared" si="13"/>
        <v>978.57600000000002</v>
      </c>
    </row>
    <row r="92" spans="1:21" x14ac:dyDescent="0.3">
      <c r="A92" s="41" t="str">
        <f t="shared" si="7"/>
        <v>PUNISH</v>
      </c>
      <c r="B92" s="43">
        <v>45413</v>
      </c>
      <c r="C92" s="10" t="s">
        <v>133</v>
      </c>
      <c r="D92" s="10" t="s">
        <v>10</v>
      </c>
      <c r="E92" s="10" t="s">
        <v>18</v>
      </c>
      <c r="F92" s="10" t="s">
        <v>4</v>
      </c>
      <c r="G92" s="10" t="s">
        <v>27</v>
      </c>
      <c r="H92" s="10" t="s">
        <v>7</v>
      </c>
      <c r="I92" s="45">
        <v>4009</v>
      </c>
      <c r="J92" s="11">
        <v>6.4000000000000001E-2</v>
      </c>
      <c r="K92" s="45">
        <f t="shared" si="8"/>
        <v>3752.424</v>
      </c>
      <c r="L92" s="10">
        <v>50</v>
      </c>
      <c r="M92" s="10">
        <v>1.5</v>
      </c>
      <c r="N92" s="10" t="b">
        <v>0</v>
      </c>
      <c r="O92" s="41"/>
      <c r="P92" s="45">
        <f t="shared" si="9"/>
        <v>1576.0180799999998</v>
      </c>
      <c r="Q92" s="45">
        <f t="shared" si="10"/>
        <v>2176.4059200000002</v>
      </c>
      <c r="R92" s="45">
        <v>0</v>
      </c>
      <c r="S92" s="45">
        <f t="shared" si="11"/>
        <v>0</v>
      </c>
      <c r="T92" s="45">
        <f t="shared" si="12"/>
        <v>0</v>
      </c>
      <c r="U92" s="47">
        <f t="shared" si="13"/>
        <v>2176.4059200000002</v>
      </c>
    </row>
    <row r="93" spans="1:21" x14ac:dyDescent="0.3">
      <c r="A93" s="41" t="str">
        <f t="shared" si="7"/>
        <v>PZARAC</v>
      </c>
      <c r="B93" s="43">
        <v>45414</v>
      </c>
      <c r="C93" s="10" t="s">
        <v>134</v>
      </c>
      <c r="D93" s="10" t="s">
        <v>3</v>
      </c>
      <c r="E93" s="10" t="s">
        <v>15</v>
      </c>
      <c r="F93" s="10" t="s">
        <v>11</v>
      </c>
      <c r="G93" s="10" t="s">
        <v>7</v>
      </c>
      <c r="H93" s="10" t="s">
        <v>88</v>
      </c>
      <c r="I93" s="45">
        <v>473</v>
      </c>
      <c r="J93" s="11">
        <v>0</v>
      </c>
      <c r="K93" s="45">
        <f t="shared" si="8"/>
        <v>473</v>
      </c>
      <c r="L93" s="10">
        <v>27</v>
      </c>
      <c r="M93" s="10">
        <v>3.1</v>
      </c>
      <c r="N93" s="10" t="b">
        <v>0</v>
      </c>
      <c r="O93" s="41"/>
      <c r="P93" s="45">
        <f t="shared" si="9"/>
        <v>198.66</v>
      </c>
      <c r="Q93" s="45">
        <f t="shared" si="10"/>
        <v>274.34000000000003</v>
      </c>
      <c r="R93" s="45">
        <v>0</v>
      </c>
      <c r="S93" s="45">
        <f t="shared" si="11"/>
        <v>0</v>
      </c>
      <c r="T93" s="45">
        <f t="shared" si="12"/>
        <v>0</v>
      </c>
      <c r="U93" s="47">
        <f t="shared" si="13"/>
        <v>274.34000000000003</v>
      </c>
    </row>
    <row r="94" spans="1:21" x14ac:dyDescent="0.3">
      <c r="A94" s="41" t="str">
        <f t="shared" si="7"/>
        <v>PZARSH</v>
      </c>
      <c r="B94" s="43">
        <v>45414</v>
      </c>
      <c r="C94" s="10" t="s">
        <v>135</v>
      </c>
      <c r="D94" s="10" t="s">
        <v>3</v>
      </c>
      <c r="E94" s="10" t="s">
        <v>18</v>
      </c>
      <c r="F94" s="10" t="s">
        <v>54</v>
      </c>
      <c r="G94" s="10" t="s">
        <v>27</v>
      </c>
      <c r="H94" s="10" t="s">
        <v>16</v>
      </c>
      <c r="I94" s="45">
        <v>3448</v>
      </c>
      <c r="J94" s="11">
        <v>0.495</v>
      </c>
      <c r="K94" s="45">
        <f t="shared" si="8"/>
        <v>1741.24</v>
      </c>
      <c r="L94" s="10">
        <v>7</v>
      </c>
      <c r="M94" s="10">
        <v>1.1000000000000001</v>
      </c>
      <c r="N94" s="10" t="b">
        <v>0</v>
      </c>
      <c r="O94" s="41"/>
      <c r="P94" s="45">
        <f t="shared" si="9"/>
        <v>731.32079999999996</v>
      </c>
      <c r="Q94" s="45">
        <f t="shared" si="10"/>
        <v>1009.9192</v>
      </c>
      <c r="R94" s="45">
        <v>0</v>
      </c>
      <c r="S94" s="45">
        <f t="shared" si="11"/>
        <v>0</v>
      </c>
      <c r="T94" s="45">
        <f t="shared" si="12"/>
        <v>0</v>
      </c>
      <c r="U94" s="47">
        <f t="shared" si="13"/>
        <v>1009.9192</v>
      </c>
    </row>
    <row r="95" spans="1:21" x14ac:dyDescent="0.3">
      <c r="A95" s="41" t="str">
        <f t="shared" si="7"/>
        <v>PH&amp;MBO</v>
      </c>
      <c r="B95" s="43">
        <v>45414</v>
      </c>
      <c r="C95" s="10" t="s">
        <v>136</v>
      </c>
      <c r="D95" s="10" t="s">
        <v>37</v>
      </c>
      <c r="E95" s="10" t="s">
        <v>26</v>
      </c>
      <c r="F95" s="10" t="s">
        <v>23</v>
      </c>
      <c r="G95" s="10" t="s">
        <v>46</v>
      </c>
      <c r="H95" s="10" t="s">
        <v>47</v>
      </c>
      <c r="I95" s="45">
        <v>2309</v>
      </c>
      <c r="J95" s="11">
        <v>0</v>
      </c>
      <c r="K95" s="45">
        <f t="shared" si="8"/>
        <v>2309</v>
      </c>
      <c r="L95" s="10">
        <v>26</v>
      </c>
      <c r="M95" s="10"/>
      <c r="N95" s="10" t="b">
        <v>0</v>
      </c>
      <c r="O95" s="41"/>
      <c r="P95" s="45">
        <f t="shared" si="9"/>
        <v>969.78</v>
      </c>
      <c r="Q95" s="45">
        <f t="shared" si="10"/>
        <v>1339.22</v>
      </c>
      <c r="R95" s="45">
        <v>0</v>
      </c>
      <c r="S95" s="45">
        <f t="shared" si="11"/>
        <v>0</v>
      </c>
      <c r="T95" s="45">
        <f t="shared" si="12"/>
        <v>0</v>
      </c>
      <c r="U95" s="47">
        <f t="shared" si="13"/>
        <v>1339.22</v>
      </c>
    </row>
    <row r="96" spans="1:21" x14ac:dyDescent="0.3">
      <c r="A96" s="41" t="str">
        <f t="shared" si="7"/>
        <v>PZARBO</v>
      </c>
      <c r="B96" s="43">
        <v>45415</v>
      </c>
      <c r="C96" s="10" t="s">
        <v>137</v>
      </c>
      <c r="D96" s="10" t="s">
        <v>3</v>
      </c>
      <c r="E96" s="10" t="s">
        <v>26</v>
      </c>
      <c r="F96" s="10" t="s">
        <v>23</v>
      </c>
      <c r="G96" s="10" t="s">
        <v>46</v>
      </c>
      <c r="H96" s="10" t="s">
        <v>47</v>
      </c>
      <c r="I96" s="45">
        <v>2379</v>
      </c>
      <c r="J96" s="11">
        <v>0.52400000000000002</v>
      </c>
      <c r="K96" s="45">
        <f t="shared" si="8"/>
        <v>1132.404</v>
      </c>
      <c r="L96" s="10">
        <v>14</v>
      </c>
      <c r="M96" s="10">
        <v>3.9</v>
      </c>
      <c r="N96" s="10" t="b">
        <v>0</v>
      </c>
      <c r="O96" s="41"/>
      <c r="P96" s="45">
        <f t="shared" si="9"/>
        <v>475.60967999999997</v>
      </c>
      <c r="Q96" s="45">
        <f t="shared" si="10"/>
        <v>656.79431999999997</v>
      </c>
      <c r="R96" s="45">
        <v>0</v>
      </c>
      <c r="S96" s="45">
        <f t="shared" si="11"/>
        <v>0</v>
      </c>
      <c r="T96" s="45">
        <f t="shared" si="12"/>
        <v>0</v>
      </c>
      <c r="U96" s="47">
        <f t="shared" si="13"/>
        <v>656.79431999999997</v>
      </c>
    </row>
    <row r="97" spans="1:21" x14ac:dyDescent="0.3">
      <c r="A97" s="41" t="str">
        <f t="shared" si="7"/>
        <v>PGAPAC</v>
      </c>
      <c r="B97" s="43">
        <v>45415</v>
      </c>
      <c r="C97" s="10" t="s">
        <v>138</v>
      </c>
      <c r="D97" s="10" t="s">
        <v>53</v>
      </c>
      <c r="E97" s="10" t="s">
        <v>15</v>
      </c>
      <c r="F97" s="10" t="s">
        <v>54</v>
      </c>
      <c r="G97" s="10" t="s">
        <v>7</v>
      </c>
      <c r="H97" s="10" t="s">
        <v>16</v>
      </c>
      <c r="I97" s="45">
        <v>180</v>
      </c>
      <c r="J97" s="11">
        <v>0</v>
      </c>
      <c r="K97" s="45">
        <f t="shared" si="8"/>
        <v>180</v>
      </c>
      <c r="L97" s="10">
        <v>12</v>
      </c>
      <c r="M97" s="10">
        <v>4.5</v>
      </c>
      <c r="N97" s="10" t="b">
        <v>0</v>
      </c>
      <c r="O97" s="41"/>
      <c r="P97" s="45">
        <f t="shared" si="9"/>
        <v>75.599999999999994</v>
      </c>
      <c r="Q97" s="45">
        <f t="shared" si="10"/>
        <v>104.4</v>
      </c>
      <c r="R97" s="45">
        <v>0</v>
      </c>
      <c r="S97" s="45">
        <f t="shared" si="11"/>
        <v>0</v>
      </c>
      <c r="T97" s="45">
        <f t="shared" si="12"/>
        <v>0</v>
      </c>
      <c r="U97" s="47">
        <f t="shared" si="13"/>
        <v>104.4</v>
      </c>
    </row>
    <row r="98" spans="1:21" x14ac:dyDescent="0.3">
      <c r="A98" s="41" t="str">
        <f t="shared" si="7"/>
        <v>PH&amp;MBO</v>
      </c>
      <c r="B98" s="43">
        <v>45415</v>
      </c>
      <c r="C98" s="10" t="s">
        <v>139</v>
      </c>
      <c r="D98" s="10" t="s">
        <v>37</v>
      </c>
      <c r="E98" s="10" t="s">
        <v>26</v>
      </c>
      <c r="F98" s="10" t="s">
        <v>11</v>
      </c>
      <c r="G98" s="10" t="s">
        <v>49</v>
      </c>
      <c r="H98" s="10" t="s">
        <v>13</v>
      </c>
      <c r="I98" s="45">
        <v>2235</v>
      </c>
      <c r="J98" s="11">
        <v>0.56399999999999995</v>
      </c>
      <c r="K98" s="45">
        <f t="shared" si="8"/>
        <v>974.46000000000015</v>
      </c>
      <c r="L98" s="10">
        <v>12</v>
      </c>
      <c r="M98" s="10">
        <v>3.4</v>
      </c>
      <c r="N98" s="10" t="b">
        <v>1</v>
      </c>
      <c r="O98" s="41" t="s">
        <v>19</v>
      </c>
      <c r="P98" s="45">
        <f t="shared" si="9"/>
        <v>409.27320000000003</v>
      </c>
      <c r="Q98" s="45">
        <f t="shared" si="10"/>
        <v>565.18680000000018</v>
      </c>
      <c r="R98" s="45">
        <v>150</v>
      </c>
      <c r="S98" s="45">
        <f t="shared" si="11"/>
        <v>97.446000000000026</v>
      </c>
      <c r="T98" s="45">
        <f t="shared" si="12"/>
        <v>974.46000000000015</v>
      </c>
      <c r="U98" s="47">
        <f t="shared" si="13"/>
        <v>-656.7192</v>
      </c>
    </row>
    <row r="99" spans="1:21" x14ac:dyDescent="0.3">
      <c r="A99" s="41" t="str">
        <f t="shared" si="7"/>
        <v>PANNBO</v>
      </c>
      <c r="B99" s="43">
        <v>45416</v>
      </c>
      <c r="C99" s="10" t="s">
        <v>140</v>
      </c>
      <c r="D99" s="10" t="s">
        <v>42</v>
      </c>
      <c r="E99" s="10" t="s">
        <v>26</v>
      </c>
      <c r="F99" s="10" t="s">
        <v>54</v>
      </c>
      <c r="G99" s="10" t="s">
        <v>7</v>
      </c>
      <c r="H99" s="10" t="s">
        <v>56</v>
      </c>
      <c r="I99" s="45">
        <v>2576</v>
      </c>
      <c r="J99" s="11">
        <v>0</v>
      </c>
      <c r="K99" s="45">
        <f t="shared" si="8"/>
        <v>2576</v>
      </c>
      <c r="L99" s="10">
        <v>36</v>
      </c>
      <c r="M99" s="10">
        <v>3.5</v>
      </c>
      <c r="N99" s="10" t="b">
        <v>0</v>
      </c>
      <c r="O99" s="41"/>
      <c r="P99" s="45">
        <f t="shared" si="9"/>
        <v>1081.92</v>
      </c>
      <c r="Q99" s="45">
        <f t="shared" si="10"/>
        <v>1494.08</v>
      </c>
      <c r="R99" s="45">
        <v>0</v>
      </c>
      <c r="S99" s="45">
        <f t="shared" si="11"/>
        <v>0</v>
      </c>
      <c r="T99" s="45">
        <f t="shared" si="12"/>
        <v>0</v>
      </c>
      <c r="U99" s="47">
        <f t="shared" si="13"/>
        <v>1494.08</v>
      </c>
    </row>
    <row r="100" spans="1:21" x14ac:dyDescent="0.3">
      <c r="A100" s="41" t="str">
        <f t="shared" si="7"/>
        <v>PZARBO</v>
      </c>
      <c r="B100" s="43">
        <v>45416</v>
      </c>
      <c r="C100" s="10" t="s">
        <v>141</v>
      </c>
      <c r="D100" s="10" t="s">
        <v>3</v>
      </c>
      <c r="E100" s="10" t="s">
        <v>26</v>
      </c>
      <c r="F100" s="10" t="s">
        <v>54</v>
      </c>
      <c r="G100" s="10" t="s">
        <v>46</v>
      </c>
      <c r="H100" s="10" t="s">
        <v>35</v>
      </c>
      <c r="I100" s="45">
        <v>2009</v>
      </c>
      <c r="J100" s="11">
        <v>0.03</v>
      </c>
      <c r="K100" s="45">
        <f t="shared" si="8"/>
        <v>1948.73</v>
      </c>
      <c r="L100" s="10">
        <v>40</v>
      </c>
      <c r="M100" s="10">
        <v>1.3</v>
      </c>
      <c r="N100" s="10" t="b">
        <v>0</v>
      </c>
      <c r="O100" s="41"/>
      <c r="P100" s="45">
        <f t="shared" si="9"/>
        <v>818.46659999999997</v>
      </c>
      <c r="Q100" s="45">
        <f t="shared" si="10"/>
        <v>1130.2634</v>
      </c>
      <c r="R100" s="45">
        <v>0</v>
      </c>
      <c r="S100" s="45">
        <f t="shared" si="11"/>
        <v>0</v>
      </c>
      <c r="T100" s="45">
        <f t="shared" si="12"/>
        <v>0</v>
      </c>
      <c r="U100" s="47">
        <f t="shared" si="13"/>
        <v>1130.2634</v>
      </c>
    </row>
    <row r="101" spans="1:21" x14ac:dyDescent="0.3">
      <c r="A101" s="41" t="str">
        <f t="shared" si="7"/>
        <v>PGAPTO</v>
      </c>
      <c r="B101" s="43">
        <v>45417</v>
      </c>
      <c r="C101" s="10" t="s">
        <v>142</v>
      </c>
      <c r="D101" s="10" t="s">
        <v>53</v>
      </c>
      <c r="E101" s="10" t="s">
        <v>9</v>
      </c>
      <c r="F101" s="10" t="s">
        <v>54</v>
      </c>
      <c r="G101" s="10" t="s">
        <v>12</v>
      </c>
      <c r="H101" s="10" t="s">
        <v>16</v>
      </c>
      <c r="I101" s="45">
        <v>1243</v>
      </c>
      <c r="J101" s="11">
        <v>0</v>
      </c>
      <c r="K101" s="45">
        <f t="shared" si="8"/>
        <v>1243</v>
      </c>
      <c r="L101" s="10">
        <v>39</v>
      </c>
      <c r="M101" s="10">
        <v>4.9000000000000004</v>
      </c>
      <c r="N101" s="10" t="b">
        <v>1</v>
      </c>
      <c r="O101" s="41" t="s">
        <v>44</v>
      </c>
      <c r="P101" s="45">
        <f t="shared" si="9"/>
        <v>522.05999999999995</v>
      </c>
      <c r="Q101" s="45">
        <f t="shared" si="10"/>
        <v>720.94</v>
      </c>
      <c r="R101" s="45">
        <v>150</v>
      </c>
      <c r="S101" s="45">
        <f t="shared" si="11"/>
        <v>124.30000000000001</v>
      </c>
      <c r="T101" s="45">
        <f t="shared" si="12"/>
        <v>1243</v>
      </c>
      <c r="U101" s="47">
        <f t="shared" si="13"/>
        <v>-796.3599999999999</v>
      </c>
    </row>
    <row r="102" spans="1:21" x14ac:dyDescent="0.3">
      <c r="A102" s="41" t="str">
        <f t="shared" si="7"/>
        <v>PZARBO</v>
      </c>
      <c r="B102" s="43">
        <v>45417</v>
      </c>
      <c r="C102" s="10" t="s">
        <v>143</v>
      </c>
      <c r="D102" s="10" t="s">
        <v>3</v>
      </c>
      <c r="E102" s="10" t="s">
        <v>26</v>
      </c>
      <c r="F102" s="10" t="s">
        <v>23</v>
      </c>
      <c r="G102" s="10" t="s">
        <v>12</v>
      </c>
      <c r="H102" s="10" t="s">
        <v>43</v>
      </c>
      <c r="I102" s="45">
        <v>2124</v>
      </c>
      <c r="J102" s="11">
        <v>0.19500000000000001</v>
      </c>
      <c r="K102" s="45">
        <f t="shared" si="8"/>
        <v>1709.82</v>
      </c>
      <c r="L102" s="10">
        <v>42</v>
      </c>
      <c r="M102" s="10">
        <v>1</v>
      </c>
      <c r="N102" s="10" t="b">
        <v>1</v>
      </c>
      <c r="O102" s="41"/>
      <c r="P102" s="45">
        <f t="shared" si="9"/>
        <v>718.12439999999992</v>
      </c>
      <c r="Q102" s="45">
        <f t="shared" si="10"/>
        <v>991.69560000000001</v>
      </c>
      <c r="R102" s="45">
        <v>150</v>
      </c>
      <c r="S102" s="45">
        <f t="shared" si="11"/>
        <v>170.982</v>
      </c>
      <c r="T102" s="45">
        <f t="shared" si="12"/>
        <v>1709.82</v>
      </c>
      <c r="U102" s="47">
        <f t="shared" si="13"/>
        <v>-1039.1063999999999</v>
      </c>
    </row>
    <row r="103" spans="1:21" x14ac:dyDescent="0.3">
      <c r="A103" s="41" t="str">
        <f t="shared" si="7"/>
        <v>PBANDR</v>
      </c>
      <c r="B103" s="43">
        <v>45417</v>
      </c>
      <c r="C103" s="10" t="s">
        <v>144</v>
      </c>
      <c r="D103" s="10" t="s">
        <v>21</v>
      </c>
      <c r="E103" s="10" t="s">
        <v>30</v>
      </c>
      <c r="F103" s="10" t="s">
        <v>11</v>
      </c>
      <c r="G103" s="10" t="s">
        <v>27</v>
      </c>
      <c r="H103" s="10" t="s">
        <v>43</v>
      </c>
      <c r="I103" s="45">
        <v>2039</v>
      </c>
      <c r="J103" s="11">
        <v>0</v>
      </c>
      <c r="K103" s="45">
        <f t="shared" si="8"/>
        <v>2039</v>
      </c>
      <c r="L103" s="10">
        <v>34</v>
      </c>
      <c r="M103" s="10">
        <v>4.9000000000000004</v>
      </c>
      <c r="N103" s="10" t="b">
        <v>1</v>
      </c>
      <c r="O103" s="41" t="s">
        <v>33</v>
      </c>
      <c r="P103" s="45">
        <f t="shared" si="9"/>
        <v>856.38</v>
      </c>
      <c r="Q103" s="45">
        <f t="shared" si="10"/>
        <v>1182.6199999999999</v>
      </c>
      <c r="R103" s="45">
        <v>150</v>
      </c>
      <c r="S103" s="45">
        <f t="shared" si="11"/>
        <v>203.9</v>
      </c>
      <c r="T103" s="45">
        <f t="shared" si="12"/>
        <v>2039</v>
      </c>
      <c r="U103" s="47">
        <f t="shared" si="13"/>
        <v>-1210.2800000000002</v>
      </c>
    </row>
    <row r="104" spans="1:21" x14ac:dyDescent="0.3">
      <c r="A104" s="41" t="str">
        <f t="shared" si="7"/>
        <v>PUNIDR</v>
      </c>
      <c r="B104" s="43">
        <v>45418</v>
      </c>
      <c r="C104" s="10" t="s">
        <v>145</v>
      </c>
      <c r="D104" s="10" t="s">
        <v>10</v>
      </c>
      <c r="E104" s="10" t="s">
        <v>30</v>
      </c>
      <c r="F104" s="10" t="s">
        <v>4</v>
      </c>
      <c r="G104" s="10" t="s">
        <v>27</v>
      </c>
      <c r="H104" s="10" t="s">
        <v>47</v>
      </c>
      <c r="I104" s="45">
        <v>2965</v>
      </c>
      <c r="J104" s="11">
        <v>0</v>
      </c>
      <c r="K104" s="45">
        <f t="shared" si="8"/>
        <v>2965</v>
      </c>
      <c r="L104" s="10">
        <v>25</v>
      </c>
      <c r="M104" s="10">
        <v>1.8</v>
      </c>
      <c r="N104" s="10" t="b">
        <v>1</v>
      </c>
      <c r="O104" s="41" t="s">
        <v>80</v>
      </c>
      <c r="P104" s="45">
        <f t="shared" si="9"/>
        <v>1245.3</v>
      </c>
      <c r="Q104" s="45">
        <f t="shared" si="10"/>
        <v>1719.7</v>
      </c>
      <c r="R104" s="45">
        <v>150</v>
      </c>
      <c r="S104" s="45">
        <f t="shared" si="11"/>
        <v>296.5</v>
      </c>
      <c r="T104" s="45">
        <f t="shared" si="12"/>
        <v>2965</v>
      </c>
      <c r="U104" s="47">
        <f t="shared" si="13"/>
        <v>-1691.8</v>
      </c>
    </row>
    <row r="105" spans="1:21" x14ac:dyDescent="0.3">
      <c r="A105" s="41" t="str">
        <f t="shared" si="7"/>
        <v>PUNIBO</v>
      </c>
      <c r="B105" s="43">
        <v>45418</v>
      </c>
      <c r="C105" s="10" t="s">
        <v>146</v>
      </c>
      <c r="D105" s="10" t="s">
        <v>10</v>
      </c>
      <c r="E105" s="10" t="s">
        <v>26</v>
      </c>
      <c r="F105" s="10" t="s">
        <v>11</v>
      </c>
      <c r="G105" s="10" t="s">
        <v>12</v>
      </c>
      <c r="H105" s="10" t="s">
        <v>56</v>
      </c>
      <c r="I105" s="45">
        <v>2979</v>
      </c>
      <c r="J105" s="11">
        <v>0.58200000000000007</v>
      </c>
      <c r="K105" s="45">
        <f t="shared" si="8"/>
        <v>1245.2219999999998</v>
      </c>
      <c r="L105" s="10">
        <v>32</v>
      </c>
      <c r="M105" s="10">
        <v>4.8</v>
      </c>
      <c r="N105" s="10" t="b">
        <v>1</v>
      </c>
      <c r="O105" s="41" t="s">
        <v>33</v>
      </c>
      <c r="P105" s="45">
        <f t="shared" si="9"/>
        <v>522.9932399999999</v>
      </c>
      <c r="Q105" s="45">
        <f t="shared" si="10"/>
        <v>722.22875999999985</v>
      </c>
      <c r="R105" s="45">
        <v>150</v>
      </c>
      <c r="S105" s="45">
        <f t="shared" si="11"/>
        <v>124.52219999999998</v>
      </c>
      <c r="T105" s="45">
        <f t="shared" si="12"/>
        <v>1245.2219999999998</v>
      </c>
      <c r="U105" s="47">
        <f t="shared" si="13"/>
        <v>-797.5154399999999</v>
      </c>
    </row>
    <row r="106" spans="1:21" x14ac:dyDescent="0.3">
      <c r="A106" s="41" t="str">
        <f t="shared" si="7"/>
        <v>PH&amp;MSH</v>
      </c>
      <c r="B106" s="43">
        <v>45418</v>
      </c>
      <c r="C106" s="10" t="s">
        <v>147</v>
      </c>
      <c r="D106" s="10" t="s">
        <v>37</v>
      </c>
      <c r="E106" s="10" t="s">
        <v>18</v>
      </c>
      <c r="F106" s="10" t="s">
        <v>11</v>
      </c>
      <c r="G106" s="10" t="s">
        <v>27</v>
      </c>
      <c r="H106" s="10" t="s">
        <v>6</v>
      </c>
      <c r="I106" s="45">
        <v>4236</v>
      </c>
      <c r="J106" s="11">
        <v>0</v>
      </c>
      <c r="K106" s="45">
        <f t="shared" si="8"/>
        <v>4236</v>
      </c>
      <c r="L106" s="10">
        <v>10</v>
      </c>
      <c r="M106" s="10">
        <v>3.9</v>
      </c>
      <c r="N106" s="10" t="b">
        <v>1</v>
      </c>
      <c r="O106" s="41" t="s">
        <v>44</v>
      </c>
      <c r="P106" s="45">
        <f t="shared" si="9"/>
        <v>1779.12</v>
      </c>
      <c r="Q106" s="45">
        <f t="shared" si="10"/>
        <v>2456.88</v>
      </c>
      <c r="R106" s="45">
        <v>150</v>
      </c>
      <c r="S106" s="45">
        <f t="shared" si="11"/>
        <v>423.6</v>
      </c>
      <c r="T106" s="45">
        <f t="shared" si="12"/>
        <v>4236</v>
      </c>
      <c r="U106" s="47">
        <f t="shared" si="13"/>
        <v>-2352.7199999999998</v>
      </c>
    </row>
    <row r="107" spans="1:21" x14ac:dyDescent="0.3">
      <c r="A107" s="41" t="str">
        <f t="shared" si="7"/>
        <v>PBANBO</v>
      </c>
      <c r="B107" s="43">
        <v>45418</v>
      </c>
      <c r="C107" s="10" t="s">
        <v>148</v>
      </c>
      <c r="D107" s="10" t="s">
        <v>21</v>
      </c>
      <c r="E107" s="10" t="s">
        <v>26</v>
      </c>
      <c r="F107" s="10" t="s">
        <v>4</v>
      </c>
      <c r="G107" s="10" t="s">
        <v>5</v>
      </c>
      <c r="H107" s="10" t="s">
        <v>47</v>
      </c>
      <c r="I107" s="45">
        <v>2971</v>
      </c>
      <c r="J107" s="11">
        <v>0</v>
      </c>
      <c r="K107" s="45">
        <f t="shared" si="8"/>
        <v>2971</v>
      </c>
      <c r="L107" s="10">
        <v>21</v>
      </c>
      <c r="M107" s="10">
        <v>2.8</v>
      </c>
      <c r="N107" s="10" t="b">
        <v>1</v>
      </c>
      <c r="O107" s="41"/>
      <c r="P107" s="45">
        <f t="shared" si="9"/>
        <v>1247.82</v>
      </c>
      <c r="Q107" s="45">
        <f t="shared" si="10"/>
        <v>1723.18</v>
      </c>
      <c r="R107" s="45">
        <v>150</v>
      </c>
      <c r="S107" s="45">
        <f t="shared" si="11"/>
        <v>297.10000000000002</v>
      </c>
      <c r="T107" s="45">
        <f t="shared" si="12"/>
        <v>2971</v>
      </c>
      <c r="U107" s="47">
        <f t="shared" si="13"/>
        <v>-1694.92</v>
      </c>
    </row>
    <row r="108" spans="1:21" x14ac:dyDescent="0.3">
      <c r="A108" s="41" t="str">
        <f t="shared" si="7"/>
        <v>PBANBO</v>
      </c>
      <c r="B108" s="43">
        <v>45419</v>
      </c>
      <c r="C108" s="10" t="s">
        <v>149</v>
      </c>
      <c r="D108" s="10" t="s">
        <v>21</v>
      </c>
      <c r="E108" s="10" t="s">
        <v>26</v>
      </c>
      <c r="F108" s="10" t="s">
        <v>54</v>
      </c>
      <c r="G108" s="10" t="s">
        <v>49</v>
      </c>
      <c r="H108" s="10" t="s">
        <v>47</v>
      </c>
      <c r="I108" s="45">
        <v>2649</v>
      </c>
      <c r="J108" s="11">
        <v>0</v>
      </c>
      <c r="K108" s="45">
        <f t="shared" si="8"/>
        <v>2649</v>
      </c>
      <c r="L108" s="10">
        <v>44</v>
      </c>
      <c r="M108" s="10">
        <v>4.7</v>
      </c>
      <c r="N108" s="10" t="b">
        <v>0</v>
      </c>
      <c r="O108" s="41"/>
      <c r="P108" s="45">
        <f t="shared" si="9"/>
        <v>1112.58</v>
      </c>
      <c r="Q108" s="45">
        <f t="shared" si="10"/>
        <v>1536.42</v>
      </c>
      <c r="R108" s="45">
        <v>0</v>
      </c>
      <c r="S108" s="45">
        <f t="shared" si="11"/>
        <v>0</v>
      </c>
      <c r="T108" s="45">
        <f t="shared" si="12"/>
        <v>0</v>
      </c>
      <c r="U108" s="47">
        <f t="shared" si="13"/>
        <v>1536.42</v>
      </c>
    </row>
    <row r="109" spans="1:21" x14ac:dyDescent="0.3">
      <c r="A109" s="41" t="str">
        <f t="shared" si="7"/>
        <v>PH&amp;MBO</v>
      </c>
      <c r="B109" s="43">
        <v>45419</v>
      </c>
      <c r="C109" s="10" t="s">
        <v>150</v>
      </c>
      <c r="D109" s="10" t="s">
        <v>37</v>
      </c>
      <c r="E109" s="10" t="s">
        <v>26</v>
      </c>
      <c r="F109" s="10" t="s">
        <v>23</v>
      </c>
      <c r="G109" s="10" t="s">
        <v>5</v>
      </c>
      <c r="H109" s="10" t="s">
        <v>32</v>
      </c>
      <c r="I109" s="45">
        <v>2259</v>
      </c>
      <c r="J109" s="11">
        <v>0</v>
      </c>
      <c r="K109" s="45">
        <f t="shared" si="8"/>
        <v>2259</v>
      </c>
      <c r="L109" s="10">
        <v>41</v>
      </c>
      <c r="M109" s="10"/>
      <c r="N109" s="10" t="b">
        <v>0</v>
      </c>
      <c r="O109" s="41"/>
      <c r="P109" s="45">
        <f t="shared" si="9"/>
        <v>948.78</v>
      </c>
      <c r="Q109" s="45">
        <f t="shared" si="10"/>
        <v>1310.22</v>
      </c>
      <c r="R109" s="45">
        <v>0</v>
      </c>
      <c r="S109" s="45">
        <f t="shared" si="11"/>
        <v>0</v>
      </c>
      <c r="T109" s="45">
        <f t="shared" si="12"/>
        <v>0</v>
      </c>
      <c r="U109" s="47">
        <f t="shared" si="13"/>
        <v>1310.22</v>
      </c>
    </row>
    <row r="110" spans="1:21" x14ac:dyDescent="0.3">
      <c r="A110" s="41" t="str">
        <f t="shared" si="7"/>
        <v>PH&amp;MSH</v>
      </c>
      <c r="B110" s="43">
        <v>45420</v>
      </c>
      <c r="C110" s="10" t="s">
        <v>151</v>
      </c>
      <c r="D110" s="10" t="s">
        <v>37</v>
      </c>
      <c r="E110" s="10" t="s">
        <v>18</v>
      </c>
      <c r="F110" s="10" t="s">
        <v>23</v>
      </c>
      <c r="G110" s="10" t="s">
        <v>46</v>
      </c>
      <c r="H110" s="10" t="s">
        <v>56</v>
      </c>
      <c r="I110" s="45">
        <v>3590</v>
      </c>
      <c r="J110" s="11">
        <v>0</v>
      </c>
      <c r="K110" s="45">
        <f t="shared" si="8"/>
        <v>3590</v>
      </c>
      <c r="L110" s="10">
        <v>23</v>
      </c>
      <c r="M110" s="10">
        <v>4.0999999999999996</v>
      </c>
      <c r="N110" s="10" t="b">
        <v>1</v>
      </c>
      <c r="O110" s="41" t="s">
        <v>33</v>
      </c>
      <c r="P110" s="45">
        <f t="shared" si="9"/>
        <v>1507.8</v>
      </c>
      <c r="Q110" s="45">
        <f t="shared" si="10"/>
        <v>2082.1999999999998</v>
      </c>
      <c r="R110" s="45">
        <v>150</v>
      </c>
      <c r="S110" s="45">
        <f t="shared" si="11"/>
        <v>359</v>
      </c>
      <c r="T110" s="45">
        <f t="shared" si="12"/>
        <v>3590</v>
      </c>
      <c r="U110" s="47">
        <f t="shared" si="13"/>
        <v>-2016.8000000000002</v>
      </c>
    </row>
    <row r="111" spans="1:21" x14ac:dyDescent="0.3">
      <c r="A111" s="41" t="str">
        <f t="shared" si="7"/>
        <v>PZARDR</v>
      </c>
      <c r="B111" s="43">
        <v>45420</v>
      </c>
      <c r="C111" s="10" t="s">
        <v>152</v>
      </c>
      <c r="D111" s="10" t="s">
        <v>3</v>
      </c>
      <c r="E111" s="10" t="s">
        <v>30</v>
      </c>
      <c r="F111" s="10" t="s">
        <v>11</v>
      </c>
      <c r="G111" s="10" t="s">
        <v>27</v>
      </c>
      <c r="H111" s="10" t="s">
        <v>28</v>
      </c>
      <c r="I111" s="45">
        <v>2185</v>
      </c>
      <c r="J111" s="11">
        <v>0.59499999999999997</v>
      </c>
      <c r="K111" s="45">
        <f t="shared" si="8"/>
        <v>884.92500000000007</v>
      </c>
      <c r="L111" s="10">
        <v>5</v>
      </c>
      <c r="M111" s="10">
        <v>3.9</v>
      </c>
      <c r="N111" s="10" t="b">
        <v>0</v>
      </c>
      <c r="O111" s="41"/>
      <c r="P111" s="45">
        <f t="shared" si="9"/>
        <v>371.66849999999999</v>
      </c>
      <c r="Q111" s="45">
        <f t="shared" si="10"/>
        <v>513.25650000000007</v>
      </c>
      <c r="R111" s="45">
        <v>0</v>
      </c>
      <c r="S111" s="45">
        <f t="shared" si="11"/>
        <v>0</v>
      </c>
      <c r="T111" s="45">
        <f t="shared" si="12"/>
        <v>0</v>
      </c>
      <c r="U111" s="47">
        <f t="shared" si="13"/>
        <v>513.25650000000007</v>
      </c>
    </row>
    <row r="112" spans="1:21" x14ac:dyDescent="0.3">
      <c r="A112" s="41" t="str">
        <f t="shared" si="7"/>
        <v>PUNIOU</v>
      </c>
      <c r="B112" s="43">
        <v>45420</v>
      </c>
      <c r="C112" s="10" t="s">
        <v>153</v>
      </c>
      <c r="D112" s="10" t="s">
        <v>10</v>
      </c>
      <c r="E112" s="10" t="s">
        <v>2</v>
      </c>
      <c r="F112" s="10" t="s">
        <v>4</v>
      </c>
      <c r="G112" s="10" t="s">
        <v>12</v>
      </c>
      <c r="H112" s="10" t="s">
        <v>7</v>
      </c>
      <c r="I112" s="45">
        <v>4256</v>
      </c>
      <c r="J112" s="11">
        <v>0</v>
      </c>
      <c r="K112" s="45">
        <f t="shared" si="8"/>
        <v>4256</v>
      </c>
      <c r="L112" s="10">
        <v>9</v>
      </c>
      <c r="M112" s="10">
        <v>1.2</v>
      </c>
      <c r="N112" s="10" t="b">
        <v>0</v>
      </c>
      <c r="O112" s="41"/>
      <c r="P112" s="45">
        <f t="shared" si="9"/>
        <v>1787.52</v>
      </c>
      <c r="Q112" s="45">
        <f t="shared" si="10"/>
        <v>2468.48</v>
      </c>
      <c r="R112" s="45">
        <v>0</v>
      </c>
      <c r="S112" s="45">
        <f t="shared" si="11"/>
        <v>0</v>
      </c>
      <c r="T112" s="45">
        <f t="shared" si="12"/>
        <v>0</v>
      </c>
      <c r="U112" s="47">
        <f t="shared" si="13"/>
        <v>2468.48</v>
      </c>
    </row>
    <row r="113" spans="1:21" x14ac:dyDescent="0.3">
      <c r="A113" s="41" t="str">
        <f t="shared" si="7"/>
        <v>PBANAC</v>
      </c>
      <c r="B113" s="43">
        <v>45420</v>
      </c>
      <c r="C113" s="10" t="s">
        <v>154</v>
      </c>
      <c r="D113" s="10" t="s">
        <v>21</v>
      </c>
      <c r="E113" s="10" t="s">
        <v>15</v>
      </c>
      <c r="F113" s="10" t="s">
        <v>11</v>
      </c>
      <c r="G113" s="10" t="s">
        <v>7</v>
      </c>
      <c r="H113" s="10" t="s">
        <v>88</v>
      </c>
      <c r="I113" s="45">
        <v>187</v>
      </c>
      <c r="J113" s="11">
        <v>0</v>
      </c>
      <c r="K113" s="45">
        <f t="shared" si="8"/>
        <v>187</v>
      </c>
      <c r="L113" s="10">
        <v>4</v>
      </c>
      <c r="M113" s="10">
        <v>4.5</v>
      </c>
      <c r="N113" s="10" t="b">
        <v>0</v>
      </c>
      <c r="O113" s="41"/>
      <c r="P113" s="45">
        <f t="shared" si="9"/>
        <v>78.539999999999992</v>
      </c>
      <c r="Q113" s="45">
        <f t="shared" si="10"/>
        <v>108.46000000000001</v>
      </c>
      <c r="R113" s="45">
        <v>0</v>
      </c>
      <c r="S113" s="45">
        <f t="shared" si="11"/>
        <v>0</v>
      </c>
      <c r="T113" s="45">
        <f t="shared" si="12"/>
        <v>0</v>
      </c>
      <c r="U113" s="47">
        <f t="shared" si="13"/>
        <v>108.46000000000001</v>
      </c>
    </row>
    <row r="114" spans="1:21" x14ac:dyDescent="0.3">
      <c r="A114" s="41" t="str">
        <f t="shared" si="7"/>
        <v>PH&amp;MDR</v>
      </c>
      <c r="B114" s="43">
        <v>45420</v>
      </c>
      <c r="C114" s="10" t="s">
        <v>155</v>
      </c>
      <c r="D114" s="10" t="s">
        <v>37</v>
      </c>
      <c r="E114" s="10" t="s">
        <v>30</v>
      </c>
      <c r="F114" s="10" t="s">
        <v>23</v>
      </c>
      <c r="G114" s="10" t="s">
        <v>27</v>
      </c>
      <c r="H114" s="10" t="s">
        <v>58</v>
      </c>
      <c r="I114" s="45">
        <v>2731</v>
      </c>
      <c r="J114" s="11">
        <v>0.5</v>
      </c>
      <c r="K114" s="45">
        <f t="shared" si="8"/>
        <v>1365.5</v>
      </c>
      <c r="L114" s="10">
        <v>28</v>
      </c>
      <c r="M114" s="10">
        <v>3.2</v>
      </c>
      <c r="N114" s="10" t="b">
        <v>1</v>
      </c>
      <c r="O114" s="41" t="s">
        <v>33</v>
      </c>
      <c r="P114" s="45">
        <f t="shared" si="9"/>
        <v>573.51</v>
      </c>
      <c r="Q114" s="45">
        <f t="shared" si="10"/>
        <v>791.99</v>
      </c>
      <c r="R114" s="45">
        <v>150</v>
      </c>
      <c r="S114" s="45">
        <f t="shared" si="11"/>
        <v>136.55000000000001</v>
      </c>
      <c r="T114" s="45">
        <f t="shared" si="12"/>
        <v>1365.5</v>
      </c>
      <c r="U114" s="47">
        <f t="shared" si="13"/>
        <v>-860.06</v>
      </c>
    </row>
    <row r="115" spans="1:21" x14ac:dyDescent="0.3">
      <c r="A115" s="41" t="str">
        <f t="shared" si="7"/>
        <v>PMANTO</v>
      </c>
      <c r="B115" s="43">
        <v>45421</v>
      </c>
      <c r="C115" s="10" t="s">
        <v>156</v>
      </c>
      <c r="D115" s="10" t="s">
        <v>31</v>
      </c>
      <c r="E115" s="10" t="s">
        <v>9</v>
      </c>
      <c r="F115" s="10" t="s">
        <v>54</v>
      </c>
      <c r="G115" s="10" t="s">
        <v>38</v>
      </c>
      <c r="H115" s="10" t="s">
        <v>6</v>
      </c>
      <c r="I115" s="45">
        <v>1141</v>
      </c>
      <c r="J115" s="11">
        <v>0.33799999999999997</v>
      </c>
      <c r="K115" s="45">
        <f t="shared" si="8"/>
        <v>755.34199999999998</v>
      </c>
      <c r="L115" s="10">
        <v>27</v>
      </c>
      <c r="M115" s="10">
        <v>2.1</v>
      </c>
      <c r="N115" s="10" t="b">
        <v>0</v>
      </c>
      <c r="O115" s="41"/>
      <c r="P115" s="45">
        <f t="shared" si="9"/>
        <v>317.24363999999997</v>
      </c>
      <c r="Q115" s="45">
        <f t="shared" si="10"/>
        <v>438.09836000000001</v>
      </c>
      <c r="R115" s="45">
        <v>0</v>
      </c>
      <c r="S115" s="45">
        <f t="shared" si="11"/>
        <v>0</v>
      </c>
      <c r="T115" s="45">
        <f t="shared" si="12"/>
        <v>0</v>
      </c>
      <c r="U115" s="47">
        <f t="shared" si="13"/>
        <v>438.09836000000001</v>
      </c>
    </row>
    <row r="116" spans="1:21" x14ac:dyDescent="0.3">
      <c r="A116" s="41" t="str">
        <f t="shared" si="7"/>
        <v>PFORBO</v>
      </c>
      <c r="B116" s="43">
        <v>45421</v>
      </c>
      <c r="C116" s="10" t="s">
        <v>157</v>
      </c>
      <c r="D116" s="10" t="s">
        <v>65</v>
      </c>
      <c r="E116" s="10" t="s">
        <v>26</v>
      </c>
      <c r="F116" s="10" t="s">
        <v>11</v>
      </c>
      <c r="G116" s="10" t="s">
        <v>27</v>
      </c>
      <c r="H116" s="10" t="s">
        <v>13</v>
      </c>
      <c r="I116" s="45">
        <v>2594</v>
      </c>
      <c r="J116" s="11">
        <v>0.255</v>
      </c>
      <c r="K116" s="45">
        <f t="shared" si="8"/>
        <v>1932.53</v>
      </c>
      <c r="L116" s="10">
        <v>8</v>
      </c>
      <c r="M116" s="10">
        <v>2.2999999999999998</v>
      </c>
      <c r="N116" s="10" t="b">
        <v>0</v>
      </c>
      <c r="O116" s="41"/>
      <c r="P116" s="45">
        <f t="shared" si="9"/>
        <v>811.6626</v>
      </c>
      <c r="Q116" s="45">
        <f t="shared" si="10"/>
        <v>1120.8674000000001</v>
      </c>
      <c r="R116" s="45">
        <v>0</v>
      </c>
      <c r="S116" s="45">
        <f t="shared" si="11"/>
        <v>0</v>
      </c>
      <c r="T116" s="45">
        <f t="shared" si="12"/>
        <v>0</v>
      </c>
      <c r="U116" s="47">
        <f t="shared" si="13"/>
        <v>1120.8674000000001</v>
      </c>
    </row>
    <row r="117" spans="1:21" x14ac:dyDescent="0.3">
      <c r="A117" s="41" t="str">
        <f t="shared" si="7"/>
        <v>PZARTO</v>
      </c>
      <c r="B117" s="43">
        <v>45421</v>
      </c>
      <c r="C117" s="10" t="s">
        <v>158</v>
      </c>
      <c r="D117" s="10" t="s">
        <v>3</v>
      </c>
      <c r="E117" s="10" t="s">
        <v>9</v>
      </c>
      <c r="F117" s="10" t="s">
        <v>4</v>
      </c>
      <c r="G117" s="10" t="s">
        <v>7</v>
      </c>
      <c r="H117" s="10" t="s">
        <v>88</v>
      </c>
      <c r="I117" s="45">
        <v>1522</v>
      </c>
      <c r="J117" s="11">
        <v>0</v>
      </c>
      <c r="K117" s="45">
        <f t="shared" si="8"/>
        <v>1522</v>
      </c>
      <c r="L117" s="10">
        <v>37</v>
      </c>
      <c r="M117" s="10">
        <v>2.2999999999999998</v>
      </c>
      <c r="N117" s="10" t="b">
        <v>0</v>
      </c>
      <c r="O117" s="41"/>
      <c r="P117" s="45">
        <f t="shared" si="9"/>
        <v>639.24</v>
      </c>
      <c r="Q117" s="45">
        <f t="shared" si="10"/>
        <v>882.76</v>
      </c>
      <c r="R117" s="45">
        <v>0</v>
      </c>
      <c r="S117" s="45">
        <f t="shared" si="11"/>
        <v>0</v>
      </c>
      <c r="T117" s="45">
        <f t="shared" si="12"/>
        <v>0</v>
      </c>
      <c r="U117" s="47">
        <f t="shared" si="13"/>
        <v>882.76</v>
      </c>
    </row>
    <row r="118" spans="1:21" x14ac:dyDescent="0.3">
      <c r="A118" s="41" t="str">
        <f t="shared" si="7"/>
        <v>PUNIAC</v>
      </c>
      <c r="B118" s="43">
        <v>45422</v>
      </c>
      <c r="C118" s="10" t="s">
        <v>159</v>
      </c>
      <c r="D118" s="10" t="s">
        <v>10</v>
      </c>
      <c r="E118" s="10" t="s">
        <v>15</v>
      </c>
      <c r="F118" s="10" t="s">
        <v>23</v>
      </c>
      <c r="G118" s="10" t="s">
        <v>7</v>
      </c>
      <c r="H118" s="10" t="s">
        <v>88</v>
      </c>
      <c r="I118" s="45">
        <v>249</v>
      </c>
      <c r="J118" s="11">
        <v>0</v>
      </c>
      <c r="K118" s="45">
        <f t="shared" si="8"/>
        <v>249</v>
      </c>
      <c r="L118" s="10">
        <v>48</v>
      </c>
      <c r="M118" s="10"/>
      <c r="N118" s="10" t="b">
        <v>0</v>
      </c>
      <c r="O118" s="41"/>
      <c r="P118" s="45">
        <f t="shared" si="9"/>
        <v>104.58</v>
      </c>
      <c r="Q118" s="45">
        <f t="shared" si="10"/>
        <v>144.42000000000002</v>
      </c>
      <c r="R118" s="45">
        <v>0</v>
      </c>
      <c r="S118" s="45">
        <f t="shared" si="11"/>
        <v>0</v>
      </c>
      <c r="T118" s="45">
        <f t="shared" si="12"/>
        <v>0</v>
      </c>
      <c r="U118" s="47">
        <f t="shared" si="13"/>
        <v>144.42000000000002</v>
      </c>
    </row>
    <row r="119" spans="1:21" x14ac:dyDescent="0.3">
      <c r="A119" s="41" t="str">
        <f t="shared" si="7"/>
        <v>PZARDR</v>
      </c>
      <c r="B119" s="43">
        <v>45422</v>
      </c>
      <c r="C119" s="10" t="s">
        <v>160</v>
      </c>
      <c r="D119" s="10" t="s">
        <v>3</v>
      </c>
      <c r="E119" s="10" t="s">
        <v>30</v>
      </c>
      <c r="F119" s="10" t="s">
        <v>4</v>
      </c>
      <c r="G119" s="10" t="s">
        <v>49</v>
      </c>
      <c r="H119" s="10" t="s">
        <v>56</v>
      </c>
      <c r="I119" s="45">
        <v>2599</v>
      </c>
      <c r="J119" s="11">
        <v>0</v>
      </c>
      <c r="K119" s="45">
        <f t="shared" si="8"/>
        <v>2599</v>
      </c>
      <c r="L119" s="10">
        <v>12</v>
      </c>
      <c r="M119" s="10">
        <v>1.7</v>
      </c>
      <c r="N119" s="10" t="b">
        <v>0</v>
      </c>
      <c r="O119" s="41"/>
      <c r="P119" s="45">
        <f t="shared" si="9"/>
        <v>1091.58</v>
      </c>
      <c r="Q119" s="45">
        <f t="shared" si="10"/>
        <v>1507.42</v>
      </c>
      <c r="R119" s="45">
        <v>0</v>
      </c>
      <c r="S119" s="45">
        <f t="shared" si="11"/>
        <v>0</v>
      </c>
      <c r="T119" s="45">
        <f t="shared" si="12"/>
        <v>0</v>
      </c>
      <c r="U119" s="47">
        <f t="shared" si="13"/>
        <v>1507.42</v>
      </c>
    </row>
    <row r="120" spans="1:21" x14ac:dyDescent="0.3">
      <c r="A120" s="41" t="str">
        <f t="shared" si="7"/>
        <v>PUNIBO</v>
      </c>
      <c r="B120" s="43">
        <v>45423</v>
      </c>
      <c r="C120" s="10" t="s">
        <v>161</v>
      </c>
      <c r="D120" s="10" t="s">
        <v>10</v>
      </c>
      <c r="E120" s="10" t="s">
        <v>26</v>
      </c>
      <c r="F120" s="10" t="s">
        <v>11</v>
      </c>
      <c r="G120" s="10" t="s">
        <v>27</v>
      </c>
      <c r="H120" s="10" t="s">
        <v>16</v>
      </c>
      <c r="I120" s="45">
        <v>2308</v>
      </c>
      <c r="J120" s="11">
        <v>0</v>
      </c>
      <c r="K120" s="45">
        <f t="shared" si="8"/>
        <v>2308</v>
      </c>
      <c r="L120" s="10">
        <v>49</v>
      </c>
      <c r="M120" s="10"/>
      <c r="N120" s="10" t="b">
        <v>0</v>
      </c>
      <c r="O120" s="41"/>
      <c r="P120" s="45">
        <f t="shared" si="9"/>
        <v>969.36</v>
      </c>
      <c r="Q120" s="45">
        <f t="shared" si="10"/>
        <v>1338.6399999999999</v>
      </c>
      <c r="R120" s="45">
        <v>0</v>
      </c>
      <c r="S120" s="45">
        <f t="shared" si="11"/>
        <v>0</v>
      </c>
      <c r="T120" s="45">
        <f t="shared" si="12"/>
        <v>0</v>
      </c>
      <c r="U120" s="47">
        <f t="shared" si="13"/>
        <v>1338.6399999999999</v>
      </c>
    </row>
    <row r="121" spans="1:21" x14ac:dyDescent="0.3">
      <c r="A121" s="41" t="str">
        <f t="shared" si="7"/>
        <v>PZAROU</v>
      </c>
      <c r="B121" s="43">
        <v>45423</v>
      </c>
      <c r="C121" s="10" t="s">
        <v>162</v>
      </c>
      <c r="D121" s="10" t="s">
        <v>3</v>
      </c>
      <c r="E121" s="10" t="s">
        <v>2</v>
      </c>
      <c r="F121" s="10" t="s">
        <v>4</v>
      </c>
      <c r="G121" s="10" t="s">
        <v>12</v>
      </c>
      <c r="H121" s="10" t="s">
        <v>6</v>
      </c>
      <c r="I121" s="45">
        <v>3447</v>
      </c>
      <c r="J121" s="11">
        <v>0</v>
      </c>
      <c r="K121" s="45">
        <f t="shared" si="8"/>
        <v>3447</v>
      </c>
      <c r="L121" s="10">
        <v>27</v>
      </c>
      <c r="M121" s="10">
        <v>1.5</v>
      </c>
      <c r="N121" s="10" t="b">
        <v>1</v>
      </c>
      <c r="O121" s="41" t="s">
        <v>44</v>
      </c>
      <c r="P121" s="45">
        <f t="shared" si="9"/>
        <v>1447.74</v>
      </c>
      <c r="Q121" s="45">
        <f t="shared" si="10"/>
        <v>1999.26</v>
      </c>
      <c r="R121" s="45">
        <v>150</v>
      </c>
      <c r="S121" s="45">
        <f t="shared" si="11"/>
        <v>344.70000000000005</v>
      </c>
      <c r="T121" s="45">
        <f t="shared" si="12"/>
        <v>3447</v>
      </c>
      <c r="U121" s="47">
        <f t="shared" si="13"/>
        <v>-1942.44</v>
      </c>
    </row>
    <row r="122" spans="1:21" x14ac:dyDescent="0.3">
      <c r="A122" s="41" t="str">
        <f t="shared" si="7"/>
        <v>PUNISH</v>
      </c>
      <c r="B122" s="43">
        <v>45423</v>
      </c>
      <c r="C122" s="10" t="s">
        <v>163</v>
      </c>
      <c r="D122" s="10" t="s">
        <v>10</v>
      </c>
      <c r="E122" s="10" t="s">
        <v>18</v>
      </c>
      <c r="F122" s="10" t="s">
        <v>23</v>
      </c>
      <c r="G122" s="10" t="s">
        <v>38</v>
      </c>
      <c r="H122" s="10" t="s">
        <v>56</v>
      </c>
      <c r="I122" s="45">
        <v>4039</v>
      </c>
      <c r="J122" s="11">
        <v>0</v>
      </c>
      <c r="K122" s="45">
        <f t="shared" si="8"/>
        <v>4039</v>
      </c>
      <c r="L122" s="10">
        <v>27</v>
      </c>
      <c r="M122" s="10"/>
      <c r="N122" s="10" t="b">
        <v>1</v>
      </c>
      <c r="O122" s="41" t="s">
        <v>44</v>
      </c>
      <c r="P122" s="45">
        <f t="shared" si="9"/>
        <v>1696.3799999999999</v>
      </c>
      <c r="Q122" s="45">
        <f t="shared" si="10"/>
        <v>2342.62</v>
      </c>
      <c r="R122" s="45">
        <v>150</v>
      </c>
      <c r="S122" s="45">
        <f t="shared" si="11"/>
        <v>403.90000000000003</v>
      </c>
      <c r="T122" s="45">
        <f t="shared" si="12"/>
        <v>4039</v>
      </c>
      <c r="U122" s="47">
        <f t="shared" si="13"/>
        <v>-2250.2800000000002</v>
      </c>
    </row>
    <row r="123" spans="1:21" x14ac:dyDescent="0.3">
      <c r="A123" s="41" t="str">
        <f t="shared" si="7"/>
        <v>PGAPBO</v>
      </c>
      <c r="B123" s="43">
        <v>45424</v>
      </c>
      <c r="C123" s="10" t="s">
        <v>164</v>
      </c>
      <c r="D123" s="10" t="s">
        <v>53</v>
      </c>
      <c r="E123" s="10" t="s">
        <v>26</v>
      </c>
      <c r="F123" s="10" t="s">
        <v>11</v>
      </c>
      <c r="G123" s="10" t="s">
        <v>27</v>
      </c>
      <c r="H123" s="10" t="s">
        <v>6</v>
      </c>
      <c r="I123" s="45">
        <v>2251</v>
      </c>
      <c r="J123" s="11">
        <v>0</v>
      </c>
      <c r="K123" s="45">
        <f t="shared" si="8"/>
        <v>2251</v>
      </c>
      <c r="L123" s="10">
        <v>34</v>
      </c>
      <c r="M123" s="10"/>
      <c r="N123" s="10" t="b">
        <v>1</v>
      </c>
      <c r="O123" s="41" t="s">
        <v>80</v>
      </c>
      <c r="P123" s="45">
        <f t="shared" si="9"/>
        <v>945.42</v>
      </c>
      <c r="Q123" s="45">
        <f t="shared" si="10"/>
        <v>1305.58</v>
      </c>
      <c r="R123" s="45">
        <v>150</v>
      </c>
      <c r="S123" s="45">
        <f t="shared" si="11"/>
        <v>225.10000000000002</v>
      </c>
      <c r="T123" s="45">
        <f t="shared" si="12"/>
        <v>2251</v>
      </c>
      <c r="U123" s="47">
        <f t="shared" si="13"/>
        <v>-1320.52</v>
      </c>
    </row>
    <row r="124" spans="1:21" x14ac:dyDescent="0.3">
      <c r="A124" s="41" t="str">
        <f t="shared" si="7"/>
        <v>PZAROU</v>
      </c>
      <c r="B124" s="43">
        <v>45424</v>
      </c>
      <c r="C124" s="10" t="s">
        <v>165</v>
      </c>
      <c r="D124" s="10" t="s">
        <v>3</v>
      </c>
      <c r="E124" s="10" t="s">
        <v>2</v>
      </c>
      <c r="F124" s="10" t="s">
        <v>11</v>
      </c>
      <c r="G124" s="10" t="s">
        <v>38</v>
      </c>
      <c r="H124" s="10" t="s">
        <v>58</v>
      </c>
      <c r="I124" s="45">
        <v>3624</v>
      </c>
      <c r="J124" s="11">
        <v>0.45899999999999996</v>
      </c>
      <c r="K124" s="45">
        <f t="shared" si="8"/>
        <v>1960.5840000000001</v>
      </c>
      <c r="L124" s="10">
        <v>24</v>
      </c>
      <c r="M124" s="10"/>
      <c r="N124" s="10" t="b">
        <v>0</v>
      </c>
      <c r="O124" s="41"/>
      <c r="P124" s="45">
        <f t="shared" si="9"/>
        <v>823.44528000000003</v>
      </c>
      <c r="Q124" s="45">
        <f t="shared" si="10"/>
        <v>1137.1387199999999</v>
      </c>
      <c r="R124" s="45">
        <v>0</v>
      </c>
      <c r="S124" s="45">
        <f t="shared" si="11"/>
        <v>0</v>
      </c>
      <c r="T124" s="45">
        <f t="shared" si="12"/>
        <v>0</v>
      </c>
      <c r="U124" s="47">
        <f t="shared" si="13"/>
        <v>1137.1387199999999</v>
      </c>
    </row>
    <row r="125" spans="1:21" x14ac:dyDescent="0.3">
      <c r="A125" s="41" t="str">
        <f t="shared" si="7"/>
        <v>PH&amp;MSH</v>
      </c>
      <c r="B125" s="43">
        <v>45424</v>
      </c>
      <c r="C125" s="10" t="s">
        <v>166</v>
      </c>
      <c r="D125" s="10" t="s">
        <v>37</v>
      </c>
      <c r="E125" s="10" t="s">
        <v>18</v>
      </c>
      <c r="F125" s="10" t="s">
        <v>54</v>
      </c>
      <c r="G125" s="10" t="s">
        <v>46</v>
      </c>
      <c r="H125" s="10" t="s">
        <v>58</v>
      </c>
      <c r="I125" s="45">
        <v>4364</v>
      </c>
      <c r="J125" s="11">
        <v>0.109</v>
      </c>
      <c r="K125" s="45">
        <f t="shared" si="8"/>
        <v>3888.3240000000001</v>
      </c>
      <c r="L125" s="10">
        <v>40</v>
      </c>
      <c r="M125" s="10">
        <v>2.8</v>
      </c>
      <c r="N125" s="10" t="b">
        <v>1</v>
      </c>
      <c r="O125" s="41" t="s">
        <v>44</v>
      </c>
      <c r="P125" s="45">
        <f t="shared" si="9"/>
        <v>1633.09608</v>
      </c>
      <c r="Q125" s="45">
        <f t="shared" si="10"/>
        <v>2255.2279200000003</v>
      </c>
      <c r="R125" s="45">
        <v>150</v>
      </c>
      <c r="S125" s="45">
        <f t="shared" si="11"/>
        <v>388.83240000000001</v>
      </c>
      <c r="T125" s="45">
        <f t="shared" si="12"/>
        <v>3888.3240000000001</v>
      </c>
      <c r="U125" s="47">
        <f t="shared" si="13"/>
        <v>-2171.9284799999996</v>
      </c>
    </row>
    <row r="126" spans="1:21" x14ac:dyDescent="0.3">
      <c r="A126" s="41" t="str">
        <f t="shared" si="7"/>
        <v>PUNIAC</v>
      </c>
      <c r="B126" s="43">
        <v>45424</v>
      </c>
      <c r="C126" s="10" t="s">
        <v>167</v>
      </c>
      <c r="D126" s="10" t="s">
        <v>10</v>
      </c>
      <c r="E126" s="10" t="s">
        <v>15</v>
      </c>
      <c r="F126" s="10" t="s">
        <v>11</v>
      </c>
      <c r="G126" s="10" t="s">
        <v>7</v>
      </c>
      <c r="H126" s="10" t="s">
        <v>88</v>
      </c>
      <c r="I126" s="45">
        <v>344</v>
      </c>
      <c r="J126" s="11">
        <v>0.51500000000000001</v>
      </c>
      <c r="K126" s="45">
        <f t="shared" si="8"/>
        <v>166.84</v>
      </c>
      <c r="L126" s="10">
        <v>28</v>
      </c>
      <c r="M126" s="10">
        <v>4.3</v>
      </c>
      <c r="N126" s="10" t="b">
        <v>1</v>
      </c>
      <c r="O126" s="41" t="s">
        <v>80</v>
      </c>
      <c r="P126" s="45">
        <f t="shared" si="9"/>
        <v>70.072800000000001</v>
      </c>
      <c r="Q126" s="45">
        <f t="shared" si="10"/>
        <v>96.767200000000003</v>
      </c>
      <c r="R126" s="45">
        <v>150</v>
      </c>
      <c r="S126" s="45">
        <f t="shared" si="11"/>
        <v>16.684000000000001</v>
      </c>
      <c r="T126" s="45">
        <f t="shared" si="12"/>
        <v>166.84</v>
      </c>
      <c r="U126" s="47">
        <f t="shared" si="13"/>
        <v>-236.7568</v>
      </c>
    </row>
    <row r="127" spans="1:21" x14ac:dyDescent="0.3">
      <c r="A127" s="41" t="str">
        <f t="shared" si="7"/>
        <v>PGAPDR</v>
      </c>
      <c r="B127" s="43">
        <v>45425</v>
      </c>
      <c r="C127" s="10" t="s">
        <v>168</v>
      </c>
      <c r="D127" s="10" t="s">
        <v>53</v>
      </c>
      <c r="E127" s="10" t="s">
        <v>30</v>
      </c>
      <c r="F127" s="10" t="s">
        <v>4</v>
      </c>
      <c r="G127" s="10" t="s">
        <v>38</v>
      </c>
      <c r="H127" s="10" t="s">
        <v>7</v>
      </c>
      <c r="I127" s="45">
        <v>1920</v>
      </c>
      <c r="J127" s="11">
        <v>0.45899999999999996</v>
      </c>
      <c r="K127" s="45">
        <f t="shared" si="8"/>
        <v>1038.72</v>
      </c>
      <c r="L127" s="10">
        <v>37</v>
      </c>
      <c r="M127" s="10">
        <v>3.7</v>
      </c>
      <c r="N127" s="10" t="b">
        <v>1</v>
      </c>
      <c r="O127" s="41" t="s">
        <v>33</v>
      </c>
      <c r="P127" s="45">
        <f t="shared" si="9"/>
        <v>436.26240000000001</v>
      </c>
      <c r="Q127" s="45">
        <f t="shared" si="10"/>
        <v>602.45759999999996</v>
      </c>
      <c r="R127" s="45">
        <v>150</v>
      </c>
      <c r="S127" s="45">
        <f t="shared" si="11"/>
        <v>103.87200000000001</v>
      </c>
      <c r="T127" s="45">
        <f t="shared" si="12"/>
        <v>1038.72</v>
      </c>
      <c r="U127" s="47">
        <f t="shared" si="13"/>
        <v>-690.13440000000014</v>
      </c>
    </row>
    <row r="128" spans="1:21" x14ac:dyDescent="0.3">
      <c r="A128" s="41" t="str">
        <f t="shared" si="7"/>
        <v>PANNSH</v>
      </c>
      <c r="B128" s="43">
        <v>45425</v>
      </c>
      <c r="C128" s="10" t="s">
        <v>169</v>
      </c>
      <c r="D128" s="10" t="s">
        <v>42</v>
      </c>
      <c r="E128" s="10" t="s">
        <v>18</v>
      </c>
      <c r="F128" s="10" t="s">
        <v>4</v>
      </c>
      <c r="G128" s="10" t="s">
        <v>38</v>
      </c>
      <c r="H128" s="10" t="s">
        <v>32</v>
      </c>
      <c r="I128" s="45">
        <v>4476</v>
      </c>
      <c r="J128" s="11">
        <v>0</v>
      </c>
      <c r="K128" s="45">
        <f t="shared" si="8"/>
        <v>4476</v>
      </c>
      <c r="L128" s="10">
        <v>50</v>
      </c>
      <c r="M128" s="10">
        <v>1.1000000000000001</v>
      </c>
      <c r="N128" s="10" t="b">
        <v>0</v>
      </c>
      <c r="O128" s="41"/>
      <c r="P128" s="45">
        <f t="shared" si="9"/>
        <v>1879.9199999999998</v>
      </c>
      <c r="Q128" s="45">
        <f t="shared" si="10"/>
        <v>2596.08</v>
      </c>
      <c r="R128" s="45">
        <v>0</v>
      </c>
      <c r="S128" s="45">
        <f t="shared" si="11"/>
        <v>0</v>
      </c>
      <c r="T128" s="45">
        <f t="shared" si="12"/>
        <v>0</v>
      </c>
      <c r="U128" s="47">
        <f t="shared" si="13"/>
        <v>2596.08</v>
      </c>
    </row>
    <row r="129" spans="1:21" x14ac:dyDescent="0.3">
      <c r="A129" s="41" t="str">
        <f t="shared" si="7"/>
        <v>PANNSH</v>
      </c>
      <c r="B129" s="43">
        <v>45425</v>
      </c>
      <c r="C129" s="10" t="s">
        <v>170</v>
      </c>
      <c r="D129" s="10" t="s">
        <v>42</v>
      </c>
      <c r="E129" s="10" t="s">
        <v>18</v>
      </c>
      <c r="F129" s="10" t="s">
        <v>4</v>
      </c>
      <c r="G129" s="10" t="s">
        <v>38</v>
      </c>
      <c r="H129" s="10" t="s">
        <v>43</v>
      </c>
      <c r="I129" s="45">
        <v>3546</v>
      </c>
      <c r="J129" s="11">
        <v>0.215</v>
      </c>
      <c r="K129" s="45">
        <f t="shared" si="8"/>
        <v>2783.61</v>
      </c>
      <c r="L129" s="10">
        <v>7</v>
      </c>
      <c r="M129" s="10">
        <v>2.9</v>
      </c>
      <c r="N129" s="10" t="b">
        <v>0</v>
      </c>
      <c r="O129" s="41"/>
      <c r="P129" s="45">
        <f t="shared" si="9"/>
        <v>1169.1161999999999</v>
      </c>
      <c r="Q129" s="45">
        <f t="shared" si="10"/>
        <v>1614.4938000000002</v>
      </c>
      <c r="R129" s="45">
        <v>0</v>
      </c>
      <c r="S129" s="45">
        <f t="shared" si="11"/>
        <v>0</v>
      </c>
      <c r="T129" s="45">
        <f t="shared" si="12"/>
        <v>0</v>
      </c>
      <c r="U129" s="47">
        <f t="shared" si="13"/>
        <v>1614.4938000000002</v>
      </c>
    </row>
    <row r="130" spans="1:21" x14ac:dyDescent="0.3">
      <c r="A130" s="41" t="str">
        <f t="shared" ref="A130:A193" si="14">UPPER("P"&amp;LEFT(D130,3)&amp;LEFT(E130,2))</f>
        <v>PANNOU</v>
      </c>
      <c r="B130" s="43">
        <v>45426</v>
      </c>
      <c r="C130" s="10" t="s">
        <v>171</v>
      </c>
      <c r="D130" s="10" t="s">
        <v>42</v>
      </c>
      <c r="E130" s="10" t="s">
        <v>2</v>
      </c>
      <c r="F130" s="10" t="s">
        <v>4</v>
      </c>
      <c r="G130" s="10" t="s">
        <v>46</v>
      </c>
      <c r="H130" s="10" t="s">
        <v>13</v>
      </c>
      <c r="I130" s="45">
        <v>3806</v>
      </c>
      <c r="J130" s="11">
        <v>0</v>
      </c>
      <c r="K130" s="45">
        <f t="shared" si="8"/>
        <v>3806</v>
      </c>
      <c r="L130" s="10">
        <v>1</v>
      </c>
      <c r="M130" s="10">
        <v>2.6</v>
      </c>
      <c r="N130" s="10" t="b">
        <v>1</v>
      </c>
      <c r="O130" s="41" t="s">
        <v>44</v>
      </c>
      <c r="P130" s="45">
        <f t="shared" si="9"/>
        <v>1598.52</v>
      </c>
      <c r="Q130" s="45">
        <f t="shared" si="10"/>
        <v>2207.48</v>
      </c>
      <c r="R130" s="45">
        <v>150</v>
      </c>
      <c r="S130" s="45">
        <f t="shared" si="11"/>
        <v>380.6</v>
      </c>
      <c r="T130" s="45">
        <f t="shared" si="12"/>
        <v>3806</v>
      </c>
      <c r="U130" s="47">
        <f t="shared" si="13"/>
        <v>-2129.12</v>
      </c>
    </row>
    <row r="131" spans="1:21" x14ac:dyDescent="0.3">
      <c r="A131" s="41" t="str">
        <f t="shared" si="14"/>
        <v>PGAPSH</v>
      </c>
      <c r="B131" s="43">
        <v>45426</v>
      </c>
      <c r="C131" s="10" t="s">
        <v>172</v>
      </c>
      <c r="D131" s="10" t="s">
        <v>53</v>
      </c>
      <c r="E131" s="10" t="s">
        <v>18</v>
      </c>
      <c r="F131" s="10" t="s">
        <v>23</v>
      </c>
      <c r="G131" s="10" t="s">
        <v>46</v>
      </c>
      <c r="H131" s="10" t="s">
        <v>7</v>
      </c>
      <c r="I131" s="45">
        <v>4493</v>
      </c>
      <c r="J131" s="11">
        <v>0</v>
      </c>
      <c r="K131" s="45">
        <f t="shared" ref="K131:K194" si="15">I131*(1-J131)</f>
        <v>4493</v>
      </c>
      <c r="L131" s="10">
        <v>36</v>
      </c>
      <c r="M131" s="10">
        <v>3.4</v>
      </c>
      <c r="N131" s="10" t="b">
        <v>1</v>
      </c>
      <c r="O131" s="41" t="s">
        <v>33</v>
      </c>
      <c r="P131" s="45">
        <f t="shared" ref="P131:P194" si="16">K131*0.42</f>
        <v>1887.06</v>
      </c>
      <c r="Q131" s="45">
        <f t="shared" ref="Q131:Q194" si="17">K131-P131</f>
        <v>2605.94</v>
      </c>
      <c r="R131" s="45">
        <v>150</v>
      </c>
      <c r="S131" s="45">
        <f t="shared" ref="S131:S194" si="18">IF(N131=TRUE,K131*0.1,0)</f>
        <v>449.3</v>
      </c>
      <c r="T131" s="45">
        <f t="shared" ref="T131:T194" si="19">IF(N131=TRUE,K131,0)</f>
        <v>4493</v>
      </c>
      <c r="U131" s="47">
        <f t="shared" ref="U131:U194" si="20">Q131-R131-S131-T131</f>
        <v>-2486.3599999999997</v>
      </c>
    </row>
    <row r="132" spans="1:21" x14ac:dyDescent="0.3">
      <c r="A132" s="41" t="str">
        <f t="shared" si="14"/>
        <v>PBANDR</v>
      </c>
      <c r="B132" s="43">
        <v>45426</v>
      </c>
      <c r="C132" s="10" t="s">
        <v>173</v>
      </c>
      <c r="D132" s="10" t="s">
        <v>21</v>
      </c>
      <c r="E132" s="10" t="s">
        <v>30</v>
      </c>
      <c r="F132" s="10" t="s">
        <v>4</v>
      </c>
      <c r="G132" s="10" t="s">
        <v>5</v>
      </c>
      <c r="H132" s="10" t="s">
        <v>58</v>
      </c>
      <c r="I132" s="45">
        <v>2630</v>
      </c>
      <c r="J132" s="11">
        <v>0</v>
      </c>
      <c r="K132" s="45">
        <f t="shared" si="15"/>
        <v>2630</v>
      </c>
      <c r="L132" s="10">
        <v>11</v>
      </c>
      <c r="M132" s="10">
        <v>3.6</v>
      </c>
      <c r="N132" s="10" t="b">
        <v>0</v>
      </c>
      <c r="O132" s="41"/>
      <c r="P132" s="45">
        <f t="shared" si="16"/>
        <v>1104.5999999999999</v>
      </c>
      <c r="Q132" s="45">
        <f t="shared" si="17"/>
        <v>1525.4</v>
      </c>
      <c r="R132" s="45">
        <v>0</v>
      </c>
      <c r="S132" s="45">
        <f t="shared" si="18"/>
        <v>0</v>
      </c>
      <c r="T132" s="45">
        <f t="shared" si="19"/>
        <v>0</v>
      </c>
      <c r="U132" s="47">
        <f t="shared" si="20"/>
        <v>1525.4</v>
      </c>
    </row>
    <row r="133" spans="1:21" x14ac:dyDescent="0.3">
      <c r="A133" s="41" t="str">
        <f t="shared" si="14"/>
        <v>PMANBO</v>
      </c>
      <c r="B133" s="43">
        <v>45426</v>
      </c>
      <c r="C133" s="10" t="s">
        <v>174</v>
      </c>
      <c r="D133" s="10" t="s">
        <v>31</v>
      </c>
      <c r="E133" s="10" t="s">
        <v>26</v>
      </c>
      <c r="F133" s="10" t="s">
        <v>4</v>
      </c>
      <c r="G133" s="10" t="s">
        <v>27</v>
      </c>
      <c r="H133" s="10" t="s">
        <v>35</v>
      </c>
      <c r="I133" s="45">
        <v>2187</v>
      </c>
      <c r="J133" s="11">
        <v>0</v>
      </c>
      <c r="K133" s="45">
        <f t="shared" si="15"/>
        <v>2187</v>
      </c>
      <c r="L133" s="10">
        <v>13</v>
      </c>
      <c r="M133" s="10">
        <v>4.2</v>
      </c>
      <c r="N133" s="10" t="b">
        <v>0</v>
      </c>
      <c r="O133" s="41"/>
      <c r="P133" s="45">
        <f t="shared" si="16"/>
        <v>918.54</v>
      </c>
      <c r="Q133" s="45">
        <f t="shared" si="17"/>
        <v>1268.46</v>
      </c>
      <c r="R133" s="45">
        <v>0</v>
      </c>
      <c r="S133" s="45">
        <f t="shared" si="18"/>
        <v>0</v>
      </c>
      <c r="T133" s="45">
        <f t="shared" si="19"/>
        <v>0</v>
      </c>
      <c r="U133" s="47">
        <f t="shared" si="20"/>
        <v>1268.46</v>
      </c>
    </row>
    <row r="134" spans="1:21" x14ac:dyDescent="0.3">
      <c r="A134" s="41" t="str">
        <f t="shared" si="14"/>
        <v>PMANTO</v>
      </c>
      <c r="B134" s="43">
        <v>45426</v>
      </c>
      <c r="C134" s="10" t="s">
        <v>175</v>
      </c>
      <c r="D134" s="10" t="s">
        <v>31</v>
      </c>
      <c r="E134" s="10" t="s">
        <v>9</v>
      </c>
      <c r="F134" s="10" t="s">
        <v>4</v>
      </c>
      <c r="G134" s="10" t="s">
        <v>5</v>
      </c>
      <c r="H134" s="10" t="s">
        <v>43</v>
      </c>
      <c r="I134" s="45">
        <v>1036</v>
      </c>
      <c r="J134" s="11">
        <v>0</v>
      </c>
      <c r="K134" s="45">
        <f t="shared" si="15"/>
        <v>1036</v>
      </c>
      <c r="L134" s="10">
        <v>31</v>
      </c>
      <c r="M134" s="10"/>
      <c r="N134" s="10" t="b">
        <v>0</v>
      </c>
      <c r="O134" s="41"/>
      <c r="P134" s="45">
        <f t="shared" si="16"/>
        <v>435.12</v>
      </c>
      <c r="Q134" s="45">
        <f t="shared" si="17"/>
        <v>600.88</v>
      </c>
      <c r="R134" s="45">
        <v>0</v>
      </c>
      <c r="S134" s="45">
        <f t="shared" si="18"/>
        <v>0</v>
      </c>
      <c r="T134" s="45">
        <f t="shared" si="19"/>
        <v>0</v>
      </c>
      <c r="U134" s="47">
        <f t="shared" si="20"/>
        <v>600.88</v>
      </c>
    </row>
    <row r="135" spans="1:21" x14ac:dyDescent="0.3">
      <c r="A135" s="41" t="str">
        <f t="shared" si="14"/>
        <v>PANNAC</v>
      </c>
      <c r="B135" s="43">
        <v>45427</v>
      </c>
      <c r="C135" s="10" t="s">
        <v>176</v>
      </c>
      <c r="D135" s="10" t="s">
        <v>42</v>
      </c>
      <c r="E135" s="10" t="s">
        <v>15</v>
      </c>
      <c r="F135" s="10" t="s">
        <v>11</v>
      </c>
      <c r="G135" s="10" t="s">
        <v>7</v>
      </c>
      <c r="H135" s="10" t="s">
        <v>32</v>
      </c>
      <c r="I135" s="45">
        <v>385</v>
      </c>
      <c r="J135" s="11">
        <v>0.27</v>
      </c>
      <c r="K135" s="45">
        <f t="shared" si="15"/>
        <v>281.05</v>
      </c>
      <c r="L135" s="10">
        <v>9</v>
      </c>
      <c r="M135" s="10">
        <v>1.8</v>
      </c>
      <c r="N135" s="10" t="b">
        <v>1</v>
      </c>
      <c r="O135" s="41" t="s">
        <v>44</v>
      </c>
      <c r="P135" s="45">
        <f t="shared" si="16"/>
        <v>118.041</v>
      </c>
      <c r="Q135" s="45">
        <f t="shared" si="17"/>
        <v>163.00900000000001</v>
      </c>
      <c r="R135" s="45">
        <v>150</v>
      </c>
      <c r="S135" s="45">
        <f t="shared" si="18"/>
        <v>28.105000000000004</v>
      </c>
      <c r="T135" s="45">
        <f t="shared" si="19"/>
        <v>281.05</v>
      </c>
      <c r="U135" s="47">
        <f t="shared" si="20"/>
        <v>-296.14600000000002</v>
      </c>
    </row>
    <row r="136" spans="1:21" x14ac:dyDescent="0.3">
      <c r="A136" s="41" t="str">
        <f t="shared" si="14"/>
        <v>PH&amp;MTO</v>
      </c>
      <c r="B136" s="43">
        <v>45427</v>
      </c>
      <c r="C136" s="10" t="s">
        <v>177</v>
      </c>
      <c r="D136" s="10" t="s">
        <v>37</v>
      </c>
      <c r="E136" s="10" t="s">
        <v>9</v>
      </c>
      <c r="F136" s="10" t="s">
        <v>4</v>
      </c>
      <c r="G136" s="10" t="s">
        <v>27</v>
      </c>
      <c r="H136" s="10" t="s">
        <v>43</v>
      </c>
      <c r="I136" s="45">
        <v>1357</v>
      </c>
      <c r="J136" s="11">
        <v>0</v>
      </c>
      <c r="K136" s="45">
        <f t="shared" si="15"/>
        <v>1357</v>
      </c>
      <c r="L136" s="10">
        <v>9</v>
      </c>
      <c r="M136" s="10">
        <v>1.4</v>
      </c>
      <c r="N136" s="10" t="b">
        <v>0</v>
      </c>
      <c r="O136" s="41"/>
      <c r="P136" s="45">
        <f t="shared" si="16"/>
        <v>569.93999999999994</v>
      </c>
      <c r="Q136" s="45">
        <f t="shared" si="17"/>
        <v>787.06000000000006</v>
      </c>
      <c r="R136" s="45">
        <v>0</v>
      </c>
      <c r="S136" s="45">
        <f t="shared" si="18"/>
        <v>0</v>
      </c>
      <c r="T136" s="45">
        <f t="shared" si="19"/>
        <v>0</v>
      </c>
      <c r="U136" s="47">
        <f t="shared" si="20"/>
        <v>787.06000000000006</v>
      </c>
    </row>
    <row r="137" spans="1:21" x14ac:dyDescent="0.3">
      <c r="A137" s="41" t="str">
        <f t="shared" si="14"/>
        <v>PGAPTO</v>
      </c>
      <c r="B137" s="43">
        <v>45428</v>
      </c>
      <c r="C137" s="10" t="s">
        <v>178</v>
      </c>
      <c r="D137" s="10" t="s">
        <v>53</v>
      </c>
      <c r="E137" s="10" t="s">
        <v>9</v>
      </c>
      <c r="F137" s="10" t="s">
        <v>4</v>
      </c>
      <c r="G137" s="10" t="s">
        <v>12</v>
      </c>
      <c r="H137" s="10" t="s">
        <v>16</v>
      </c>
      <c r="I137" s="45">
        <v>1361</v>
      </c>
      <c r="J137" s="11">
        <v>0</v>
      </c>
      <c r="K137" s="45">
        <f t="shared" si="15"/>
        <v>1361</v>
      </c>
      <c r="L137" s="10">
        <v>50</v>
      </c>
      <c r="M137" s="10">
        <v>3.6</v>
      </c>
      <c r="N137" s="10" t="b">
        <v>0</v>
      </c>
      <c r="O137" s="41"/>
      <c r="P137" s="45">
        <f t="shared" si="16"/>
        <v>571.62</v>
      </c>
      <c r="Q137" s="45">
        <f t="shared" si="17"/>
        <v>789.38</v>
      </c>
      <c r="R137" s="45">
        <v>0</v>
      </c>
      <c r="S137" s="45">
        <f t="shared" si="18"/>
        <v>0</v>
      </c>
      <c r="T137" s="45">
        <f t="shared" si="19"/>
        <v>0</v>
      </c>
      <c r="U137" s="47">
        <f t="shared" si="20"/>
        <v>789.38</v>
      </c>
    </row>
    <row r="138" spans="1:21" x14ac:dyDescent="0.3">
      <c r="A138" s="41" t="str">
        <f t="shared" si="14"/>
        <v>PH&amp;MTO</v>
      </c>
      <c r="B138" s="43">
        <v>45428</v>
      </c>
      <c r="C138" s="10" t="s">
        <v>179</v>
      </c>
      <c r="D138" s="10" t="s">
        <v>37</v>
      </c>
      <c r="E138" s="10" t="s">
        <v>9</v>
      </c>
      <c r="F138" s="10" t="s">
        <v>54</v>
      </c>
      <c r="G138" s="10" t="s">
        <v>7</v>
      </c>
      <c r="H138" s="10" t="s">
        <v>58</v>
      </c>
      <c r="I138" s="45">
        <v>1700</v>
      </c>
      <c r="J138" s="11">
        <v>0</v>
      </c>
      <c r="K138" s="45">
        <f t="shared" si="15"/>
        <v>1700</v>
      </c>
      <c r="L138" s="10">
        <v>24</v>
      </c>
      <c r="M138" s="10">
        <v>4.3</v>
      </c>
      <c r="N138" s="10" t="b">
        <v>0</v>
      </c>
      <c r="O138" s="41"/>
      <c r="P138" s="45">
        <f t="shared" si="16"/>
        <v>714</v>
      </c>
      <c r="Q138" s="45">
        <f t="shared" si="17"/>
        <v>986</v>
      </c>
      <c r="R138" s="45">
        <v>0</v>
      </c>
      <c r="S138" s="45">
        <f t="shared" si="18"/>
        <v>0</v>
      </c>
      <c r="T138" s="45">
        <f t="shared" si="19"/>
        <v>0</v>
      </c>
      <c r="U138" s="47">
        <f t="shared" si="20"/>
        <v>986</v>
      </c>
    </row>
    <row r="139" spans="1:21" x14ac:dyDescent="0.3">
      <c r="A139" s="41" t="str">
        <f t="shared" si="14"/>
        <v>PFOROU</v>
      </c>
      <c r="B139" s="43">
        <v>45428</v>
      </c>
      <c r="C139" s="10" t="s">
        <v>180</v>
      </c>
      <c r="D139" s="10" t="s">
        <v>65</v>
      </c>
      <c r="E139" s="10" t="s">
        <v>2</v>
      </c>
      <c r="F139" s="10" t="s">
        <v>23</v>
      </c>
      <c r="G139" s="10" t="s">
        <v>49</v>
      </c>
      <c r="H139" s="10" t="s">
        <v>13</v>
      </c>
      <c r="I139" s="45">
        <v>4234</v>
      </c>
      <c r="J139" s="11">
        <v>0</v>
      </c>
      <c r="K139" s="45">
        <f t="shared" si="15"/>
        <v>4234</v>
      </c>
      <c r="L139" s="10">
        <v>16</v>
      </c>
      <c r="M139" s="10"/>
      <c r="N139" s="10" t="b">
        <v>1</v>
      </c>
      <c r="O139" s="41" t="s">
        <v>19</v>
      </c>
      <c r="P139" s="45">
        <f t="shared" si="16"/>
        <v>1778.28</v>
      </c>
      <c r="Q139" s="45">
        <f t="shared" si="17"/>
        <v>2455.7200000000003</v>
      </c>
      <c r="R139" s="45">
        <v>150</v>
      </c>
      <c r="S139" s="45">
        <f t="shared" si="18"/>
        <v>423.40000000000003</v>
      </c>
      <c r="T139" s="45">
        <f t="shared" si="19"/>
        <v>4234</v>
      </c>
      <c r="U139" s="47">
        <f t="shared" si="20"/>
        <v>-2351.6799999999998</v>
      </c>
    </row>
    <row r="140" spans="1:21" x14ac:dyDescent="0.3">
      <c r="A140" s="41" t="str">
        <f t="shared" si="14"/>
        <v>PZARBO</v>
      </c>
      <c r="B140" s="43">
        <v>45428</v>
      </c>
      <c r="C140" s="10" t="s">
        <v>181</v>
      </c>
      <c r="D140" s="10" t="s">
        <v>3</v>
      </c>
      <c r="E140" s="10" t="s">
        <v>26</v>
      </c>
      <c r="F140" s="10" t="s">
        <v>11</v>
      </c>
      <c r="G140" s="10" t="s">
        <v>38</v>
      </c>
      <c r="H140" s="10" t="s">
        <v>47</v>
      </c>
      <c r="I140" s="45">
        <v>2346</v>
      </c>
      <c r="J140" s="11">
        <v>0.58799999999999997</v>
      </c>
      <c r="K140" s="45">
        <f t="shared" si="15"/>
        <v>966.55200000000002</v>
      </c>
      <c r="L140" s="10">
        <v>50</v>
      </c>
      <c r="M140" s="10">
        <v>3.5</v>
      </c>
      <c r="N140" s="10" t="b">
        <v>0</v>
      </c>
      <c r="O140" s="41"/>
      <c r="P140" s="45">
        <f t="shared" si="16"/>
        <v>405.95184</v>
      </c>
      <c r="Q140" s="45">
        <f t="shared" si="17"/>
        <v>560.60015999999996</v>
      </c>
      <c r="R140" s="45">
        <v>0</v>
      </c>
      <c r="S140" s="45">
        <f t="shared" si="18"/>
        <v>0</v>
      </c>
      <c r="T140" s="45">
        <f t="shared" si="19"/>
        <v>0</v>
      </c>
      <c r="U140" s="47">
        <f t="shared" si="20"/>
        <v>560.60015999999996</v>
      </c>
    </row>
    <row r="141" spans="1:21" x14ac:dyDescent="0.3">
      <c r="A141" s="41" t="str">
        <f t="shared" si="14"/>
        <v>PUNISH</v>
      </c>
      <c r="B141" s="43">
        <v>45429</v>
      </c>
      <c r="C141" s="10" t="s">
        <v>182</v>
      </c>
      <c r="D141" s="10" t="s">
        <v>10</v>
      </c>
      <c r="E141" s="10" t="s">
        <v>18</v>
      </c>
      <c r="F141" s="10" t="s">
        <v>4</v>
      </c>
      <c r="G141" s="10" t="s">
        <v>12</v>
      </c>
      <c r="H141" s="10" t="s">
        <v>43</v>
      </c>
      <c r="I141" s="45">
        <v>3372</v>
      </c>
      <c r="J141" s="11">
        <v>0</v>
      </c>
      <c r="K141" s="45">
        <f t="shared" si="15"/>
        <v>3372</v>
      </c>
      <c r="L141" s="10">
        <v>31</v>
      </c>
      <c r="M141" s="10">
        <v>4.0999999999999996</v>
      </c>
      <c r="N141" s="10" t="b">
        <v>1</v>
      </c>
      <c r="O141" s="41" t="s">
        <v>33</v>
      </c>
      <c r="P141" s="45">
        <f t="shared" si="16"/>
        <v>1416.24</v>
      </c>
      <c r="Q141" s="45">
        <f t="shared" si="17"/>
        <v>1955.76</v>
      </c>
      <c r="R141" s="45">
        <v>150</v>
      </c>
      <c r="S141" s="45">
        <f t="shared" si="18"/>
        <v>337.20000000000005</v>
      </c>
      <c r="T141" s="45">
        <f t="shared" si="19"/>
        <v>3372</v>
      </c>
      <c r="U141" s="47">
        <f t="shared" si="20"/>
        <v>-1903.44</v>
      </c>
    </row>
    <row r="142" spans="1:21" x14ac:dyDescent="0.3">
      <c r="A142" s="41" t="str">
        <f t="shared" si="14"/>
        <v>PANNDR</v>
      </c>
      <c r="B142" s="43">
        <v>45429</v>
      </c>
      <c r="C142" s="10" t="s">
        <v>183</v>
      </c>
      <c r="D142" s="10" t="s">
        <v>42</v>
      </c>
      <c r="E142" s="10" t="s">
        <v>30</v>
      </c>
      <c r="F142" s="10" t="s">
        <v>4</v>
      </c>
      <c r="G142" s="10" t="s">
        <v>46</v>
      </c>
      <c r="H142" s="10" t="s">
        <v>28</v>
      </c>
      <c r="I142" s="45">
        <v>2112</v>
      </c>
      <c r="J142" s="11">
        <v>0</v>
      </c>
      <c r="K142" s="45">
        <f t="shared" si="15"/>
        <v>2112</v>
      </c>
      <c r="L142" s="10">
        <v>5</v>
      </c>
      <c r="M142" s="10"/>
      <c r="N142" s="10" t="b">
        <v>0</v>
      </c>
      <c r="O142" s="41"/>
      <c r="P142" s="45">
        <f t="shared" si="16"/>
        <v>887.04</v>
      </c>
      <c r="Q142" s="45">
        <f t="shared" si="17"/>
        <v>1224.96</v>
      </c>
      <c r="R142" s="45">
        <v>0</v>
      </c>
      <c r="S142" s="45">
        <f t="shared" si="18"/>
        <v>0</v>
      </c>
      <c r="T142" s="45">
        <f t="shared" si="19"/>
        <v>0</v>
      </c>
      <c r="U142" s="47">
        <f t="shared" si="20"/>
        <v>1224.96</v>
      </c>
    </row>
    <row r="143" spans="1:21" x14ac:dyDescent="0.3">
      <c r="A143" s="41" t="str">
        <f t="shared" si="14"/>
        <v>PGAPOU</v>
      </c>
      <c r="B143" s="43">
        <v>45429</v>
      </c>
      <c r="C143" s="10" t="s">
        <v>184</v>
      </c>
      <c r="D143" s="10" t="s">
        <v>53</v>
      </c>
      <c r="E143" s="10" t="s">
        <v>2</v>
      </c>
      <c r="F143" s="10" t="s">
        <v>54</v>
      </c>
      <c r="G143" s="10" t="s">
        <v>49</v>
      </c>
      <c r="H143" s="10" t="s">
        <v>32</v>
      </c>
      <c r="I143" s="45">
        <v>3562</v>
      </c>
      <c r="J143" s="11">
        <v>0</v>
      </c>
      <c r="K143" s="45">
        <f t="shared" si="15"/>
        <v>3562</v>
      </c>
      <c r="L143" s="10">
        <v>29</v>
      </c>
      <c r="M143" s="10">
        <v>1.3</v>
      </c>
      <c r="N143" s="10" t="b">
        <v>0</v>
      </c>
      <c r="O143" s="41"/>
      <c r="P143" s="45">
        <f t="shared" si="16"/>
        <v>1496.04</v>
      </c>
      <c r="Q143" s="45">
        <f t="shared" si="17"/>
        <v>2065.96</v>
      </c>
      <c r="R143" s="45">
        <v>0</v>
      </c>
      <c r="S143" s="45">
        <f t="shared" si="18"/>
        <v>0</v>
      </c>
      <c r="T143" s="45">
        <f t="shared" si="19"/>
        <v>0</v>
      </c>
      <c r="U143" s="47">
        <f t="shared" si="20"/>
        <v>2065.96</v>
      </c>
    </row>
    <row r="144" spans="1:21" x14ac:dyDescent="0.3">
      <c r="A144" s="41" t="str">
        <f t="shared" si="14"/>
        <v>PFORSH</v>
      </c>
      <c r="B144" s="43">
        <v>45429</v>
      </c>
      <c r="C144" s="10" t="s">
        <v>185</v>
      </c>
      <c r="D144" s="10" t="s">
        <v>65</v>
      </c>
      <c r="E144" s="10" t="s">
        <v>18</v>
      </c>
      <c r="F144" s="10" t="s">
        <v>11</v>
      </c>
      <c r="G144" s="10" t="s">
        <v>5</v>
      </c>
      <c r="H144" s="10" t="s">
        <v>6</v>
      </c>
      <c r="I144" s="45">
        <v>3076</v>
      </c>
      <c r="J144" s="11">
        <v>0</v>
      </c>
      <c r="K144" s="45">
        <f t="shared" si="15"/>
        <v>3076</v>
      </c>
      <c r="L144" s="10">
        <v>21</v>
      </c>
      <c r="M144" s="10"/>
      <c r="N144" s="10" t="b">
        <v>1</v>
      </c>
      <c r="O144" s="41" t="s">
        <v>44</v>
      </c>
      <c r="P144" s="45">
        <f t="shared" si="16"/>
        <v>1291.9199999999998</v>
      </c>
      <c r="Q144" s="45">
        <f t="shared" si="17"/>
        <v>1784.0800000000002</v>
      </c>
      <c r="R144" s="45">
        <v>150</v>
      </c>
      <c r="S144" s="45">
        <f t="shared" si="18"/>
        <v>307.60000000000002</v>
      </c>
      <c r="T144" s="45">
        <f t="shared" si="19"/>
        <v>3076</v>
      </c>
      <c r="U144" s="47">
        <f t="shared" si="20"/>
        <v>-1749.52</v>
      </c>
    </row>
    <row r="145" spans="1:21" x14ac:dyDescent="0.3">
      <c r="A145" s="41" t="str">
        <f t="shared" si="14"/>
        <v>PH&amp;MTO</v>
      </c>
      <c r="B145" s="43">
        <v>45430</v>
      </c>
      <c r="C145" s="10" t="s">
        <v>186</v>
      </c>
      <c r="D145" s="10" t="s">
        <v>37</v>
      </c>
      <c r="E145" s="10" t="s">
        <v>9</v>
      </c>
      <c r="F145" s="10" t="s">
        <v>4</v>
      </c>
      <c r="G145" s="10" t="s">
        <v>12</v>
      </c>
      <c r="H145" s="10" t="s">
        <v>47</v>
      </c>
      <c r="I145" s="45">
        <v>1117</v>
      </c>
      <c r="J145" s="11">
        <v>0</v>
      </c>
      <c r="K145" s="45">
        <f t="shared" si="15"/>
        <v>1117</v>
      </c>
      <c r="L145" s="10">
        <v>41</v>
      </c>
      <c r="M145" s="10">
        <v>3.9</v>
      </c>
      <c r="N145" s="10" t="b">
        <v>0</v>
      </c>
      <c r="O145" s="41"/>
      <c r="P145" s="45">
        <f t="shared" si="16"/>
        <v>469.14</v>
      </c>
      <c r="Q145" s="45">
        <f t="shared" si="17"/>
        <v>647.86</v>
      </c>
      <c r="R145" s="45">
        <v>0</v>
      </c>
      <c r="S145" s="45">
        <f t="shared" si="18"/>
        <v>0</v>
      </c>
      <c r="T145" s="45">
        <f t="shared" si="19"/>
        <v>0</v>
      </c>
      <c r="U145" s="47">
        <f t="shared" si="20"/>
        <v>647.86</v>
      </c>
    </row>
    <row r="146" spans="1:21" x14ac:dyDescent="0.3">
      <c r="A146" s="41" t="str">
        <f t="shared" si="14"/>
        <v>PZAROU</v>
      </c>
      <c r="B146" s="43">
        <v>45430</v>
      </c>
      <c r="C146" s="10" t="s">
        <v>187</v>
      </c>
      <c r="D146" s="10" t="s">
        <v>3</v>
      </c>
      <c r="E146" s="10" t="s">
        <v>2</v>
      </c>
      <c r="F146" s="10" t="s">
        <v>4</v>
      </c>
      <c r="G146" s="10" t="s">
        <v>12</v>
      </c>
      <c r="H146" s="10" t="s">
        <v>47</v>
      </c>
      <c r="I146" s="45">
        <v>3019</v>
      </c>
      <c r="J146" s="11">
        <v>0.45299999999999996</v>
      </c>
      <c r="K146" s="45">
        <f t="shared" si="15"/>
        <v>1651.393</v>
      </c>
      <c r="L146" s="10">
        <v>34</v>
      </c>
      <c r="M146" s="10">
        <v>1.8</v>
      </c>
      <c r="N146" s="10" t="b">
        <v>0</v>
      </c>
      <c r="O146" s="41"/>
      <c r="P146" s="45">
        <f t="shared" si="16"/>
        <v>693.58506</v>
      </c>
      <c r="Q146" s="45">
        <f t="shared" si="17"/>
        <v>957.80794000000003</v>
      </c>
      <c r="R146" s="45">
        <v>0</v>
      </c>
      <c r="S146" s="45">
        <f t="shared" si="18"/>
        <v>0</v>
      </c>
      <c r="T146" s="45">
        <f t="shared" si="19"/>
        <v>0</v>
      </c>
      <c r="U146" s="47">
        <f t="shared" si="20"/>
        <v>957.80794000000003</v>
      </c>
    </row>
    <row r="147" spans="1:21" x14ac:dyDescent="0.3">
      <c r="A147" s="41" t="str">
        <f t="shared" si="14"/>
        <v>PUNITO</v>
      </c>
      <c r="B147" s="43">
        <v>45431</v>
      </c>
      <c r="C147" s="10" t="s">
        <v>188</v>
      </c>
      <c r="D147" s="10" t="s">
        <v>10</v>
      </c>
      <c r="E147" s="10" t="s">
        <v>9</v>
      </c>
      <c r="F147" s="10" t="s">
        <v>11</v>
      </c>
      <c r="G147" s="10" t="s">
        <v>7</v>
      </c>
      <c r="H147" s="10" t="s">
        <v>47</v>
      </c>
      <c r="I147" s="45">
        <v>1504</v>
      </c>
      <c r="J147" s="11">
        <v>0.158</v>
      </c>
      <c r="K147" s="45">
        <f t="shared" si="15"/>
        <v>1266.3679999999999</v>
      </c>
      <c r="L147" s="10">
        <v>30</v>
      </c>
      <c r="M147" s="10">
        <v>4.2</v>
      </c>
      <c r="N147" s="10" t="b">
        <v>0</v>
      </c>
      <c r="O147" s="41"/>
      <c r="P147" s="45">
        <f t="shared" si="16"/>
        <v>531.87455999999997</v>
      </c>
      <c r="Q147" s="45">
        <f t="shared" si="17"/>
        <v>734.49343999999996</v>
      </c>
      <c r="R147" s="45">
        <v>0</v>
      </c>
      <c r="S147" s="45">
        <f t="shared" si="18"/>
        <v>0</v>
      </c>
      <c r="T147" s="45">
        <f t="shared" si="19"/>
        <v>0</v>
      </c>
      <c r="U147" s="47">
        <f t="shared" si="20"/>
        <v>734.49343999999996</v>
      </c>
    </row>
    <row r="148" spans="1:21" x14ac:dyDescent="0.3">
      <c r="A148" s="41" t="str">
        <f t="shared" si="14"/>
        <v>PZARTO</v>
      </c>
      <c r="B148" s="43">
        <v>45431</v>
      </c>
      <c r="C148" s="10" t="s">
        <v>189</v>
      </c>
      <c r="D148" s="10" t="s">
        <v>3</v>
      </c>
      <c r="E148" s="10" t="s">
        <v>9</v>
      </c>
      <c r="F148" s="10" t="s">
        <v>11</v>
      </c>
      <c r="G148" s="10" t="s">
        <v>12</v>
      </c>
      <c r="H148" s="10" t="s">
        <v>43</v>
      </c>
      <c r="I148" s="45">
        <v>1208</v>
      </c>
      <c r="J148" s="11">
        <v>0.254</v>
      </c>
      <c r="K148" s="45">
        <f t="shared" si="15"/>
        <v>901.16800000000001</v>
      </c>
      <c r="L148" s="10">
        <v>50</v>
      </c>
      <c r="M148" s="10">
        <v>4.4000000000000004</v>
      </c>
      <c r="N148" s="10" t="b">
        <v>0</v>
      </c>
      <c r="O148" s="41"/>
      <c r="P148" s="45">
        <f t="shared" si="16"/>
        <v>378.49056000000002</v>
      </c>
      <c r="Q148" s="45">
        <f t="shared" si="17"/>
        <v>522.67743999999993</v>
      </c>
      <c r="R148" s="45">
        <v>0</v>
      </c>
      <c r="S148" s="45">
        <f t="shared" si="18"/>
        <v>0</v>
      </c>
      <c r="T148" s="45">
        <f t="shared" si="19"/>
        <v>0</v>
      </c>
      <c r="U148" s="47">
        <f t="shared" si="20"/>
        <v>522.67743999999993</v>
      </c>
    </row>
    <row r="149" spans="1:21" x14ac:dyDescent="0.3">
      <c r="A149" s="41" t="str">
        <f t="shared" si="14"/>
        <v>PBANBO</v>
      </c>
      <c r="B149" s="43">
        <v>45431</v>
      </c>
      <c r="C149" s="10" t="s">
        <v>190</v>
      </c>
      <c r="D149" s="10" t="s">
        <v>21</v>
      </c>
      <c r="E149" s="10" t="s">
        <v>26</v>
      </c>
      <c r="F149" s="10" t="s">
        <v>4</v>
      </c>
      <c r="G149" s="10" t="s">
        <v>38</v>
      </c>
      <c r="H149" s="10" t="s">
        <v>88</v>
      </c>
      <c r="I149" s="45">
        <v>2717</v>
      </c>
      <c r="J149" s="11">
        <v>0.57299999999999995</v>
      </c>
      <c r="K149" s="45">
        <f t="shared" si="15"/>
        <v>1160.1590000000001</v>
      </c>
      <c r="L149" s="10">
        <v>50</v>
      </c>
      <c r="M149" s="10">
        <v>4.5999999999999996</v>
      </c>
      <c r="N149" s="10" t="b">
        <v>1</v>
      </c>
      <c r="O149" s="41" t="s">
        <v>33</v>
      </c>
      <c r="P149" s="45">
        <f t="shared" si="16"/>
        <v>487.26678000000004</v>
      </c>
      <c r="Q149" s="45">
        <f t="shared" si="17"/>
        <v>672.89222000000007</v>
      </c>
      <c r="R149" s="45">
        <v>150</v>
      </c>
      <c r="S149" s="45">
        <f t="shared" si="18"/>
        <v>116.01590000000002</v>
      </c>
      <c r="T149" s="45">
        <f t="shared" si="19"/>
        <v>1160.1590000000001</v>
      </c>
      <c r="U149" s="47">
        <f t="shared" si="20"/>
        <v>-753.28268000000003</v>
      </c>
    </row>
    <row r="150" spans="1:21" x14ac:dyDescent="0.3">
      <c r="A150" s="41" t="str">
        <f t="shared" si="14"/>
        <v>PANNTO</v>
      </c>
      <c r="B150" s="43">
        <v>45431</v>
      </c>
      <c r="C150" s="10" t="s">
        <v>191</v>
      </c>
      <c r="D150" s="10" t="s">
        <v>42</v>
      </c>
      <c r="E150" s="10" t="s">
        <v>9</v>
      </c>
      <c r="F150" s="10" t="s">
        <v>54</v>
      </c>
      <c r="G150" s="10" t="s">
        <v>49</v>
      </c>
      <c r="H150" s="10" t="s">
        <v>47</v>
      </c>
      <c r="I150" s="45">
        <v>1297</v>
      </c>
      <c r="J150" s="11">
        <v>0.46</v>
      </c>
      <c r="K150" s="45">
        <f t="shared" si="15"/>
        <v>700.38</v>
      </c>
      <c r="L150" s="10">
        <v>3</v>
      </c>
      <c r="M150" s="10">
        <v>2.5</v>
      </c>
      <c r="N150" s="10" t="b">
        <v>1</v>
      </c>
      <c r="O150" s="41" t="s">
        <v>44</v>
      </c>
      <c r="P150" s="45">
        <f t="shared" si="16"/>
        <v>294.15960000000001</v>
      </c>
      <c r="Q150" s="45">
        <f t="shared" si="17"/>
        <v>406.22039999999998</v>
      </c>
      <c r="R150" s="45">
        <v>150</v>
      </c>
      <c r="S150" s="45">
        <f t="shared" si="18"/>
        <v>70.037999999999997</v>
      </c>
      <c r="T150" s="45">
        <f t="shared" si="19"/>
        <v>700.38</v>
      </c>
      <c r="U150" s="47">
        <f t="shared" si="20"/>
        <v>-514.19759999999997</v>
      </c>
    </row>
    <row r="151" spans="1:21" x14ac:dyDescent="0.3">
      <c r="A151" s="41" t="str">
        <f t="shared" si="14"/>
        <v>PBANSH</v>
      </c>
      <c r="B151" s="43">
        <v>45432</v>
      </c>
      <c r="C151" s="10" t="s">
        <v>192</v>
      </c>
      <c r="D151" s="10" t="s">
        <v>21</v>
      </c>
      <c r="E151" s="10" t="s">
        <v>18</v>
      </c>
      <c r="F151" s="10" t="s">
        <v>4</v>
      </c>
      <c r="G151" s="10" t="s">
        <v>12</v>
      </c>
      <c r="H151" s="10" t="s">
        <v>32</v>
      </c>
      <c r="I151" s="45">
        <v>3620</v>
      </c>
      <c r="J151" s="11">
        <v>0</v>
      </c>
      <c r="K151" s="45">
        <f t="shared" si="15"/>
        <v>3620</v>
      </c>
      <c r="L151" s="10">
        <v>18</v>
      </c>
      <c r="M151" s="10">
        <v>1.7</v>
      </c>
      <c r="N151" s="10" t="b">
        <v>0</v>
      </c>
      <c r="O151" s="41"/>
      <c r="P151" s="45">
        <f t="shared" si="16"/>
        <v>1520.3999999999999</v>
      </c>
      <c r="Q151" s="45">
        <f t="shared" si="17"/>
        <v>2099.6000000000004</v>
      </c>
      <c r="R151" s="45">
        <v>0</v>
      </c>
      <c r="S151" s="45">
        <f t="shared" si="18"/>
        <v>0</v>
      </c>
      <c r="T151" s="45">
        <f t="shared" si="19"/>
        <v>0</v>
      </c>
      <c r="U151" s="47">
        <f t="shared" si="20"/>
        <v>2099.6000000000004</v>
      </c>
    </row>
    <row r="152" spans="1:21" x14ac:dyDescent="0.3">
      <c r="A152" s="41" t="str">
        <f t="shared" si="14"/>
        <v>PANNTO</v>
      </c>
      <c r="B152" s="43">
        <v>45432</v>
      </c>
      <c r="C152" s="10" t="s">
        <v>193</v>
      </c>
      <c r="D152" s="10" t="s">
        <v>42</v>
      </c>
      <c r="E152" s="10" t="s">
        <v>9</v>
      </c>
      <c r="F152" s="10" t="s">
        <v>11</v>
      </c>
      <c r="G152" s="10" t="s">
        <v>5</v>
      </c>
      <c r="H152" s="10" t="s">
        <v>28</v>
      </c>
      <c r="I152" s="45">
        <v>1584</v>
      </c>
      <c r="J152" s="11">
        <v>0</v>
      </c>
      <c r="K152" s="45">
        <f t="shared" si="15"/>
        <v>1584</v>
      </c>
      <c r="L152" s="10">
        <v>46</v>
      </c>
      <c r="M152" s="10">
        <v>4.3</v>
      </c>
      <c r="N152" s="10" t="b">
        <v>0</v>
      </c>
      <c r="O152" s="41"/>
      <c r="P152" s="45">
        <f t="shared" si="16"/>
        <v>665.28</v>
      </c>
      <c r="Q152" s="45">
        <f t="shared" si="17"/>
        <v>918.72</v>
      </c>
      <c r="R152" s="45">
        <v>0</v>
      </c>
      <c r="S152" s="45">
        <f t="shared" si="18"/>
        <v>0</v>
      </c>
      <c r="T152" s="45">
        <f t="shared" si="19"/>
        <v>0</v>
      </c>
      <c r="U152" s="47">
        <f t="shared" si="20"/>
        <v>918.72</v>
      </c>
    </row>
    <row r="153" spans="1:21" x14ac:dyDescent="0.3">
      <c r="A153" s="41" t="str">
        <f t="shared" si="14"/>
        <v>PBANSH</v>
      </c>
      <c r="B153" s="43">
        <v>45432</v>
      </c>
      <c r="C153" s="10" t="s">
        <v>194</v>
      </c>
      <c r="D153" s="10" t="s">
        <v>21</v>
      </c>
      <c r="E153" s="10" t="s">
        <v>18</v>
      </c>
      <c r="F153" s="10" t="s">
        <v>11</v>
      </c>
      <c r="G153" s="10" t="s">
        <v>49</v>
      </c>
      <c r="H153" s="10" t="s">
        <v>56</v>
      </c>
      <c r="I153" s="45">
        <v>3999</v>
      </c>
      <c r="J153" s="11">
        <v>0.114</v>
      </c>
      <c r="K153" s="45">
        <f t="shared" si="15"/>
        <v>3543.114</v>
      </c>
      <c r="L153" s="10">
        <v>15</v>
      </c>
      <c r="M153" s="10">
        <v>3.9</v>
      </c>
      <c r="N153" s="10" t="b">
        <v>0</v>
      </c>
      <c r="O153" s="41"/>
      <c r="P153" s="45">
        <f t="shared" si="16"/>
        <v>1488.10788</v>
      </c>
      <c r="Q153" s="45">
        <f t="shared" si="17"/>
        <v>2055.00612</v>
      </c>
      <c r="R153" s="45">
        <v>0</v>
      </c>
      <c r="S153" s="45">
        <f t="shared" si="18"/>
        <v>0</v>
      </c>
      <c r="T153" s="45">
        <f t="shared" si="19"/>
        <v>0</v>
      </c>
      <c r="U153" s="47">
        <f t="shared" si="20"/>
        <v>2055.00612</v>
      </c>
    </row>
    <row r="154" spans="1:21" x14ac:dyDescent="0.3">
      <c r="A154" s="41" t="str">
        <f t="shared" si="14"/>
        <v>PZARDR</v>
      </c>
      <c r="B154" s="43">
        <v>45433</v>
      </c>
      <c r="C154" s="10" t="s">
        <v>195</v>
      </c>
      <c r="D154" s="10" t="s">
        <v>3</v>
      </c>
      <c r="E154" s="10" t="s">
        <v>30</v>
      </c>
      <c r="F154" s="10" t="s">
        <v>11</v>
      </c>
      <c r="G154" s="10" t="s">
        <v>38</v>
      </c>
      <c r="H154" s="10" t="s">
        <v>32</v>
      </c>
      <c r="I154" s="45">
        <v>2594</v>
      </c>
      <c r="J154" s="11">
        <v>0.29399999999999998</v>
      </c>
      <c r="K154" s="45">
        <f t="shared" si="15"/>
        <v>1831.3639999999998</v>
      </c>
      <c r="L154" s="10">
        <v>5</v>
      </c>
      <c r="M154" s="10">
        <v>3.6</v>
      </c>
      <c r="N154" s="10" t="b">
        <v>0</v>
      </c>
      <c r="O154" s="41"/>
      <c r="P154" s="45">
        <f t="shared" si="16"/>
        <v>769.17287999999985</v>
      </c>
      <c r="Q154" s="45">
        <f t="shared" si="17"/>
        <v>1062.19112</v>
      </c>
      <c r="R154" s="45">
        <v>0</v>
      </c>
      <c r="S154" s="45">
        <f t="shared" si="18"/>
        <v>0</v>
      </c>
      <c r="T154" s="45">
        <f t="shared" si="19"/>
        <v>0</v>
      </c>
      <c r="U154" s="47">
        <f t="shared" si="20"/>
        <v>1062.19112</v>
      </c>
    </row>
    <row r="155" spans="1:21" x14ac:dyDescent="0.3">
      <c r="A155" s="41" t="str">
        <f t="shared" si="14"/>
        <v>PZAROU</v>
      </c>
      <c r="B155" s="43">
        <v>45433</v>
      </c>
      <c r="C155" s="10" t="s">
        <v>196</v>
      </c>
      <c r="D155" s="10" t="s">
        <v>3</v>
      </c>
      <c r="E155" s="10" t="s">
        <v>2</v>
      </c>
      <c r="F155" s="10" t="s">
        <v>11</v>
      </c>
      <c r="G155" s="10" t="s">
        <v>12</v>
      </c>
      <c r="H155" s="10" t="s">
        <v>88</v>
      </c>
      <c r="I155" s="45">
        <v>3995</v>
      </c>
      <c r="J155" s="11">
        <v>0</v>
      </c>
      <c r="K155" s="45">
        <f t="shared" si="15"/>
        <v>3995</v>
      </c>
      <c r="L155" s="10">
        <v>1</v>
      </c>
      <c r="M155" s="10">
        <v>2.1</v>
      </c>
      <c r="N155" s="10" t="b">
        <v>0</v>
      </c>
      <c r="O155" s="41"/>
      <c r="P155" s="45">
        <f t="shared" si="16"/>
        <v>1677.8999999999999</v>
      </c>
      <c r="Q155" s="45">
        <f t="shared" si="17"/>
        <v>2317.1000000000004</v>
      </c>
      <c r="R155" s="45">
        <v>0</v>
      </c>
      <c r="S155" s="45">
        <f t="shared" si="18"/>
        <v>0</v>
      </c>
      <c r="T155" s="45">
        <f t="shared" si="19"/>
        <v>0</v>
      </c>
      <c r="U155" s="47">
        <f t="shared" si="20"/>
        <v>2317.1000000000004</v>
      </c>
    </row>
    <row r="156" spans="1:21" x14ac:dyDescent="0.3">
      <c r="A156" s="41" t="str">
        <f t="shared" si="14"/>
        <v>PH&amp;MDR</v>
      </c>
      <c r="B156" s="43">
        <v>45433</v>
      </c>
      <c r="C156" s="10" t="s">
        <v>197</v>
      </c>
      <c r="D156" s="10" t="s">
        <v>37</v>
      </c>
      <c r="E156" s="10" t="s">
        <v>30</v>
      </c>
      <c r="F156" s="10" t="s">
        <v>54</v>
      </c>
      <c r="G156" s="10" t="s">
        <v>49</v>
      </c>
      <c r="H156" s="10" t="s">
        <v>32</v>
      </c>
      <c r="I156" s="45">
        <v>2321</v>
      </c>
      <c r="J156" s="11">
        <v>0</v>
      </c>
      <c r="K156" s="45">
        <f t="shared" si="15"/>
        <v>2321</v>
      </c>
      <c r="L156" s="10">
        <v>28</v>
      </c>
      <c r="M156" s="10">
        <v>1.7</v>
      </c>
      <c r="N156" s="10" t="b">
        <v>0</v>
      </c>
      <c r="O156" s="41"/>
      <c r="P156" s="45">
        <f t="shared" si="16"/>
        <v>974.81999999999994</v>
      </c>
      <c r="Q156" s="45">
        <f t="shared" si="17"/>
        <v>1346.18</v>
      </c>
      <c r="R156" s="45">
        <v>0</v>
      </c>
      <c r="S156" s="45">
        <f t="shared" si="18"/>
        <v>0</v>
      </c>
      <c r="T156" s="45">
        <f t="shared" si="19"/>
        <v>0</v>
      </c>
      <c r="U156" s="47">
        <f t="shared" si="20"/>
        <v>1346.18</v>
      </c>
    </row>
    <row r="157" spans="1:21" x14ac:dyDescent="0.3">
      <c r="A157" s="41" t="str">
        <f t="shared" si="14"/>
        <v>PBANTO</v>
      </c>
      <c r="B157" s="43">
        <v>45433</v>
      </c>
      <c r="C157" s="10" t="s">
        <v>198</v>
      </c>
      <c r="D157" s="10" t="s">
        <v>21</v>
      </c>
      <c r="E157" s="10" t="s">
        <v>9</v>
      </c>
      <c r="F157" s="10" t="s">
        <v>4</v>
      </c>
      <c r="G157" s="10" t="s">
        <v>5</v>
      </c>
      <c r="H157" s="10" t="s">
        <v>32</v>
      </c>
      <c r="I157" s="45">
        <v>1454</v>
      </c>
      <c r="J157" s="11">
        <v>0</v>
      </c>
      <c r="K157" s="45">
        <f t="shared" si="15"/>
        <v>1454</v>
      </c>
      <c r="L157" s="10">
        <v>21</v>
      </c>
      <c r="M157" s="10"/>
      <c r="N157" s="10" t="b">
        <v>0</v>
      </c>
      <c r="O157" s="41"/>
      <c r="P157" s="45">
        <f t="shared" si="16"/>
        <v>610.67999999999995</v>
      </c>
      <c r="Q157" s="45">
        <f t="shared" si="17"/>
        <v>843.32</v>
      </c>
      <c r="R157" s="45">
        <v>0</v>
      </c>
      <c r="S157" s="45">
        <f t="shared" si="18"/>
        <v>0</v>
      </c>
      <c r="T157" s="45">
        <f t="shared" si="19"/>
        <v>0</v>
      </c>
      <c r="U157" s="47">
        <f t="shared" si="20"/>
        <v>843.32</v>
      </c>
    </row>
    <row r="158" spans="1:21" x14ac:dyDescent="0.3">
      <c r="A158" s="41" t="str">
        <f t="shared" si="14"/>
        <v>PH&amp;MOU</v>
      </c>
      <c r="B158" s="43">
        <v>45433</v>
      </c>
      <c r="C158" s="10" t="s">
        <v>199</v>
      </c>
      <c r="D158" s="10" t="s">
        <v>37</v>
      </c>
      <c r="E158" s="10" t="s">
        <v>2</v>
      </c>
      <c r="F158" s="10" t="s">
        <v>11</v>
      </c>
      <c r="G158" s="10" t="s">
        <v>38</v>
      </c>
      <c r="H158" s="10" t="s">
        <v>16</v>
      </c>
      <c r="I158" s="45">
        <v>3214</v>
      </c>
      <c r="J158" s="11">
        <v>0.28300000000000003</v>
      </c>
      <c r="K158" s="45">
        <f t="shared" si="15"/>
        <v>2304.4380000000001</v>
      </c>
      <c r="L158" s="10">
        <v>49</v>
      </c>
      <c r="M158" s="10">
        <v>3.3</v>
      </c>
      <c r="N158" s="10" t="b">
        <v>1</v>
      </c>
      <c r="O158" s="41" t="s">
        <v>33</v>
      </c>
      <c r="P158" s="45">
        <f t="shared" si="16"/>
        <v>967.86396000000002</v>
      </c>
      <c r="Q158" s="45">
        <f t="shared" si="17"/>
        <v>1336.57404</v>
      </c>
      <c r="R158" s="45">
        <v>150</v>
      </c>
      <c r="S158" s="45">
        <f t="shared" si="18"/>
        <v>230.44380000000001</v>
      </c>
      <c r="T158" s="45">
        <f t="shared" si="19"/>
        <v>2304.4380000000001</v>
      </c>
      <c r="U158" s="47">
        <f t="shared" si="20"/>
        <v>-1348.3077600000001</v>
      </c>
    </row>
    <row r="159" spans="1:21" x14ac:dyDescent="0.3">
      <c r="A159" s="41" t="str">
        <f t="shared" si="14"/>
        <v>PMANSH</v>
      </c>
      <c r="B159" s="43">
        <v>45434</v>
      </c>
      <c r="C159" s="10" t="s">
        <v>200</v>
      </c>
      <c r="D159" s="10" t="s">
        <v>31</v>
      </c>
      <c r="E159" s="10" t="s">
        <v>18</v>
      </c>
      <c r="F159" s="10" t="s">
        <v>54</v>
      </c>
      <c r="G159" s="10" t="s">
        <v>38</v>
      </c>
      <c r="H159" s="10" t="s">
        <v>16</v>
      </c>
      <c r="I159" s="45">
        <v>4345</v>
      </c>
      <c r="J159" s="11">
        <v>0</v>
      </c>
      <c r="K159" s="45">
        <f t="shared" si="15"/>
        <v>4345</v>
      </c>
      <c r="L159" s="10">
        <v>17</v>
      </c>
      <c r="M159" s="10">
        <v>1.2</v>
      </c>
      <c r="N159" s="10" t="b">
        <v>0</v>
      </c>
      <c r="O159" s="41"/>
      <c r="P159" s="45">
        <f t="shared" si="16"/>
        <v>1824.8999999999999</v>
      </c>
      <c r="Q159" s="45">
        <f t="shared" si="17"/>
        <v>2520.1000000000004</v>
      </c>
      <c r="R159" s="45">
        <v>0</v>
      </c>
      <c r="S159" s="45">
        <f t="shared" si="18"/>
        <v>0</v>
      </c>
      <c r="T159" s="45">
        <f t="shared" si="19"/>
        <v>0</v>
      </c>
      <c r="U159" s="47">
        <f t="shared" si="20"/>
        <v>2520.1000000000004</v>
      </c>
    </row>
    <row r="160" spans="1:21" x14ac:dyDescent="0.3">
      <c r="A160" s="41" t="str">
        <f t="shared" si="14"/>
        <v>PGAPSH</v>
      </c>
      <c r="B160" s="43">
        <v>45434</v>
      </c>
      <c r="C160" s="10" t="s">
        <v>201</v>
      </c>
      <c r="D160" s="10" t="s">
        <v>53</v>
      </c>
      <c r="E160" s="10" t="s">
        <v>18</v>
      </c>
      <c r="F160" s="10" t="s">
        <v>23</v>
      </c>
      <c r="G160" s="10" t="s">
        <v>46</v>
      </c>
      <c r="H160" s="10" t="s">
        <v>47</v>
      </c>
      <c r="I160" s="45">
        <v>3841</v>
      </c>
      <c r="J160" s="11">
        <v>0</v>
      </c>
      <c r="K160" s="45">
        <f t="shared" si="15"/>
        <v>3841</v>
      </c>
      <c r="L160" s="10">
        <v>4</v>
      </c>
      <c r="M160" s="10">
        <v>2.8</v>
      </c>
      <c r="N160" s="10" t="b">
        <v>1</v>
      </c>
      <c r="O160" s="41" t="s">
        <v>33</v>
      </c>
      <c r="P160" s="45">
        <f t="shared" si="16"/>
        <v>1613.22</v>
      </c>
      <c r="Q160" s="45">
        <f t="shared" si="17"/>
        <v>2227.7799999999997</v>
      </c>
      <c r="R160" s="45">
        <v>150</v>
      </c>
      <c r="S160" s="45">
        <f t="shared" si="18"/>
        <v>384.1</v>
      </c>
      <c r="T160" s="45">
        <f t="shared" si="19"/>
        <v>3841</v>
      </c>
      <c r="U160" s="47">
        <f t="shared" si="20"/>
        <v>-2147.3200000000002</v>
      </c>
    </row>
    <row r="161" spans="1:21" x14ac:dyDescent="0.3">
      <c r="A161" s="41" t="str">
        <f t="shared" si="14"/>
        <v>PMANBO</v>
      </c>
      <c r="B161" s="43">
        <v>45434</v>
      </c>
      <c r="C161" s="10" t="s">
        <v>202</v>
      </c>
      <c r="D161" s="10" t="s">
        <v>31</v>
      </c>
      <c r="E161" s="10" t="s">
        <v>26</v>
      </c>
      <c r="F161" s="10" t="s">
        <v>11</v>
      </c>
      <c r="G161" s="10" t="s">
        <v>38</v>
      </c>
      <c r="H161" s="10" t="s">
        <v>28</v>
      </c>
      <c r="I161" s="45">
        <v>2081</v>
      </c>
      <c r="J161" s="11">
        <v>0</v>
      </c>
      <c r="K161" s="45">
        <f t="shared" si="15"/>
        <v>2081</v>
      </c>
      <c r="L161" s="10">
        <v>30</v>
      </c>
      <c r="M161" s="10">
        <v>4.4000000000000004</v>
      </c>
      <c r="N161" s="10" t="b">
        <v>0</v>
      </c>
      <c r="O161" s="41"/>
      <c r="P161" s="45">
        <f t="shared" si="16"/>
        <v>874.02</v>
      </c>
      <c r="Q161" s="45">
        <f t="shared" si="17"/>
        <v>1206.98</v>
      </c>
      <c r="R161" s="45">
        <v>0</v>
      </c>
      <c r="S161" s="45">
        <f t="shared" si="18"/>
        <v>0</v>
      </c>
      <c r="T161" s="45">
        <f t="shared" si="19"/>
        <v>0</v>
      </c>
      <c r="U161" s="47">
        <f t="shared" si="20"/>
        <v>1206.98</v>
      </c>
    </row>
    <row r="162" spans="1:21" x14ac:dyDescent="0.3">
      <c r="A162" s="41" t="str">
        <f t="shared" si="14"/>
        <v>PH&amp;MBO</v>
      </c>
      <c r="B162" s="43">
        <v>45435</v>
      </c>
      <c r="C162" s="10" t="s">
        <v>203</v>
      </c>
      <c r="D162" s="10" t="s">
        <v>37</v>
      </c>
      <c r="E162" s="10" t="s">
        <v>26</v>
      </c>
      <c r="F162" s="10" t="s">
        <v>54</v>
      </c>
      <c r="G162" s="10" t="s">
        <v>49</v>
      </c>
      <c r="H162" s="10" t="s">
        <v>35</v>
      </c>
      <c r="I162" s="45">
        <v>2817</v>
      </c>
      <c r="J162" s="11">
        <v>0</v>
      </c>
      <c r="K162" s="45">
        <f t="shared" si="15"/>
        <v>2817</v>
      </c>
      <c r="L162" s="10">
        <v>41</v>
      </c>
      <c r="M162" s="10">
        <v>4.5</v>
      </c>
      <c r="N162" s="10" t="b">
        <v>1</v>
      </c>
      <c r="O162" s="41" t="s">
        <v>80</v>
      </c>
      <c r="P162" s="45">
        <f t="shared" si="16"/>
        <v>1183.1399999999999</v>
      </c>
      <c r="Q162" s="45">
        <f t="shared" si="17"/>
        <v>1633.8600000000001</v>
      </c>
      <c r="R162" s="45">
        <v>150</v>
      </c>
      <c r="S162" s="45">
        <f t="shared" si="18"/>
        <v>281.7</v>
      </c>
      <c r="T162" s="45">
        <f t="shared" si="19"/>
        <v>2817</v>
      </c>
      <c r="U162" s="47">
        <f t="shared" si="20"/>
        <v>-1614.84</v>
      </c>
    </row>
    <row r="163" spans="1:21" x14ac:dyDescent="0.3">
      <c r="A163" s="41" t="str">
        <f t="shared" si="14"/>
        <v>PGAPAC</v>
      </c>
      <c r="B163" s="43">
        <v>45435</v>
      </c>
      <c r="C163" s="10" t="s">
        <v>204</v>
      </c>
      <c r="D163" s="10" t="s">
        <v>53</v>
      </c>
      <c r="E163" s="10" t="s">
        <v>15</v>
      </c>
      <c r="F163" s="10" t="s">
        <v>4</v>
      </c>
      <c r="G163" s="10" t="s">
        <v>7</v>
      </c>
      <c r="H163" s="10" t="s">
        <v>56</v>
      </c>
      <c r="I163" s="45">
        <v>301</v>
      </c>
      <c r="J163" s="11">
        <v>0.40600000000000003</v>
      </c>
      <c r="K163" s="45">
        <f t="shared" si="15"/>
        <v>178.79399999999998</v>
      </c>
      <c r="L163" s="10">
        <v>18</v>
      </c>
      <c r="M163" s="10">
        <v>2.6</v>
      </c>
      <c r="N163" s="10" t="b">
        <v>0</v>
      </c>
      <c r="O163" s="41"/>
      <c r="P163" s="45">
        <f t="shared" si="16"/>
        <v>75.093479999999985</v>
      </c>
      <c r="Q163" s="45">
        <f t="shared" si="17"/>
        <v>103.70052</v>
      </c>
      <c r="R163" s="45">
        <v>0</v>
      </c>
      <c r="S163" s="45">
        <f t="shared" si="18"/>
        <v>0</v>
      </c>
      <c r="T163" s="45">
        <f t="shared" si="19"/>
        <v>0</v>
      </c>
      <c r="U163" s="47">
        <f t="shared" si="20"/>
        <v>103.70052</v>
      </c>
    </row>
    <row r="164" spans="1:21" x14ac:dyDescent="0.3">
      <c r="A164" s="41" t="str">
        <f t="shared" si="14"/>
        <v>PGAPBO</v>
      </c>
      <c r="B164" s="43">
        <v>45435</v>
      </c>
      <c r="C164" s="10" t="s">
        <v>205</v>
      </c>
      <c r="D164" s="10" t="s">
        <v>53</v>
      </c>
      <c r="E164" s="10" t="s">
        <v>26</v>
      </c>
      <c r="F164" s="10" t="s">
        <v>4</v>
      </c>
      <c r="G164" s="10" t="s">
        <v>38</v>
      </c>
      <c r="H164" s="10" t="s">
        <v>56</v>
      </c>
      <c r="I164" s="45">
        <v>2605</v>
      </c>
      <c r="J164" s="11">
        <v>1.1000000000000001E-2</v>
      </c>
      <c r="K164" s="45">
        <f t="shared" si="15"/>
        <v>2576.3449999999998</v>
      </c>
      <c r="L164" s="10">
        <v>35</v>
      </c>
      <c r="M164" s="10">
        <v>5</v>
      </c>
      <c r="N164" s="10" t="b">
        <v>0</v>
      </c>
      <c r="O164" s="41"/>
      <c r="P164" s="45">
        <f t="shared" si="16"/>
        <v>1082.0648999999999</v>
      </c>
      <c r="Q164" s="45">
        <f t="shared" si="17"/>
        <v>1494.2800999999999</v>
      </c>
      <c r="R164" s="45">
        <v>0</v>
      </c>
      <c r="S164" s="45">
        <f t="shared" si="18"/>
        <v>0</v>
      </c>
      <c r="T164" s="45">
        <f t="shared" si="19"/>
        <v>0</v>
      </c>
      <c r="U164" s="47">
        <f t="shared" si="20"/>
        <v>1494.2800999999999</v>
      </c>
    </row>
    <row r="165" spans="1:21" x14ac:dyDescent="0.3">
      <c r="A165" s="41" t="str">
        <f t="shared" si="14"/>
        <v>PH&amp;MAC</v>
      </c>
      <c r="B165" s="43">
        <v>45436</v>
      </c>
      <c r="C165" s="10" t="s">
        <v>206</v>
      </c>
      <c r="D165" s="10" t="s">
        <v>37</v>
      </c>
      <c r="E165" s="10" t="s">
        <v>15</v>
      </c>
      <c r="F165" s="10" t="s">
        <v>4</v>
      </c>
      <c r="G165" s="10" t="s">
        <v>7</v>
      </c>
      <c r="H165" s="10" t="s">
        <v>35</v>
      </c>
      <c r="I165" s="45">
        <v>167</v>
      </c>
      <c r="J165" s="11">
        <v>0</v>
      </c>
      <c r="K165" s="45">
        <f t="shared" si="15"/>
        <v>167</v>
      </c>
      <c r="L165" s="10">
        <v>2</v>
      </c>
      <c r="M165" s="10">
        <v>1.4</v>
      </c>
      <c r="N165" s="10" t="b">
        <v>0</v>
      </c>
      <c r="O165" s="41"/>
      <c r="P165" s="45">
        <f t="shared" si="16"/>
        <v>70.14</v>
      </c>
      <c r="Q165" s="45">
        <f t="shared" si="17"/>
        <v>96.86</v>
      </c>
      <c r="R165" s="45">
        <v>0</v>
      </c>
      <c r="S165" s="45">
        <f t="shared" si="18"/>
        <v>0</v>
      </c>
      <c r="T165" s="45">
        <f t="shared" si="19"/>
        <v>0</v>
      </c>
      <c r="U165" s="47">
        <f t="shared" si="20"/>
        <v>96.86</v>
      </c>
    </row>
    <row r="166" spans="1:21" x14ac:dyDescent="0.3">
      <c r="A166" s="41" t="str">
        <f t="shared" si="14"/>
        <v>PZARSH</v>
      </c>
      <c r="B166" s="43">
        <v>45436</v>
      </c>
      <c r="C166" s="10" t="s">
        <v>207</v>
      </c>
      <c r="D166" s="10" t="s">
        <v>3</v>
      </c>
      <c r="E166" s="10" t="s">
        <v>18</v>
      </c>
      <c r="F166" s="10" t="s">
        <v>11</v>
      </c>
      <c r="G166" s="10" t="s">
        <v>49</v>
      </c>
      <c r="H166" s="10" t="s">
        <v>43</v>
      </c>
      <c r="I166" s="45">
        <v>4079</v>
      </c>
      <c r="J166" s="11">
        <v>0</v>
      </c>
      <c r="K166" s="45">
        <f t="shared" si="15"/>
        <v>4079</v>
      </c>
      <c r="L166" s="10">
        <v>47</v>
      </c>
      <c r="M166" s="10"/>
      <c r="N166" s="10" t="b">
        <v>0</v>
      </c>
      <c r="O166" s="41"/>
      <c r="P166" s="45">
        <f t="shared" si="16"/>
        <v>1713.1799999999998</v>
      </c>
      <c r="Q166" s="45">
        <f t="shared" si="17"/>
        <v>2365.8200000000002</v>
      </c>
      <c r="R166" s="45">
        <v>0</v>
      </c>
      <c r="S166" s="45">
        <f t="shared" si="18"/>
        <v>0</v>
      </c>
      <c r="T166" s="45">
        <f t="shared" si="19"/>
        <v>0</v>
      </c>
      <c r="U166" s="47">
        <f t="shared" si="20"/>
        <v>2365.8200000000002</v>
      </c>
    </row>
    <row r="167" spans="1:21" x14ac:dyDescent="0.3">
      <c r="A167" s="41" t="str">
        <f t="shared" si="14"/>
        <v>PGAPSH</v>
      </c>
      <c r="B167" s="43">
        <v>45436</v>
      </c>
      <c r="C167" s="10" t="s">
        <v>208</v>
      </c>
      <c r="D167" s="10" t="s">
        <v>53</v>
      </c>
      <c r="E167" s="10" t="s">
        <v>18</v>
      </c>
      <c r="F167" s="10" t="s">
        <v>23</v>
      </c>
      <c r="G167" s="10" t="s">
        <v>5</v>
      </c>
      <c r="H167" s="10" t="s">
        <v>35</v>
      </c>
      <c r="I167" s="45">
        <v>3231</v>
      </c>
      <c r="J167" s="11">
        <v>0</v>
      </c>
      <c r="K167" s="45">
        <f t="shared" si="15"/>
        <v>3231</v>
      </c>
      <c r="L167" s="10">
        <v>33</v>
      </c>
      <c r="M167" s="10"/>
      <c r="N167" s="10" t="b">
        <v>0</v>
      </c>
      <c r="O167" s="41"/>
      <c r="P167" s="45">
        <f t="shared" si="16"/>
        <v>1357.02</v>
      </c>
      <c r="Q167" s="45">
        <f t="shared" si="17"/>
        <v>1873.98</v>
      </c>
      <c r="R167" s="45">
        <v>0</v>
      </c>
      <c r="S167" s="45">
        <f t="shared" si="18"/>
        <v>0</v>
      </c>
      <c r="T167" s="45">
        <f t="shared" si="19"/>
        <v>0</v>
      </c>
      <c r="U167" s="47">
        <f t="shared" si="20"/>
        <v>1873.98</v>
      </c>
    </row>
    <row r="168" spans="1:21" x14ac:dyDescent="0.3">
      <c r="A168" s="41" t="str">
        <f t="shared" si="14"/>
        <v>PMANAC</v>
      </c>
      <c r="B168" s="43">
        <v>45436</v>
      </c>
      <c r="C168" s="10" t="s">
        <v>209</v>
      </c>
      <c r="D168" s="10" t="s">
        <v>31</v>
      </c>
      <c r="E168" s="10" t="s">
        <v>15</v>
      </c>
      <c r="F168" s="10" t="s">
        <v>4</v>
      </c>
      <c r="G168" s="10" t="s">
        <v>7</v>
      </c>
      <c r="H168" s="10" t="s">
        <v>16</v>
      </c>
      <c r="I168" s="45">
        <v>257</v>
      </c>
      <c r="J168" s="11">
        <v>0</v>
      </c>
      <c r="K168" s="45">
        <f t="shared" si="15"/>
        <v>257</v>
      </c>
      <c r="L168" s="10">
        <v>40</v>
      </c>
      <c r="M168" s="10">
        <v>2.8</v>
      </c>
      <c r="N168" s="10" t="b">
        <v>0</v>
      </c>
      <c r="O168" s="41"/>
      <c r="P168" s="45">
        <f t="shared" si="16"/>
        <v>107.94</v>
      </c>
      <c r="Q168" s="45">
        <f t="shared" si="17"/>
        <v>149.06</v>
      </c>
      <c r="R168" s="45">
        <v>0</v>
      </c>
      <c r="S168" s="45">
        <f t="shared" si="18"/>
        <v>0</v>
      </c>
      <c r="T168" s="45">
        <f t="shared" si="19"/>
        <v>0</v>
      </c>
      <c r="U168" s="47">
        <f t="shared" si="20"/>
        <v>149.06</v>
      </c>
    </row>
    <row r="169" spans="1:21" x14ac:dyDescent="0.3">
      <c r="A169" s="41" t="str">
        <f t="shared" si="14"/>
        <v>PANNAC</v>
      </c>
      <c r="B169" s="43">
        <v>45437</v>
      </c>
      <c r="C169" s="10" t="s">
        <v>210</v>
      </c>
      <c r="D169" s="10" t="s">
        <v>42</v>
      </c>
      <c r="E169" s="10" t="s">
        <v>15</v>
      </c>
      <c r="F169" s="10" t="s">
        <v>54</v>
      </c>
      <c r="G169" s="10" t="s">
        <v>7</v>
      </c>
      <c r="H169" s="10" t="s">
        <v>28</v>
      </c>
      <c r="I169" s="45">
        <v>268</v>
      </c>
      <c r="J169" s="11">
        <v>0.18</v>
      </c>
      <c r="K169" s="45">
        <f t="shared" si="15"/>
        <v>219.76000000000002</v>
      </c>
      <c r="L169" s="10">
        <v>34</v>
      </c>
      <c r="M169" s="10">
        <v>4.2</v>
      </c>
      <c r="N169" s="10" t="b">
        <v>0</v>
      </c>
      <c r="O169" s="41"/>
      <c r="P169" s="45">
        <f t="shared" si="16"/>
        <v>92.299199999999999</v>
      </c>
      <c r="Q169" s="45">
        <f t="shared" si="17"/>
        <v>127.46080000000002</v>
      </c>
      <c r="R169" s="45">
        <v>0</v>
      </c>
      <c r="S169" s="45">
        <f t="shared" si="18"/>
        <v>0</v>
      </c>
      <c r="T169" s="45">
        <f t="shared" si="19"/>
        <v>0</v>
      </c>
      <c r="U169" s="47">
        <f t="shared" si="20"/>
        <v>127.46080000000002</v>
      </c>
    </row>
    <row r="170" spans="1:21" x14ac:dyDescent="0.3">
      <c r="A170" s="41" t="str">
        <f t="shared" si="14"/>
        <v>PFORDR</v>
      </c>
      <c r="B170" s="43">
        <v>45437</v>
      </c>
      <c r="C170" s="10" t="s">
        <v>211</v>
      </c>
      <c r="D170" s="10" t="s">
        <v>65</v>
      </c>
      <c r="E170" s="10" t="s">
        <v>30</v>
      </c>
      <c r="F170" s="10" t="s">
        <v>23</v>
      </c>
      <c r="G170" s="10" t="s">
        <v>38</v>
      </c>
      <c r="H170" s="10" t="s">
        <v>28</v>
      </c>
      <c r="I170" s="45">
        <v>2836</v>
      </c>
      <c r="J170" s="11">
        <v>0.214</v>
      </c>
      <c r="K170" s="45">
        <f t="shared" si="15"/>
        <v>2229.096</v>
      </c>
      <c r="L170" s="10">
        <v>4</v>
      </c>
      <c r="M170" s="10">
        <v>3.6</v>
      </c>
      <c r="N170" s="10" t="b">
        <v>0</v>
      </c>
      <c r="O170" s="41"/>
      <c r="P170" s="45">
        <f t="shared" si="16"/>
        <v>936.22032000000002</v>
      </c>
      <c r="Q170" s="45">
        <f t="shared" si="17"/>
        <v>1292.8756800000001</v>
      </c>
      <c r="R170" s="45">
        <v>0</v>
      </c>
      <c r="S170" s="45">
        <f t="shared" si="18"/>
        <v>0</v>
      </c>
      <c r="T170" s="45">
        <f t="shared" si="19"/>
        <v>0</v>
      </c>
      <c r="U170" s="47">
        <f t="shared" si="20"/>
        <v>1292.8756800000001</v>
      </c>
    </row>
    <row r="171" spans="1:21" x14ac:dyDescent="0.3">
      <c r="A171" s="41" t="str">
        <f t="shared" si="14"/>
        <v>PBANSH</v>
      </c>
      <c r="B171" s="43">
        <v>45437</v>
      </c>
      <c r="C171" s="10" t="s">
        <v>212</v>
      </c>
      <c r="D171" s="10" t="s">
        <v>21</v>
      </c>
      <c r="E171" s="10" t="s">
        <v>18</v>
      </c>
      <c r="F171" s="10" t="s">
        <v>11</v>
      </c>
      <c r="G171" s="10" t="s">
        <v>38</v>
      </c>
      <c r="H171" s="10" t="s">
        <v>6</v>
      </c>
      <c r="I171" s="45">
        <v>3655</v>
      </c>
      <c r="J171" s="11">
        <v>0</v>
      </c>
      <c r="K171" s="45">
        <f t="shared" si="15"/>
        <v>3655</v>
      </c>
      <c r="L171" s="10">
        <v>33</v>
      </c>
      <c r="M171" s="10">
        <v>4.9000000000000004</v>
      </c>
      <c r="N171" s="10" t="b">
        <v>1</v>
      </c>
      <c r="O171" s="41" t="s">
        <v>33</v>
      </c>
      <c r="P171" s="45">
        <f t="shared" si="16"/>
        <v>1535.1</v>
      </c>
      <c r="Q171" s="45">
        <f t="shared" si="17"/>
        <v>2119.9</v>
      </c>
      <c r="R171" s="45">
        <v>150</v>
      </c>
      <c r="S171" s="45">
        <f t="shared" si="18"/>
        <v>365.5</v>
      </c>
      <c r="T171" s="45">
        <f t="shared" si="19"/>
        <v>3655</v>
      </c>
      <c r="U171" s="47">
        <f t="shared" si="20"/>
        <v>-2050.6</v>
      </c>
    </row>
    <row r="172" spans="1:21" x14ac:dyDescent="0.3">
      <c r="A172" s="41" t="str">
        <f t="shared" si="14"/>
        <v>PANNBO</v>
      </c>
      <c r="B172" s="43">
        <v>45438</v>
      </c>
      <c r="C172" s="10" t="s">
        <v>213</v>
      </c>
      <c r="D172" s="10" t="s">
        <v>42</v>
      </c>
      <c r="E172" s="10" t="s">
        <v>26</v>
      </c>
      <c r="F172" s="10" t="s">
        <v>23</v>
      </c>
      <c r="G172" s="10" t="s">
        <v>46</v>
      </c>
      <c r="H172" s="10" t="s">
        <v>88</v>
      </c>
      <c r="I172" s="45">
        <v>2029</v>
      </c>
      <c r="J172" s="11">
        <v>1.7000000000000001E-2</v>
      </c>
      <c r="K172" s="45">
        <f t="shared" si="15"/>
        <v>1994.5070000000001</v>
      </c>
      <c r="L172" s="10">
        <v>40</v>
      </c>
      <c r="M172" s="10">
        <v>2.5</v>
      </c>
      <c r="N172" s="10" t="b">
        <v>0</v>
      </c>
      <c r="O172" s="41"/>
      <c r="P172" s="45">
        <f t="shared" si="16"/>
        <v>837.69294000000002</v>
      </c>
      <c r="Q172" s="45">
        <f t="shared" si="17"/>
        <v>1156.8140600000002</v>
      </c>
      <c r="R172" s="45">
        <v>0</v>
      </c>
      <c r="S172" s="45">
        <f t="shared" si="18"/>
        <v>0</v>
      </c>
      <c r="T172" s="45">
        <f t="shared" si="19"/>
        <v>0</v>
      </c>
      <c r="U172" s="47">
        <f t="shared" si="20"/>
        <v>1156.8140600000002</v>
      </c>
    </row>
    <row r="173" spans="1:21" x14ac:dyDescent="0.3">
      <c r="A173" s="41" t="str">
        <f t="shared" si="14"/>
        <v>PZARTO</v>
      </c>
      <c r="B173" s="43">
        <v>45438</v>
      </c>
      <c r="C173" s="10" t="s">
        <v>214</v>
      </c>
      <c r="D173" s="10" t="s">
        <v>3</v>
      </c>
      <c r="E173" s="10" t="s">
        <v>9</v>
      </c>
      <c r="F173" s="10" t="s">
        <v>11</v>
      </c>
      <c r="G173" s="10" t="s">
        <v>46</v>
      </c>
      <c r="H173" s="10" t="s">
        <v>6</v>
      </c>
      <c r="I173" s="45">
        <v>959</v>
      </c>
      <c r="J173" s="11">
        <v>0</v>
      </c>
      <c r="K173" s="45">
        <f t="shared" si="15"/>
        <v>959</v>
      </c>
      <c r="L173" s="10">
        <v>13</v>
      </c>
      <c r="M173" s="10">
        <v>2.8</v>
      </c>
      <c r="N173" s="10" t="b">
        <v>1</v>
      </c>
      <c r="O173" s="41" t="s">
        <v>44</v>
      </c>
      <c r="P173" s="45">
        <f t="shared" si="16"/>
        <v>402.78</v>
      </c>
      <c r="Q173" s="45">
        <f t="shared" si="17"/>
        <v>556.22</v>
      </c>
      <c r="R173" s="45">
        <v>150</v>
      </c>
      <c r="S173" s="45">
        <f t="shared" si="18"/>
        <v>95.9</v>
      </c>
      <c r="T173" s="45">
        <f t="shared" si="19"/>
        <v>959</v>
      </c>
      <c r="U173" s="47">
        <f t="shared" si="20"/>
        <v>-648.67999999999995</v>
      </c>
    </row>
    <row r="174" spans="1:21" x14ac:dyDescent="0.3">
      <c r="A174" s="41" t="str">
        <f t="shared" si="14"/>
        <v>PANNAC</v>
      </c>
      <c r="B174" s="43">
        <v>45438</v>
      </c>
      <c r="C174" s="10" t="s">
        <v>215</v>
      </c>
      <c r="D174" s="10" t="s">
        <v>42</v>
      </c>
      <c r="E174" s="10" t="s">
        <v>15</v>
      </c>
      <c r="F174" s="10" t="s">
        <v>11</v>
      </c>
      <c r="G174" s="10" t="s">
        <v>7</v>
      </c>
      <c r="H174" s="10" t="s">
        <v>43</v>
      </c>
      <c r="I174" s="45">
        <v>337</v>
      </c>
      <c r="J174" s="11">
        <v>0</v>
      </c>
      <c r="K174" s="45">
        <f t="shared" si="15"/>
        <v>337</v>
      </c>
      <c r="L174" s="10">
        <v>47</v>
      </c>
      <c r="M174" s="10">
        <v>4.5999999999999996</v>
      </c>
      <c r="N174" s="10" t="b">
        <v>1</v>
      </c>
      <c r="O174" s="41" t="s">
        <v>19</v>
      </c>
      <c r="P174" s="45">
        <f t="shared" si="16"/>
        <v>141.54</v>
      </c>
      <c r="Q174" s="45">
        <f t="shared" si="17"/>
        <v>195.46</v>
      </c>
      <c r="R174" s="45">
        <v>150</v>
      </c>
      <c r="S174" s="45">
        <f t="shared" si="18"/>
        <v>33.700000000000003</v>
      </c>
      <c r="T174" s="45">
        <f t="shared" si="19"/>
        <v>337</v>
      </c>
      <c r="U174" s="47">
        <f t="shared" si="20"/>
        <v>-325.24</v>
      </c>
    </row>
    <row r="175" spans="1:21" x14ac:dyDescent="0.3">
      <c r="A175" s="41" t="str">
        <f t="shared" si="14"/>
        <v>PBANSH</v>
      </c>
      <c r="B175" s="43">
        <v>45438</v>
      </c>
      <c r="C175" s="10" t="s">
        <v>216</v>
      </c>
      <c r="D175" s="10" t="s">
        <v>21</v>
      </c>
      <c r="E175" s="10" t="s">
        <v>18</v>
      </c>
      <c r="F175" s="10" t="s">
        <v>11</v>
      </c>
      <c r="G175" s="10" t="s">
        <v>5</v>
      </c>
      <c r="H175" s="10" t="s">
        <v>6</v>
      </c>
      <c r="I175" s="45">
        <v>3842</v>
      </c>
      <c r="J175" s="11">
        <v>0</v>
      </c>
      <c r="K175" s="45">
        <f t="shared" si="15"/>
        <v>3842</v>
      </c>
      <c r="L175" s="10">
        <v>41</v>
      </c>
      <c r="M175" s="10">
        <v>3.4</v>
      </c>
      <c r="N175" s="10" t="b">
        <v>0</v>
      </c>
      <c r="O175" s="41"/>
      <c r="P175" s="45">
        <f t="shared" si="16"/>
        <v>1613.6399999999999</v>
      </c>
      <c r="Q175" s="45">
        <f t="shared" si="17"/>
        <v>2228.36</v>
      </c>
      <c r="R175" s="45">
        <v>0</v>
      </c>
      <c r="S175" s="45">
        <f t="shared" si="18"/>
        <v>0</v>
      </c>
      <c r="T175" s="45">
        <f t="shared" si="19"/>
        <v>0</v>
      </c>
      <c r="U175" s="47">
        <f t="shared" si="20"/>
        <v>2228.36</v>
      </c>
    </row>
    <row r="176" spans="1:21" x14ac:dyDescent="0.3">
      <c r="A176" s="41" t="str">
        <f t="shared" si="14"/>
        <v>PANNDR</v>
      </c>
      <c r="B176" s="43">
        <v>45439</v>
      </c>
      <c r="C176" s="10" t="s">
        <v>217</v>
      </c>
      <c r="D176" s="10" t="s">
        <v>42</v>
      </c>
      <c r="E176" s="10" t="s">
        <v>30</v>
      </c>
      <c r="F176" s="10" t="s">
        <v>4</v>
      </c>
      <c r="G176" s="10" t="s">
        <v>49</v>
      </c>
      <c r="H176" s="10" t="s">
        <v>28</v>
      </c>
      <c r="I176" s="45">
        <v>2464</v>
      </c>
      <c r="J176" s="11">
        <v>0</v>
      </c>
      <c r="K176" s="45">
        <f t="shared" si="15"/>
        <v>2464</v>
      </c>
      <c r="L176" s="10">
        <v>37</v>
      </c>
      <c r="M176" s="10">
        <v>3.2</v>
      </c>
      <c r="N176" s="10" t="b">
        <v>1</v>
      </c>
      <c r="O176" s="41" t="s">
        <v>50</v>
      </c>
      <c r="P176" s="45">
        <f t="shared" si="16"/>
        <v>1034.8799999999999</v>
      </c>
      <c r="Q176" s="45">
        <f t="shared" si="17"/>
        <v>1429.1200000000001</v>
      </c>
      <c r="R176" s="45">
        <v>150</v>
      </c>
      <c r="S176" s="45">
        <f t="shared" si="18"/>
        <v>246.4</v>
      </c>
      <c r="T176" s="45">
        <f t="shared" si="19"/>
        <v>2464</v>
      </c>
      <c r="U176" s="47">
        <f t="shared" si="20"/>
        <v>-1431.28</v>
      </c>
    </row>
    <row r="177" spans="1:21" x14ac:dyDescent="0.3">
      <c r="A177" s="41" t="str">
        <f t="shared" si="14"/>
        <v>PANNTO</v>
      </c>
      <c r="B177" s="43">
        <v>45439</v>
      </c>
      <c r="C177" s="10" t="s">
        <v>218</v>
      </c>
      <c r="D177" s="10" t="s">
        <v>42</v>
      </c>
      <c r="E177" s="10" t="s">
        <v>9</v>
      </c>
      <c r="F177" s="10" t="s">
        <v>54</v>
      </c>
      <c r="G177" s="10" t="s">
        <v>38</v>
      </c>
      <c r="H177" s="10" t="s">
        <v>16</v>
      </c>
      <c r="I177" s="45">
        <v>1021</v>
      </c>
      <c r="J177" s="11">
        <v>0</v>
      </c>
      <c r="K177" s="45">
        <f t="shared" si="15"/>
        <v>1021</v>
      </c>
      <c r="L177" s="10">
        <v>4</v>
      </c>
      <c r="M177" s="10">
        <v>4.4000000000000004</v>
      </c>
      <c r="N177" s="10" t="b">
        <v>0</v>
      </c>
      <c r="O177" s="41"/>
      <c r="P177" s="45">
        <f t="shared" si="16"/>
        <v>428.82</v>
      </c>
      <c r="Q177" s="45">
        <f t="shared" si="17"/>
        <v>592.18000000000006</v>
      </c>
      <c r="R177" s="45">
        <v>0</v>
      </c>
      <c r="S177" s="45">
        <f t="shared" si="18"/>
        <v>0</v>
      </c>
      <c r="T177" s="45">
        <f t="shared" si="19"/>
        <v>0</v>
      </c>
      <c r="U177" s="47">
        <f t="shared" si="20"/>
        <v>592.18000000000006</v>
      </c>
    </row>
    <row r="178" spans="1:21" x14ac:dyDescent="0.3">
      <c r="A178" s="41" t="str">
        <f t="shared" si="14"/>
        <v>PUNIOU</v>
      </c>
      <c r="B178" s="43">
        <v>45439</v>
      </c>
      <c r="C178" s="10" t="s">
        <v>219</v>
      </c>
      <c r="D178" s="10" t="s">
        <v>10</v>
      </c>
      <c r="E178" s="10" t="s">
        <v>2</v>
      </c>
      <c r="F178" s="10" t="s">
        <v>11</v>
      </c>
      <c r="G178" s="10" t="s">
        <v>49</v>
      </c>
      <c r="H178" s="10" t="s">
        <v>28</v>
      </c>
      <c r="I178" s="45">
        <v>3696</v>
      </c>
      <c r="J178" s="11">
        <v>0</v>
      </c>
      <c r="K178" s="45">
        <f t="shared" si="15"/>
        <v>3696</v>
      </c>
      <c r="L178" s="10">
        <v>5</v>
      </c>
      <c r="M178" s="10">
        <v>3.3</v>
      </c>
      <c r="N178" s="10" t="b">
        <v>0</v>
      </c>
      <c r="O178" s="41"/>
      <c r="P178" s="45">
        <f t="shared" si="16"/>
        <v>1552.32</v>
      </c>
      <c r="Q178" s="45">
        <f t="shared" si="17"/>
        <v>2143.6800000000003</v>
      </c>
      <c r="R178" s="45">
        <v>0</v>
      </c>
      <c r="S178" s="45">
        <f t="shared" si="18"/>
        <v>0</v>
      </c>
      <c r="T178" s="45">
        <f t="shared" si="19"/>
        <v>0</v>
      </c>
      <c r="U178" s="47">
        <f t="shared" si="20"/>
        <v>2143.6800000000003</v>
      </c>
    </row>
    <row r="179" spans="1:21" x14ac:dyDescent="0.3">
      <c r="A179" s="41" t="str">
        <f t="shared" si="14"/>
        <v>PMANSH</v>
      </c>
      <c r="B179" s="43">
        <v>45440</v>
      </c>
      <c r="C179" s="10" t="s">
        <v>220</v>
      </c>
      <c r="D179" s="10" t="s">
        <v>31</v>
      </c>
      <c r="E179" s="10" t="s">
        <v>18</v>
      </c>
      <c r="F179" s="10" t="s">
        <v>23</v>
      </c>
      <c r="G179" s="10" t="s">
        <v>38</v>
      </c>
      <c r="H179" s="10" t="s">
        <v>13</v>
      </c>
      <c r="I179" s="45">
        <v>4437</v>
      </c>
      <c r="J179" s="11">
        <v>0.2</v>
      </c>
      <c r="K179" s="45">
        <f t="shared" si="15"/>
        <v>3549.6000000000004</v>
      </c>
      <c r="L179" s="10">
        <v>47</v>
      </c>
      <c r="M179" s="10"/>
      <c r="N179" s="10" t="b">
        <v>1</v>
      </c>
      <c r="O179" s="41" t="s">
        <v>19</v>
      </c>
      <c r="P179" s="45">
        <f t="shared" si="16"/>
        <v>1490.8320000000001</v>
      </c>
      <c r="Q179" s="45">
        <f t="shared" si="17"/>
        <v>2058.768</v>
      </c>
      <c r="R179" s="45">
        <v>150</v>
      </c>
      <c r="S179" s="45">
        <f t="shared" si="18"/>
        <v>354.96000000000004</v>
      </c>
      <c r="T179" s="45">
        <f t="shared" si="19"/>
        <v>3549.6000000000004</v>
      </c>
      <c r="U179" s="47">
        <f t="shared" si="20"/>
        <v>-1995.7920000000004</v>
      </c>
    </row>
    <row r="180" spans="1:21" x14ac:dyDescent="0.3">
      <c r="A180" s="41" t="str">
        <f t="shared" si="14"/>
        <v>PFORTO</v>
      </c>
      <c r="B180" s="43">
        <v>45440</v>
      </c>
      <c r="C180" s="10" t="s">
        <v>221</v>
      </c>
      <c r="D180" s="10" t="s">
        <v>65</v>
      </c>
      <c r="E180" s="10" t="s">
        <v>9</v>
      </c>
      <c r="F180" s="10" t="s">
        <v>11</v>
      </c>
      <c r="G180" s="10" t="s">
        <v>46</v>
      </c>
      <c r="H180" s="10" t="s">
        <v>88</v>
      </c>
      <c r="I180" s="45">
        <v>929</v>
      </c>
      <c r="J180" s="11">
        <v>0.39200000000000002</v>
      </c>
      <c r="K180" s="45">
        <f t="shared" si="15"/>
        <v>564.83199999999999</v>
      </c>
      <c r="L180" s="10">
        <v>16</v>
      </c>
      <c r="M180" s="10">
        <v>3.7</v>
      </c>
      <c r="N180" s="10" t="b">
        <v>0</v>
      </c>
      <c r="O180" s="41"/>
      <c r="P180" s="45">
        <f t="shared" si="16"/>
        <v>237.22943999999998</v>
      </c>
      <c r="Q180" s="45">
        <f t="shared" si="17"/>
        <v>327.60256000000004</v>
      </c>
      <c r="R180" s="45">
        <v>0</v>
      </c>
      <c r="S180" s="45">
        <f t="shared" si="18"/>
        <v>0</v>
      </c>
      <c r="T180" s="45">
        <f t="shared" si="19"/>
        <v>0</v>
      </c>
      <c r="U180" s="47">
        <f t="shared" si="20"/>
        <v>327.60256000000004</v>
      </c>
    </row>
    <row r="181" spans="1:21" x14ac:dyDescent="0.3">
      <c r="A181" s="41" t="str">
        <f t="shared" si="14"/>
        <v>PBANAC</v>
      </c>
      <c r="B181" s="43">
        <v>45440</v>
      </c>
      <c r="C181" s="10" t="s">
        <v>222</v>
      </c>
      <c r="D181" s="10" t="s">
        <v>21</v>
      </c>
      <c r="E181" s="10" t="s">
        <v>15</v>
      </c>
      <c r="F181" s="10" t="s">
        <v>4</v>
      </c>
      <c r="G181" s="10" t="s">
        <v>7</v>
      </c>
      <c r="H181" s="10" t="s">
        <v>32</v>
      </c>
      <c r="I181" s="45">
        <v>443</v>
      </c>
      <c r="J181" s="11">
        <v>0.39799999999999996</v>
      </c>
      <c r="K181" s="45">
        <f t="shared" si="15"/>
        <v>266.68600000000004</v>
      </c>
      <c r="L181" s="10">
        <v>18</v>
      </c>
      <c r="M181" s="10">
        <v>1.3</v>
      </c>
      <c r="N181" s="10" t="b">
        <v>0</v>
      </c>
      <c r="O181" s="41"/>
      <c r="P181" s="45">
        <f t="shared" si="16"/>
        <v>112.00812000000001</v>
      </c>
      <c r="Q181" s="45">
        <f t="shared" si="17"/>
        <v>154.67788000000002</v>
      </c>
      <c r="R181" s="45">
        <v>0</v>
      </c>
      <c r="S181" s="45">
        <f t="shared" si="18"/>
        <v>0</v>
      </c>
      <c r="T181" s="45">
        <f t="shared" si="19"/>
        <v>0</v>
      </c>
      <c r="U181" s="47">
        <f t="shared" si="20"/>
        <v>154.67788000000002</v>
      </c>
    </row>
    <row r="182" spans="1:21" x14ac:dyDescent="0.3">
      <c r="A182" s="41" t="str">
        <f t="shared" si="14"/>
        <v>PH&amp;MOU</v>
      </c>
      <c r="B182" s="43">
        <v>45440</v>
      </c>
      <c r="C182" s="10" t="s">
        <v>223</v>
      </c>
      <c r="D182" s="10" t="s">
        <v>37</v>
      </c>
      <c r="E182" s="10" t="s">
        <v>2</v>
      </c>
      <c r="F182" s="10" t="s">
        <v>4</v>
      </c>
      <c r="G182" s="10" t="s">
        <v>46</v>
      </c>
      <c r="H182" s="10" t="s">
        <v>6</v>
      </c>
      <c r="I182" s="45">
        <v>4450</v>
      </c>
      <c r="J182" s="11">
        <v>0</v>
      </c>
      <c r="K182" s="45">
        <f t="shared" si="15"/>
        <v>4450</v>
      </c>
      <c r="L182" s="10">
        <v>34</v>
      </c>
      <c r="M182" s="10">
        <v>3.2</v>
      </c>
      <c r="N182" s="10" t="b">
        <v>0</v>
      </c>
      <c r="O182" s="41"/>
      <c r="P182" s="45">
        <f t="shared" si="16"/>
        <v>1869</v>
      </c>
      <c r="Q182" s="45">
        <f t="shared" si="17"/>
        <v>2581</v>
      </c>
      <c r="R182" s="45">
        <v>0</v>
      </c>
      <c r="S182" s="45">
        <f t="shared" si="18"/>
        <v>0</v>
      </c>
      <c r="T182" s="45">
        <f t="shared" si="19"/>
        <v>0</v>
      </c>
      <c r="U182" s="47">
        <f t="shared" si="20"/>
        <v>2581</v>
      </c>
    </row>
    <row r="183" spans="1:21" x14ac:dyDescent="0.3">
      <c r="A183" s="41" t="str">
        <f t="shared" si="14"/>
        <v>PGAPTO</v>
      </c>
      <c r="B183" s="43">
        <v>45441</v>
      </c>
      <c r="C183" s="10" t="s">
        <v>224</v>
      </c>
      <c r="D183" s="10" t="s">
        <v>53</v>
      </c>
      <c r="E183" s="10" t="s">
        <v>9</v>
      </c>
      <c r="F183" s="10" t="s">
        <v>23</v>
      </c>
      <c r="G183" s="10" t="s">
        <v>49</v>
      </c>
      <c r="H183" s="10" t="s">
        <v>56</v>
      </c>
      <c r="I183" s="45">
        <v>927</v>
      </c>
      <c r="J183" s="11">
        <v>0</v>
      </c>
      <c r="K183" s="45">
        <f t="shared" si="15"/>
        <v>927</v>
      </c>
      <c r="L183" s="10">
        <v>7</v>
      </c>
      <c r="M183" s="10">
        <v>3.3</v>
      </c>
      <c r="N183" s="10" t="b">
        <v>0</v>
      </c>
      <c r="O183" s="41"/>
      <c r="P183" s="45">
        <f t="shared" si="16"/>
        <v>389.34</v>
      </c>
      <c r="Q183" s="45">
        <f t="shared" si="17"/>
        <v>537.66000000000008</v>
      </c>
      <c r="R183" s="45">
        <v>0</v>
      </c>
      <c r="S183" s="45">
        <f t="shared" si="18"/>
        <v>0</v>
      </c>
      <c r="T183" s="45">
        <f t="shared" si="19"/>
        <v>0</v>
      </c>
      <c r="U183" s="47">
        <f t="shared" si="20"/>
        <v>537.66000000000008</v>
      </c>
    </row>
    <row r="184" spans="1:21" x14ac:dyDescent="0.3">
      <c r="A184" s="41" t="str">
        <f t="shared" si="14"/>
        <v>PBANTO</v>
      </c>
      <c r="B184" s="43">
        <v>45441</v>
      </c>
      <c r="C184" s="10" t="s">
        <v>225</v>
      </c>
      <c r="D184" s="10" t="s">
        <v>21</v>
      </c>
      <c r="E184" s="10" t="s">
        <v>9</v>
      </c>
      <c r="F184" s="10" t="s">
        <v>11</v>
      </c>
      <c r="G184" s="10" t="s">
        <v>5</v>
      </c>
      <c r="H184" s="10" t="s">
        <v>35</v>
      </c>
      <c r="I184" s="45">
        <v>1430</v>
      </c>
      <c r="J184" s="11">
        <v>0</v>
      </c>
      <c r="K184" s="45">
        <f t="shared" si="15"/>
        <v>1430</v>
      </c>
      <c r="L184" s="10">
        <v>23</v>
      </c>
      <c r="M184" s="10">
        <v>4</v>
      </c>
      <c r="N184" s="10" t="b">
        <v>0</v>
      </c>
      <c r="O184" s="41"/>
      <c r="P184" s="45">
        <f t="shared" si="16"/>
        <v>600.6</v>
      </c>
      <c r="Q184" s="45">
        <f t="shared" si="17"/>
        <v>829.4</v>
      </c>
      <c r="R184" s="45">
        <v>0</v>
      </c>
      <c r="S184" s="45">
        <f t="shared" si="18"/>
        <v>0</v>
      </c>
      <c r="T184" s="45">
        <f t="shared" si="19"/>
        <v>0</v>
      </c>
      <c r="U184" s="47">
        <f t="shared" si="20"/>
        <v>829.4</v>
      </c>
    </row>
    <row r="185" spans="1:21" x14ac:dyDescent="0.3">
      <c r="A185" s="41" t="str">
        <f t="shared" si="14"/>
        <v>PMANTO</v>
      </c>
      <c r="B185" s="43">
        <v>45441</v>
      </c>
      <c r="C185" s="10" t="s">
        <v>226</v>
      </c>
      <c r="D185" s="10" t="s">
        <v>31</v>
      </c>
      <c r="E185" s="10" t="s">
        <v>9</v>
      </c>
      <c r="F185" s="10" t="s">
        <v>11</v>
      </c>
      <c r="G185" s="10" t="s">
        <v>38</v>
      </c>
      <c r="H185" s="10" t="s">
        <v>13</v>
      </c>
      <c r="I185" s="45">
        <v>1703</v>
      </c>
      <c r="J185" s="11">
        <v>0</v>
      </c>
      <c r="K185" s="45">
        <f t="shared" si="15"/>
        <v>1703</v>
      </c>
      <c r="L185" s="10">
        <v>48</v>
      </c>
      <c r="M185" s="10">
        <v>1.1000000000000001</v>
      </c>
      <c r="N185" s="10" t="b">
        <v>0</v>
      </c>
      <c r="O185" s="41"/>
      <c r="P185" s="45">
        <f t="shared" si="16"/>
        <v>715.26</v>
      </c>
      <c r="Q185" s="45">
        <f t="shared" si="17"/>
        <v>987.74</v>
      </c>
      <c r="R185" s="45">
        <v>0</v>
      </c>
      <c r="S185" s="45">
        <f t="shared" si="18"/>
        <v>0</v>
      </c>
      <c r="T185" s="45">
        <f t="shared" si="19"/>
        <v>0</v>
      </c>
      <c r="U185" s="47">
        <f t="shared" si="20"/>
        <v>987.74</v>
      </c>
    </row>
    <row r="186" spans="1:21" x14ac:dyDescent="0.3">
      <c r="A186" s="41" t="str">
        <f t="shared" si="14"/>
        <v>PZARDR</v>
      </c>
      <c r="B186" s="43">
        <v>45441</v>
      </c>
      <c r="C186" s="10" t="s">
        <v>227</v>
      </c>
      <c r="D186" s="10" t="s">
        <v>3</v>
      </c>
      <c r="E186" s="10" t="s">
        <v>30</v>
      </c>
      <c r="F186" s="10" t="s">
        <v>23</v>
      </c>
      <c r="G186" s="10" t="s">
        <v>12</v>
      </c>
      <c r="H186" s="10" t="s">
        <v>32</v>
      </c>
      <c r="I186" s="45">
        <v>2012</v>
      </c>
      <c r="J186" s="11">
        <v>0</v>
      </c>
      <c r="K186" s="45">
        <f t="shared" si="15"/>
        <v>2012</v>
      </c>
      <c r="L186" s="10">
        <v>9</v>
      </c>
      <c r="M186" s="10">
        <v>1.5</v>
      </c>
      <c r="N186" s="10" t="b">
        <v>0</v>
      </c>
      <c r="O186" s="41"/>
      <c r="P186" s="45">
        <f t="shared" si="16"/>
        <v>845.04</v>
      </c>
      <c r="Q186" s="45">
        <f t="shared" si="17"/>
        <v>1166.96</v>
      </c>
      <c r="R186" s="45">
        <v>0</v>
      </c>
      <c r="S186" s="45">
        <f t="shared" si="18"/>
        <v>0</v>
      </c>
      <c r="T186" s="45">
        <f t="shared" si="19"/>
        <v>0</v>
      </c>
      <c r="U186" s="47">
        <f t="shared" si="20"/>
        <v>1166.96</v>
      </c>
    </row>
    <row r="187" spans="1:21" x14ac:dyDescent="0.3">
      <c r="A187" s="41" t="str">
        <f t="shared" si="14"/>
        <v>PZARBO</v>
      </c>
      <c r="B187" s="43">
        <v>45442</v>
      </c>
      <c r="C187" s="10" t="s">
        <v>228</v>
      </c>
      <c r="D187" s="10" t="s">
        <v>3</v>
      </c>
      <c r="E187" s="10" t="s">
        <v>26</v>
      </c>
      <c r="F187" s="10" t="s">
        <v>54</v>
      </c>
      <c r="G187" s="10" t="s">
        <v>38</v>
      </c>
      <c r="H187" s="10" t="s">
        <v>16</v>
      </c>
      <c r="I187" s="45">
        <v>2526</v>
      </c>
      <c r="J187" s="11">
        <v>3.9E-2</v>
      </c>
      <c r="K187" s="45">
        <f t="shared" si="15"/>
        <v>2427.4859999999999</v>
      </c>
      <c r="L187" s="10">
        <v>37</v>
      </c>
      <c r="M187" s="10">
        <v>1.7</v>
      </c>
      <c r="N187" s="10" t="b">
        <v>1</v>
      </c>
      <c r="O187" s="41" t="s">
        <v>44</v>
      </c>
      <c r="P187" s="45">
        <f t="shared" si="16"/>
        <v>1019.5441199999999</v>
      </c>
      <c r="Q187" s="45">
        <f t="shared" si="17"/>
        <v>1407.9418799999999</v>
      </c>
      <c r="R187" s="45">
        <v>150</v>
      </c>
      <c r="S187" s="45">
        <f t="shared" si="18"/>
        <v>242.74860000000001</v>
      </c>
      <c r="T187" s="45">
        <f t="shared" si="19"/>
        <v>2427.4859999999999</v>
      </c>
      <c r="U187" s="47">
        <f t="shared" si="20"/>
        <v>-1412.2927199999999</v>
      </c>
    </row>
    <row r="188" spans="1:21" x14ac:dyDescent="0.3">
      <c r="A188" s="41" t="str">
        <f t="shared" si="14"/>
        <v>PGAPTO</v>
      </c>
      <c r="B188" s="43">
        <v>45442</v>
      </c>
      <c r="C188" s="10" t="s">
        <v>229</v>
      </c>
      <c r="D188" s="10" t="s">
        <v>53</v>
      </c>
      <c r="E188" s="10" t="s">
        <v>9</v>
      </c>
      <c r="F188" s="10" t="s">
        <v>23</v>
      </c>
      <c r="G188" s="10" t="s">
        <v>49</v>
      </c>
      <c r="H188" s="10" t="s">
        <v>32</v>
      </c>
      <c r="I188" s="45">
        <v>997</v>
      </c>
      <c r="J188" s="11">
        <v>0.35899999999999999</v>
      </c>
      <c r="K188" s="45">
        <f t="shared" si="15"/>
        <v>639.077</v>
      </c>
      <c r="L188" s="10">
        <v>20</v>
      </c>
      <c r="M188" s="10"/>
      <c r="N188" s="10" t="b">
        <v>1</v>
      </c>
      <c r="O188" s="41" t="s">
        <v>44</v>
      </c>
      <c r="P188" s="45">
        <f t="shared" si="16"/>
        <v>268.41233999999997</v>
      </c>
      <c r="Q188" s="45">
        <f t="shared" si="17"/>
        <v>370.66466000000003</v>
      </c>
      <c r="R188" s="45">
        <v>150</v>
      </c>
      <c r="S188" s="45">
        <f t="shared" si="18"/>
        <v>63.907700000000006</v>
      </c>
      <c r="T188" s="45">
        <f t="shared" si="19"/>
        <v>639.077</v>
      </c>
      <c r="U188" s="47">
        <f t="shared" si="20"/>
        <v>-482.32003999999995</v>
      </c>
    </row>
    <row r="189" spans="1:21" x14ac:dyDescent="0.3">
      <c r="A189" s="41" t="str">
        <f t="shared" si="14"/>
        <v>PUNITO</v>
      </c>
      <c r="B189" s="43">
        <v>45442</v>
      </c>
      <c r="C189" s="10" t="s">
        <v>230</v>
      </c>
      <c r="D189" s="10" t="s">
        <v>10</v>
      </c>
      <c r="E189" s="10" t="s">
        <v>9</v>
      </c>
      <c r="F189" s="10" t="s">
        <v>54</v>
      </c>
      <c r="G189" s="10" t="s">
        <v>38</v>
      </c>
      <c r="H189" s="10" t="s">
        <v>47</v>
      </c>
      <c r="I189" s="45">
        <v>907</v>
      </c>
      <c r="J189" s="11">
        <v>0</v>
      </c>
      <c r="K189" s="45">
        <f t="shared" si="15"/>
        <v>907</v>
      </c>
      <c r="L189" s="10">
        <v>39</v>
      </c>
      <c r="M189" s="10">
        <v>4.5</v>
      </c>
      <c r="N189" s="10" t="b">
        <v>0</v>
      </c>
      <c r="O189" s="41"/>
      <c r="P189" s="45">
        <f t="shared" si="16"/>
        <v>380.94</v>
      </c>
      <c r="Q189" s="45">
        <f t="shared" si="17"/>
        <v>526.05999999999995</v>
      </c>
      <c r="R189" s="45">
        <v>0</v>
      </c>
      <c r="S189" s="45">
        <f t="shared" si="18"/>
        <v>0</v>
      </c>
      <c r="T189" s="45">
        <f t="shared" si="19"/>
        <v>0</v>
      </c>
      <c r="U189" s="47">
        <f t="shared" si="20"/>
        <v>526.05999999999995</v>
      </c>
    </row>
    <row r="190" spans="1:21" x14ac:dyDescent="0.3">
      <c r="A190" s="41" t="str">
        <f t="shared" si="14"/>
        <v>PZARDR</v>
      </c>
      <c r="B190" s="43">
        <v>45442</v>
      </c>
      <c r="C190" s="10" t="s">
        <v>231</v>
      </c>
      <c r="D190" s="10" t="s">
        <v>3</v>
      </c>
      <c r="E190" s="10" t="s">
        <v>30</v>
      </c>
      <c r="F190" s="10" t="s">
        <v>54</v>
      </c>
      <c r="G190" s="10" t="s">
        <v>12</v>
      </c>
      <c r="H190" s="10" t="s">
        <v>13</v>
      </c>
      <c r="I190" s="45">
        <v>2431</v>
      </c>
      <c r="J190" s="11">
        <v>0</v>
      </c>
      <c r="K190" s="45">
        <f t="shared" si="15"/>
        <v>2431</v>
      </c>
      <c r="L190" s="10">
        <v>47</v>
      </c>
      <c r="M190" s="10">
        <v>4.2</v>
      </c>
      <c r="N190" s="10" t="b">
        <v>0</v>
      </c>
      <c r="O190" s="41"/>
      <c r="P190" s="45">
        <f t="shared" si="16"/>
        <v>1021.02</v>
      </c>
      <c r="Q190" s="45">
        <f t="shared" si="17"/>
        <v>1409.98</v>
      </c>
      <c r="R190" s="45">
        <v>0</v>
      </c>
      <c r="S190" s="45">
        <f t="shared" si="18"/>
        <v>0</v>
      </c>
      <c r="T190" s="45">
        <f t="shared" si="19"/>
        <v>0</v>
      </c>
      <c r="U190" s="47">
        <f t="shared" si="20"/>
        <v>1409.98</v>
      </c>
    </row>
    <row r="191" spans="1:21" x14ac:dyDescent="0.3">
      <c r="A191" s="41" t="str">
        <f t="shared" si="14"/>
        <v>PUNIBO</v>
      </c>
      <c r="B191" s="43">
        <v>45443</v>
      </c>
      <c r="C191" s="10" t="s">
        <v>232</v>
      </c>
      <c r="D191" s="10" t="s">
        <v>10</v>
      </c>
      <c r="E191" s="10" t="s">
        <v>26</v>
      </c>
      <c r="F191" s="10" t="s">
        <v>4</v>
      </c>
      <c r="G191" s="10" t="s">
        <v>38</v>
      </c>
      <c r="H191" s="10" t="s">
        <v>88</v>
      </c>
      <c r="I191" s="45">
        <v>2004</v>
      </c>
      <c r="J191" s="11">
        <v>0</v>
      </c>
      <c r="K191" s="45">
        <f t="shared" si="15"/>
        <v>2004</v>
      </c>
      <c r="L191" s="10">
        <v>32</v>
      </c>
      <c r="M191" s="10">
        <v>2.1</v>
      </c>
      <c r="N191" s="10" t="b">
        <v>0</v>
      </c>
      <c r="O191" s="41"/>
      <c r="P191" s="45">
        <f t="shared" si="16"/>
        <v>841.68</v>
      </c>
      <c r="Q191" s="45">
        <f t="shared" si="17"/>
        <v>1162.3200000000002</v>
      </c>
      <c r="R191" s="45">
        <v>0</v>
      </c>
      <c r="S191" s="45">
        <f t="shared" si="18"/>
        <v>0</v>
      </c>
      <c r="T191" s="45">
        <f t="shared" si="19"/>
        <v>0</v>
      </c>
      <c r="U191" s="47">
        <f t="shared" si="20"/>
        <v>1162.3200000000002</v>
      </c>
    </row>
    <row r="192" spans="1:21" x14ac:dyDescent="0.3">
      <c r="A192" s="41" t="str">
        <f t="shared" si="14"/>
        <v>PUNIBO</v>
      </c>
      <c r="B192" s="43">
        <v>45443</v>
      </c>
      <c r="C192" s="10" t="s">
        <v>233</v>
      </c>
      <c r="D192" s="10" t="s">
        <v>10</v>
      </c>
      <c r="E192" s="10" t="s">
        <v>26</v>
      </c>
      <c r="F192" s="10" t="s">
        <v>23</v>
      </c>
      <c r="G192" s="10" t="s">
        <v>38</v>
      </c>
      <c r="H192" s="10" t="s">
        <v>7</v>
      </c>
      <c r="I192" s="45">
        <v>2129</v>
      </c>
      <c r="J192" s="11">
        <v>7.0999999999999994E-2</v>
      </c>
      <c r="K192" s="45">
        <f t="shared" si="15"/>
        <v>1977.8410000000001</v>
      </c>
      <c r="L192" s="10">
        <v>10</v>
      </c>
      <c r="M192" s="10">
        <v>1.8</v>
      </c>
      <c r="N192" s="10" t="b">
        <v>0</v>
      </c>
      <c r="O192" s="41"/>
      <c r="P192" s="45">
        <f t="shared" si="16"/>
        <v>830.69322</v>
      </c>
      <c r="Q192" s="45">
        <f t="shared" si="17"/>
        <v>1147.1477800000002</v>
      </c>
      <c r="R192" s="45">
        <v>0</v>
      </c>
      <c r="S192" s="45">
        <f t="shared" si="18"/>
        <v>0</v>
      </c>
      <c r="T192" s="45">
        <f t="shared" si="19"/>
        <v>0</v>
      </c>
      <c r="U192" s="47">
        <f t="shared" si="20"/>
        <v>1147.1477800000002</v>
      </c>
    </row>
    <row r="193" spans="1:21" x14ac:dyDescent="0.3">
      <c r="A193" s="41" t="str">
        <f t="shared" si="14"/>
        <v>PANNTO</v>
      </c>
      <c r="B193" s="43">
        <v>45443</v>
      </c>
      <c r="C193" s="10" t="s">
        <v>234</v>
      </c>
      <c r="D193" s="10" t="s">
        <v>42</v>
      </c>
      <c r="E193" s="10" t="s">
        <v>9</v>
      </c>
      <c r="F193" s="10" t="s">
        <v>23</v>
      </c>
      <c r="G193" s="10" t="s">
        <v>27</v>
      </c>
      <c r="H193" s="10" t="s">
        <v>16</v>
      </c>
      <c r="I193" s="45">
        <v>1732</v>
      </c>
      <c r="J193" s="11">
        <v>0</v>
      </c>
      <c r="K193" s="45">
        <f t="shared" si="15"/>
        <v>1732</v>
      </c>
      <c r="L193" s="10">
        <v>3</v>
      </c>
      <c r="M193" s="10">
        <v>1.5</v>
      </c>
      <c r="N193" s="10" t="b">
        <v>1</v>
      </c>
      <c r="O193" s="41" t="s">
        <v>33</v>
      </c>
      <c r="P193" s="45">
        <f t="shared" si="16"/>
        <v>727.43999999999994</v>
      </c>
      <c r="Q193" s="45">
        <f t="shared" si="17"/>
        <v>1004.5600000000001</v>
      </c>
      <c r="R193" s="45">
        <v>150</v>
      </c>
      <c r="S193" s="45">
        <f t="shared" si="18"/>
        <v>173.20000000000002</v>
      </c>
      <c r="T193" s="45">
        <f t="shared" si="19"/>
        <v>1732</v>
      </c>
      <c r="U193" s="47">
        <f t="shared" si="20"/>
        <v>-1050.6399999999999</v>
      </c>
    </row>
    <row r="194" spans="1:21" x14ac:dyDescent="0.3">
      <c r="A194" s="41" t="str">
        <f t="shared" ref="A194:A257" si="21">UPPER("P"&amp;LEFT(D194,3)&amp;LEFT(E194,2))</f>
        <v>PGAPOU</v>
      </c>
      <c r="B194" s="43">
        <v>45444</v>
      </c>
      <c r="C194" s="10" t="s">
        <v>235</v>
      </c>
      <c r="D194" s="10" t="s">
        <v>53</v>
      </c>
      <c r="E194" s="10" t="s">
        <v>2</v>
      </c>
      <c r="F194" s="10" t="s">
        <v>54</v>
      </c>
      <c r="G194" s="10" t="s">
        <v>38</v>
      </c>
      <c r="H194" s="10" t="s">
        <v>6</v>
      </c>
      <c r="I194" s="45">
        <v>3716</v>
      </c>
      <c r="J194" s="11">
        <v>0.12300000000000001</v>
      </c>
      <c r="K194" s="45">
        <f t="shared" si="15"/>
        <v>3258.9319999999998</v>
      </c>
      <c r="L194" s="10">
        <v>42</v>
      </c>
      <c r="M194" s="10"/>
      <c r="N194" s="10" t="b">
        <v>0</v>
      </c>
      <c r="O194" s="41"/>
      <c r="P194" s="45">
        <f t="shared" si="16"/>
        <v>1368.7514399999998</v>
      </c>
      <c r="Q194" s="45">
        <f t="shared" si="17"/>
        <v>1890.18056</v>
      </c>
      <c r="R194" s="45">
        <v>0</v>
      </c>
      <c r="S194" s="45">
        <f t="shared" si="18"/>
        <v>0</v>
      </c>
      <c r="T194" s="45">
        <f t="shared" si="19"/>
        <v>0</v>
      </c>
      <c r="U194" s="47">
        <f t="shared" si="20"/>
        <v>1890.18056</v>
      </c>
    </row>
    <row r="195" spans="1:21" x14ac:dyDescent="0.3">
      <c r="A195" s="41" t="str">
        <f t="shared" si="21"/>
        <v>PGAPDR</v>
      </c>
      <c r="B195" s="43">
        <v>45444</v>
      </c>
      <c r="C195" s="10" t="s">
        <v>236</v>
      </c>
      <c r="D195" s="10" t="s">
        <v>53</v>
      </c>
      <c r="E195" s="10" t="s">
        <v>30</v>
      </c>
      <c r="F195" s="10" t="s">
        <v>11</v>
      </c>
      <c r="G195" s="10" t="s">
        <v>5</v>
      </c>
      <c r="H195" s="10" t="s">
        <v>13</v>
      </c>
      <c r="I195" s="45">
        <v>2783</v>
      </c>
      <c r="J195" s="11">
        <v>0.13</v>
      </c>
      <c r="K195" s="45">
        <f t="shared" ref="K195:K258" si="22">I195*(1-J195)</f>
        <v>2421.21</v>
      </c>
      <c r="L195" s="10">
        <v>12</v>
      </c>
      <c r="M195" s="10">
        <v>4.0999999999999996</v>
      </c>
      <c r="N195" s="10" t="b">
        <v>0</v>
      </c>
      <c r="O195" s="41"/>
      <c r="P195" s="45">
        <f t="shared" ref="P195:P258" si="23">K195*0.42</f>
        <v>1016.9082</v>
      </c>
      <c r="Q195" s="45">
        <f t="shared" ref="Q195:Q258" si="24">K195-P195</f>
        <v>1404.3018000000002</v>
      </c>
      <c r="R195" s="45">
        <v>0</v>
      </c>
      <c r="S195" s="45">
        <f t="shared" ref="S195:S258" si="25">IF(N195=TRUE,K195*0.1,0)</f>
        <v>0</v>
      </c>
      <c r="T195" s="45">
        <f t="shared" ref="T195:T258" si="26">IF(N195=TRUE,K195,0)</f>
        <v>0</v>
      </c>
      <c r="U195" s="47">
        <f t="shared" ref="U195:U258" si="27">Q195-R195-S195-T195</f>
        <v>1404.3018000000002</v>
      </c>
    </row>
    <row r="196" spans="1:21" x14ac:dyDescent="0.3">
      <c r="A196" s="41" t="str">
        <f t="shared" si="21"/>
        <v>PBANSH</v>
      </c>
      <c r="B196" s="43">
        <v>45444</v>
      </c>
      <c r="C196" s="10" t="s">
        <v>237</v>
      </c>
      <c r="D196" s="10" t="s">
        <v>21</v>
      </c>
      <c r="E196" s="10" t="s">
        <v>18</v>
      </c>
      <c r="F196" s="10" t="s">
        <v>54</v>
      </c>
      <c r="G196" s="10" t="s">
        <v>38</v>
      </c>
      <c r="H196" s="10" t="s">
        <v>28</v>
      </c>
      <c r="I196" s="45">
        <v>3226</v>
      </c>
      <c r="J196" s="11">
        <v>0</v>
      </c>
      <c r="K196" s="45">
        <f t="shared" si="22"/>
        <v>3226</v>
      </c>
      <c r="L196" s="10">
        <v>25</v>
      </c>
      <c r="M196" s="10">
        <v>4.8</v>
      </c>
      <c r="N196" s="10" t="b">
        <v>0</v>
      </c>
      <c r="O196" s="41"/>
      <c r="P196" s="45">
        <f t="shared" si="23"/>
        <v>1354.9199999999998</v>
      </c>
      <c r="Q196" s="45">
        <f t="shared" si="24"/>
        <v>1871.0800000000002</v>
      </c>
      <c r="R196" s="45">
        <v>0</v>
      </c>
      <c r="S196" s="45">
        <f t="shared" si="25"/>
        <v>0</v>
      </c>
      <c r="T196" s="45">
        <f t="shared" si="26"/>
        <v>0</v>
      </c>
      <c r="U196" s="47">
        <f t="shared" si="27"/>
        <v>1871.0800000000002</v>
      </c>
    </row>
    <row r="197" spans="1:21" x14ac:dyDescent="0.3">
      <c r="A197" s="41" t="str">
        <f t="shared" si="21"/>
        <v>PZARDR</v>
      </c>
      <c r="B197" s="43">
        <v>45444</v>
      </c>
      <c r="C197" s="10" t="s">
        <v>238</v>
      </c>
      <c r="D197" s="10" t="s">
        <v>3</v>
      </c>
      <c r="E197" s="10" t="s">
        <v>30</v>
      </c>
      <c r="F197" s="10" t="s">
        <v>23</v>
      </c>
      <c r="G197" s="10" t="s">
        <v>38</v>
      </c>
      <c r="H197" s="10" t="s">
        <v>35</v>
      </c>
      <c r="I197" s="45">
        <v>2701</v>
      </c>
      <c r="J197" s="11">
        <v>0.29399999999999998</v>
      </c>
      <c r="K197" s="45">
        <f t="shared" si="22"/>
        <v>1906.9059999999999</v>
      </c>
      <c r="L197" s="10">
        <v>41</v>
      </c>
      <c r="M197" s="10">
        <v>4</v>
      </c>
      <c r="N197" s="10" t="b">
        <v>0</v>
      </c>
      <c r="O197" s="41"/>
      <c r="P197" s="45">
        <f t="shared" si="23"/>
        <v>800.90051999999991</v>
      </c>
      <c r="Q197" s="45">
        <f t="shared" si="24"/>
        <v>1106.00548</v>
      </c>
      <c r="R197" s="45">
        <v>0</v>
      </c>
      <c r="S197" s="45">
        <f t="shared" si="25"/>
        <v>0</v>
      </c>
      <c r="T197" s="45">
        <f t="shared" si="26"/>
        <v>0</v>
      </c>
      <c r="U197" s="47">
        <f t="shared" si="27"/>
        <v>1106.00548</v>
      </c>
    </row>
    <row r="198" spans="1:21" x14ac:dyDescent="0.3">
      <c r="A198" s="41" t="str">
        <f t="shared" si="21"/>
        <v>PANNBO</v>
      </c>
      <c r="B198" s="43">
        <v>45445</v>
      </c>
      <c r="C198" s="10" t="s">
        <v>239</v>
      </c>
      <c r="D198" s="10" t="s">
        <v>42</v>
      </c>
      <c r="E198" s="10" t="s">
        <v>26</v>
      </c>
      <c r="F198" s="10" t="s">
        <v>4</v>
      </c>
      <c r="G198" s="10" t="s">
        <v>38</v>
      </c>
      <c r="H198" s="10" t="s">
        <v>6</v>
      </c>
      <c r="I198" s="45">
        <v>2851</v>
      </c>
      <c r="J198" s="11">
        <v>0.51700000000000002</v>
      </c>
      <c r="K198" s="45">
        <f t="shared" si="22"/>
        <v>1377.0329999999999</v>
      </c>
      <c r="L198" s="10">
        <v>27</v>
      </c>
      <c r="M198" s="10"/>
      <c r="N198" s="10" t="b">
        <v>0</v>
      </c>
      <c r="O198" s="41"/>
      <c r="P198" s="45">
        <f t="shared" si="23"/>
        <v>578.35385999999994</v>
      </c>
      <c r="Q198" s="45">
        <f t="shared" si="24"/>
        <v>798.67913999999996</v>
      </c>
      <c r="R198" s="45">
        <v>0</v>
      </c>
      <c r="S198" s="45">
        <f t="shared" si="25"/>
        <v>0</v>
      </c>
      <c r="T198" s="45">
        <f t="shared" si="26"/>
        <v>0</v>
      </c>
      <c r="U198" s="47">
        <f t="shared" si="27"/>
        <v>798.67913999999996</v>
      </c>
    </row>
    <row r="199" spans="1:21" x14ac:dyDescent="0.3">
      <c r="A199" s="41" t="str">
        <f t="shared" si="21"/>
        <v>PUNISH</v>
      </c>
      <c r="B199" s="43">
        <v>45445</v>
      </c>
      <c r="C199" s="10" t="s">
        <v>240</v>
      </c>
      <c r="D199" s="10" t="s">
        <v>10</v>
      </c>
      <c r="E199" s="10" t="s">
        <v>18</v>
      </c>
      <c r="F199" s="10" t="s">
        <v>23</v>
      </c>
      <c r="G199" s="10" t="s">
        <v>12</v>
      </c>
      <c r="H199" s="10" t="s">
        <v>16</v>
      </c>
      <c r="I199" s="45">
        <v>3998</v>
      </c>
      <c r="J199" s="11">
        <v>0.42700000000000005</v>
      </c>
      <c r="K199" s="45">
        <f t="shared" si="22"/>
        <v>2290.8539999999998</v>
      </c>
      <c r="L199" s="10">
        <v>22</v>
      </c>
      <c r="M199" s="10">
        <v>4.8</v>
      </c>
      <c r="N199" s="10" t="b">
        <v>0</v>
      </c>
      <c r="O199" s="41"/>
      <c r="P199" s="45">
        <f t="shared" si="23"/>
        <v>962.15867999999989</v>
      </c>
      <c r="Q199" s="45">
        <f t="shared" si="24"/>
        <v>1328.6953199999998</v>
      </c>
      <c r="R199" s="45">
        <v>0</v>
      </c>
      <c r="S199" s="45">
        <f t="shared" si="25"/>
        <v>0</v>
      </c>
      <c r="T199" s="45">
        <f t="shared" si="26"/>
        <v>0</v>
      </c>
      <c r="U199" s="47">
        <f t="shared" si="27"/>
        <v>1328.6953199999998</v>
      </c>
    </row>
    <row r="200" spans="1:21" x14ac:dyDescent="0.3">
      <c r="A200" s="41" t="str">
        <f t="shared" si="21"/>
        <v>PBANTO</v>
      </c>
      <c r="B200" s="43">
        <v>45445</v>
      </c>
      <c r="C200" s="10" t="s">
        <v>241</v>
      </c>
      <c r="D200" s="10" t="s">
        <v>21</v>
      </c>
      <c r="E200" s="10" t="s">
        <v>9</v>
      </c>
      <c r="F200" s="10" t="s">
        <v>23</v>
      </c>
      <c r="G200" s="10" t="s">
        <v>49</v>
      </c>
      <c r="H200" s="10" t="s">
        <v>28</v>
      </c>
      <c r="I200" s="45">
        <v>1717</v>
      </c>
      <c r="J200" s="11">
        <v>0.57499999999999996</v>
      </c>
      <c r="K200" s="45">
        <f t="shared" si="22"/>
        <v>729.72500000000002</v>
      </c>
      <c r="L200" s="10">
        <v>23</v>
      </c>
      <c r="M200" s="10">
        <v>4</v>
      </c>
      <c r="N200" s="10" t="b">
        <v>0</v>
      </c>
      <c r="O200" s="41"/>
      <c r="P200" s="45">
        <f t="shared" si="23"/>
        <v>306.48450000000003</v>
      </c>
      <c r="Q200" s="45">
        <f t="shared" si="24"/>
        <v>423.2405</v>
      </c>
      <c r="R200" s="45">
        <v>0</v>
      </c>
      <c r="S200" s="45">
        <f t="shared" si="25"/>
        <v>0</v>
      </c>
      <c r="T200" s="45">
        <f t="shared" si="26"/>
        <v>0</v>
      </c>
      <c r="U200" s="47">
        <f t="shared" si="27"/>
        <v>423.2405</v>
      </c>
    </row>
    <row r="201" spans="1:21" x14ac:dyDescent="0.3">
      <c r="A201" s="41" t="str">
        <f t="shared" si="21"/>
        <v>PH&amp;MTO</v>
      </c>
      <c r="B201" s="43">
        <v>45445</v>
      </c>
      <c r="C201" s="10" t="s">
        <v>242</v>
      </c>
      <c r="D201" s="10" t="s">
        <v>37</v>
      </c>
      <c r="E201" s="10" t="s">
        <v>9</v>
      </c>
      <c r="F201" s="10" t="s">
        <v>23</v>
      </c>
      <c r="G201" s="10" t="s">
        <v>38</v>
      </c>
      <c r="H201" s="10" t="s">
        <v>32</v>
      </c>
      <c r="I201" s="45">
        <v>1543</v>
      </c>
      <c r="J201" s="11">
        <v>0.56100000000000005</v>
      </c>
      <c r="K201" s="45">
        <f t="shared" si="22"/>
        <v>677.37699999999995</v>
      </c>
      <c r="L201" s="10">
        <v>4</v>
      </c>
      <c r="M201" s="10">
        <v>4.7</v>
      </c>
      <c r="N201" s="10" t="b">
        <v>0</v>
      </c>
      <c r="O201" s="41"/>
      <c r="P201" s="45">
        <f t="shared" si="23"/>
        <v>284.49833999999998</v>
      </c>
      <c r="Q201" s="45">
        <f t="shared" si="24"/>
        <v>392.87865999999997</v>
      </c>
      <c r="R201" s="45">
        <v>0</v>
      </c>
      <c r="S201" s="45">
        <f t="shared" si="25"/>
        <v>0</v>
      </c>
      <c r="T201" s="45">
        <f t="shared" si="26"/>
        <v>0</v>
      </c>
      <c r="U201" s="47">
        <f t="shared" si="27"/>
        <v>392.87865999999997</v>
      </c>
    </row>
    <row r="202" spans="1:21" x14ac:dyDescent="0.3">
      <c r="A202" s="41" t="str">
        <f t="shared" si="21"/>
        <v>PZARBO</v>
      </c>
      <c r="B202" s="43">
        <v>45446</v>
      </c>
      <c r="C202" s="10" t="s">
        <v>243</v>
      </c>
      <c r="D202" s="10" t="s">
        <v>3</v>
      </c>
      <c r="E202" s="10" t="s">
        <v>26</v>
      </c>
      <c r="F202" s="10" t="s">
        <v>4</v>
      </c>
      <c r="G202" s="10" t="s">
        <v>46</v>
      </c>
      <c r="H202" s="10" t="s">
        <v>35</v>
      </c>
      <c r="I202" s="45">
        <v>2454</v>
      </c>
      <c r="J202" s="11">
        <v>0.33299999999999996</v>
      </c>
      <c r="K202" s="45">
        <f t="shared" si="22"/>
        <v>1636.818</v>
      </c>
      <c r="L202" s="10">
        <v>18</v>
      </c>
      <c r="M202" s="10"/>
      <c r="N202" s="10" t="b">
        <v>0</v>
      </c>
      <c r="O202" s="41"/>
      <c r="P202" s="45">
        <f t="shared" si="23"/>
        <v>687.46355999999992</v>
      </c>
      <c r="Q202" s="45">
        <f t="shared" si="24"/>
        <v>949.35444000000007</v>
      </c>
      <c r="R202" s="45">
        <v>0</v>
      </c>
      <c r="S202" s="45">
        <f t="shared" si="25"/>
        <v>0</v>
      </c>
      <c r="T202" s="45">
        <f t="shared" si="26"/>
        <v>0</v>
      </c>
      <c r="U202" s="47">
        <f t="shared" si="27"/>
        <v>949.35444000000007</v>
      </c>
    </row>
    <row r="203" spans="1:21" x14ac:dyDescent="0.3">
      <c r="A203" s="41" t="str">
        <f t="shared" si="21"/>
        <v>PZARSH</v>
      </c>
      <c r="B203" s="43">
        <v>45446</v>
      </c>
      <c r="C203" s="10" t="s">
        <v>244</v>
      </c>
      <c r="D203" s="10" t="s">
        <v>3</v>
      </c>
      <c r="E203" s="10" t="s">
        <v>18</v>
      </c>
      <c r="F203" s="10" t="s">
        <v>54</v>
      </c>
      <c r="G203" s="10" t="s">
        <v>5</v>
      </c>
      <c r="H203" s="10" t="s">
        <v>35</v>
      </c>
      <c r="I203" s="45">
        <v>3699</v>
      </c>
      <c r="J203" s="11">
        <v>0.17</v>
      </c>
      <c r="K203" s="45">
        <f t="shared" si="22"/>
        <v>3070.17</v>
      </c>
      <c r="L203" s="10">
        <v>32</v>
      </c>
      <c r="M203" s="10">
        <v>2</v>
      </c>
      <c r="N203" s="10" t="b">
        <v>1</v>
      </c>
      <c r="O203" s="41" t="s">
        <v>19</v>
      </c>
      <c r="P203" s="45">
        <f t="shared" si="23"/>
        <v>1289.4713999999999</v>
      </c>
      <c r="Q203" s="45">
        <f t="shared" si="24"/>
        <v>1780.6986000000002</v>
      </c>
      <c r="R203" s="45">
        <v>150</v>
      </c>
      <c r="S203" s="45">
        <f t="shared" si="25"/>
        <v>307.01700000000005</v>
      </c>
      <c r="T203" s="45">
        <f t="shared" si="26"/>
        <v>3070.17</v>
      </c>
      <c r="U203" s="47">
        <f t="shared" si="27"/>
        <v>-1746.4884</v>
      </c>
    </row>
    <row r="204" spans="1:21" x14ac:dyDescent="0.3">
      <c r="A204" s="41" t="str">
        <f t="shared" si="21"/>
        <v>PBANSH</v>
      </c>
      <c r="B204" s="43">
        <v>45446</v>
      </c>
      <c r="C204" s="10" t="s">
        <v>245</v>
      </c>
      <c r="D204" s="10" t="s">
        <v>21</v>
      </c>
      <c r="E204" s="10" t="s">
        <v>18</v>
      </c>
      <c r="F204" s="10" t="s">
        <v>54</v>
      </c>
      <c r="G204" s="10" t="s">
        <v>46</v>
      </c>
      <c r="H204" s="10" t="s">
        <v>16</v>
      </c>
      <c r="I204" s="45">
        <v>3356</v>
      </c>
      <c r="J204" s="11">
        <v>0.23899999999999999</v>
      </c>
      <c r="K204" s="45">
        <f t="shared" si="22"/>
        <v>2553.9160000000002</v>
      </c>
      <c r="L204" s="10">
        <v>10</v>
      </c>
      <c r="M204" s="10">
        <v>3.5</v>
      </c>
      <c r="N204" s="10" t="b">
        <v>0</v>
      </c>
      <c r="O204" s="41"/>
      <c r="P204" s="45">
        <f t="shared" si="23"/>
        <v>1072.64472</v>
      </c>
      <c r="Q204" s="45">
        <f t="shared" si="24"/>
        <v>1481.2712800000002</v>
      </c>
      <c r="R204" s="45">
        <v>0</v>
      </c>
      <c r="S204" s="45">
        <f t="shared" si="25"/>
        <v>0</v>
      </c>
      <c r="T204" s="45">
        <f t="shared" si="26"/>
        <v>0</v>
      </c>
      <c r="U204" s="47">
        <f t="shared" si="27"/>
        <v>1481.2712800000002</v>
      </c>
    </row>
    <row r="205" spans="1:21" x14ac:dyDescent="0.3">
      <c r="A205" s="41" t="str">
        <f t="shared" si="21"/>
        <v>PH&amp;MOU</v>
      </c>
      <c r="B205" s="43">
        <v>45447</v>
      </c>
      <c r="C205" s="10" t="s">
        <v>246</v>
      </c>
      <c r="D205" s="10" t="s">
        <v>37</v>
      </c>
      <c r="E205" s="10" t="s">
        <v>2</v>
      </c>
      <c r="F205" s="10" t="s">
        <v>54</v>
      </c>
      <c r="G205" s="10" t="s">
        <v>27</v>
      </c>
      <c r="H205" s="10" t="s">
        <v>6</v>
      </c>
      <c r="I205" s="45">
        <v>3052</v>
      </c>
      <c r="J205" s="11">
        <v>0</v>
      </c>
      <c r="K205" s="45">
        <f t="shared" si="22"/>
        <v>3052</v>
      </c>
      <c r="L205" s="10">
        <v>20</v>
      </c>
      <c r="M205" s="10">
        <v>1.1000000000000001</v>
      </c>
      <c r="N205" s="10" t="b">
        <v>0</v>
      </c>
      <c r="O205" s="41"/>
      <c r="P205" s="45">
        <f t="shared" si="23"/>
        <v>1281.8399999999999</v>
      </c>
      <c r="Q205" s="45">
        <f t="shared" si="24"/>
        <v>1770.16</v>
      </c>
      <c r="R205" s="45">
        <v>0</v>
      </c>
      <c r="S205" s="45">
        <f t="shared" si="25"/>
        <v>0</v>
      </c>
      <c r="T205" s="45">
        <f t="shared" si="26"/>
        <v>0</v>
      </c>
      <c r="U205" s="47">
        <f t="shared" si="27"/>
        <v>1770.16</v>
      </c>
    </row>
    <row r="206" spans="1:21" x14ac:dyDescent="0.3">
      <c r="A206" s="41" t="str">
        <f t="shared" si="21"/>
        <v>PFORAC</v>
      </c>
      <c r="B206" s="43">
        <v>45447</v>
      </c>
      <c r="C206" s="10" t="s">
        <v>247</v>
      </c>
      <c r="D206" s="10" t="s">
        <v>65</v>
      </c>
      <c r="E206" s="10" t="s">
        <v>15</v>
      </c>
      <c r="F206" s="10" t="s">
        <v>54</v>
      </c>
      <c r="G206" s="10" t="s">
        <v>7</v>
      </c>
      <c r="H206" s="10" t="s">
        <v>7</v>
      </c>
      <c r="I206" s="45">
        <v>440</v>
      </c>
      <c r="J206" s="11">
        <v>0.50900000000000001</v>
      </c>
      <c r="K206" s="45">
        <f t="shared" si="22"/>
        <v>216.04</v>
      </c>
      <c r="L206" s="10">
        <v>43</v>
      </c>
      <c r="M206" s="10">
        <v>2.2999999999999998</v>
      </c>
      <c r="N206" s="10" t="b">
        <v>0</v>
      </c>
      <c r="O206" s="41"/>
      <c r="P206" s="45">
        <f t="shared" si="23"/>
        <v>90.736799999999988</v>
      </c>
      <c r="Q206" s="45">
        <f t="shared" si="24"/>
        <v>125.3032</v>
      </c>
      <c r="R206" s="45">
        <v>0</v>
      </c>
      <c r="S206" s="45">
        <f t="shared" si="25"/>
        <v>0</v>
      </c>
      <c r="T206" s="45">
        <f t="shared" si="26"/>
        <v>0</v>
      </c>
      <c r="U206" s="47">
        <f t="shared" si="27"/>
        <v>125.3032</v>
      </c>
    </row>
    <row r="207" spans="1:21" x14ac:dyDescent="0.3">
      <c r="A207" s="41" t="str">
        <f t="shared" si="21"/>
        <v>PBANAC</v>
      </c>
      <c r="B207" s="43">
        <v>45447</v>
      </c>
      <c r="C207" s="10" t="s">
        <v>248</v>
      </c>
      <c r="D207" s="10" t="s">
        <v>21</v>
      </c>
      <c r="E207" s="10" t="s">
        <v>15</v>
      </c>
      <c r="F207" s="10" t="s">
        <v>11</v>
      </c>
      <c r="G207" s="10" t="s">
        <v>7</v>
      </c>
      <c r="H207" s="10" t="s">
        <v>6</v>
      </c>
      <c r="I207" s="45">
        <v>414</v>
      </c>
      <c r="J207" s="11">
        <v>0</v>
      </c>
      <c r="K207" s="45">
        <f t="shared" si="22"/>
        <v>414</v>
      </c>
      <c r="L207" s="10">
        <v>12</v>
      </c>
      <c r="M207" s="10">
        <v>2.7</v>
      </c>
      <c r="N207" s="10" t="b">
        <v>0</v>
      </c>
      <c r="O207" s="41"/>
      <c r="P207" s="45">
        <f t="shared" si="23"/>
        <v>173.88</v>
      </c>
      <c r="Q207" s="45">
        <f t="shared" si="24"/>
        <v>240.12</v>
      </c>
      <c r="R207" s="45">
        <v>0</v>
      </c>
      <c r="S207" s="45">
        <f t="shared" si="25"/>
        <v>0</v>
      </c>
      <c r="T207" s="45">
        <f t="shared" si="26"/>
        <v>0</v>
      </c>
      <c r="U207" s="47">
        <f t="shared" si="27"/>
        <v>240.12</v>
      </c>
    </row>
    <row r="208" spans="1:21" x14ac:dyDescent="0.3">
      <c r="A208" s="41" t="str">
        <f t="shared" si="21"/>
        <v>PMANTO</v>
      </c>
      <c r="B208" s="43">
        <v>45447</v>
      </c>
      <c r="C208" s="10" t="s">
        <v>249</v>
      </c>
      <c r="D208" s="10" t="s">
        <v>31</v>
      </c>
      <c r="E208" s="10" t="s">
        <v>9</v>
      </c>
      <c r="F208" s="10" t="s">
        <v>4</v>
      </c>
      <c r="G208" s="10" t="s">
        <v>49</v>
      </c>
      <c r="H208" s="10" t="s">
        <v>35</v>
      </c>
      <c r="I208" s="45">
        <v>1019</v>
      </c>
      <c r="J208" s="11">
        <v>0.36399999999999999</v>
      </c>
      <c r="K208" s="45">
        <f t="shared" si="22"/>
        <v>648.08400000000006</v>
      </c>
      <c r="L208" s="10">
        <v>44</v>
      </c>
      <c r="M208" s="10">
        <v>1.9</v>
      </c>
      <c r="N208" s="10" t="b">
        <v>0</v>
      </c>
      <c r="O208" s="41"/>
      <c r="P208" s="45">
        <f t="shared" si="23"/>
        <v>272.19528000000003</v>
      </c>
      <c r="Q208" s="45">
        <f t="shared" si="24"/>
        <v>375.88872000000003</v>
      </c>
      <c r="R208" s="45">
        <v>0</v>
      </c>
      <c r="S208" s="45">
        <f t="shared" si="25"/>
        <v>0</v>
      </c>
      <c r="T208" s="45">
        <f t="shared" si="26"/>
        <v>0</v>
      </c>
      <c r="U208" s="47">
        <f t="shared" si="27"/>
        <v>375.88872000000003</v>
      </c>
    </row>
    <row r="209" spans="1:21" x14ac:dyDescent="0.3">
      <c r="A209" s="41" t="str">
        <f t="shared" si="21"/>
        <v>PANNTO</v>
      </c>
      <c r="B209" s="43">
        <v>45448</v>
      </c>
      <c r="C209" s="10" t="s">
        <v>250</v>
      </c>
      <c r="D209" s="10" t="s">
        <v>42</v>
      </c>
      <c r="E209" s="10" t="s">
        <v>9</v>
      </c>
      <c r="F209" s="10" t="s">
        <v>4</v>
      </c>
      <c r="G209" s="10" t="s">
        <v>5</v>
      </c>
      <c r="H209" s="10" t="s">
        <v>47</v>
      </c>
      <c r="I209" s="45">
        <v>1513</v>
      </c>
      <c r="J209" s="11">
        <v>8.8000000000000009E-2</v>
      </c>
      <c r="K209" s="45">
        <f t="shared" si="22"/>
        <v>1379.856</v>
      </c>
      <c r="L209" s="10">
        <v>33</v>
      </c>
      <c r="M209" s="10">
        <v>1.6</v>
      </c>
      <c r="N209" s="10" t="b">
        <v>0</v>
      </c>
      <c r="O209" s="41"/>
      <c r="P209" s="45">
        <f t="shared" si="23"/>
        <v>579.53951999999992</v>
      </c>
      <c r="Q209" s="45">
        <f t="shared" si="24"/>
        <v>800.31648000000007</v>
      </c>
      <c r="R209" s="45">
        <v>0</v>
      </c>
      <c r="S209" s="45">
        <f t="shared" si="25"/>
        <v>0</v>
      </c>
      <c r="T209" s="45">
        <f t="shared" si="26"/>
        <v>0</v>
      </c>
      <c r="U209" s="47">
        <f t="shared" si="27"/>
        <v>800.31648000000007</v>
      </c>
    </row>
    <row r="210" spans="1:21" x14ac:dyDescent="0.3">
      <c r="A210" s="41" t="str">
        <f t="shared" si="21"/>
        <v>PFORTO</v>
      </c>
      <c r="B210" s="43">
        <v>45448</v>
      </c>
      <c r="C210" s="10" t="s">
        <v>251</v>
      </c>
      <c r="D210" s="10" t="s">
        <v>65</v>
      </c>
      <c r="E210" s="10" t="s">
        <v>9</v>
      </c>
      <c r="F210" s="10" t="s">
        <v>23</v>
      </c>
      <c r="G210" s="10" t="s">
        <v>38</v>
      </c>
      <c r="H210" s="10" t="s">
        <v>13</v>
      </c>
      <c r="I210" s="45">
        <v>1480</v>
      </c>
      <c r="J210" s="11">
        <v>0</v>
      </c>
      <c r="K210" s="45">
        <f t="shared" si="22"/>
        <v>1480</v>
      </c>
      <c r="L210" s="10">
        <v>49</v>
      </c>
      <c r="M210" s="10">
        <v>1.6</v>
      </c>
      <c r="N210" s="10" t="b">
        <v>1</v>
      </c>
      <c r="O210" s="41" t="s">
        <v>24</v>
      </c>
      <c r="P210" s="45">
        <f t="shared" si="23"/>
        <v>621.6</v>
      </c>
      <c r="Q210" s="45">
        <f t="shared" si="24"/>
        <v>858.4</v>
      </c>
      <c r="R210" s="45">
        <v>150</v>
      </c>
      <c r="S210" s="45">
        <f t="shared" si="25"/>
        <v>148</v>
      </c>
      <c r="T210" s="45">
        <f t="shared" si="26"/>
        <v>1480</v>
      </c>
      <c r="U210" s="47">
        <f t="shared" si="27"/>
        <v>-919.6</v>
      </c>
    </row>
    <row r="211" spans="1:21" x14ac:dyDescent="0.3">
      <c r="A211" s="41" t="str">
        <f t="shared" si="21"/>
        <v>PBANTO</v>
      </c>
      <c r="B211" s="43">
        <v>45448</v>
      </c>
      <c r="C211" s="10" t="s">
        <v>252</v>
      </c>
      <c r="D211" s="10" t="s">
        <v>21</v>
      </c>
      <c r="E211" s="10" t="s">
        <v>9</v>
      </c>
      <c r="F211" s="10" t="s">
        <v>23</v>
      </c>
      <c r="G211" s="10" t="s">
        <v>46</v>
      </c>
      <c r="H211" s="10" t="s">
        <v>32</v>
      </c>
      <c r="I211" s="45">
        <v>1318</v>
      </c>
      <c r="J211" s="11">
        <v>0</v>
      </c>
      <c r="K211" s="45">
        <f t="shared" si="22"/>
        <v>1318</v>
      </c>
      <c r="L211" s="10">
        <v>40</v>
      </c>
      <c r="M211" s="10">
        <v>2.1</v>
      </c>
      <c r="N211" s="10" t="b">
        <v>0</v>
      </c>
      <c r="O211" s="41"/>
      <c r="P211" s="45">
        <f t="shared" si="23"/>
        <v>553.55999999999995</v>
      </c>
      <c r="Q211" s="45">
        <f t="shared" si="24"/>
        <v>764.44</v>
      </c>
      <c r="R211" s="45">
        <v>0</v>
      </c>
      <c r="S211" s="45">
        <f t="shared" si="25"/>
        <v>0</v>
      </c>
      <c r="T211" s="45">
        <f t="shared" si="26"/>
        <v>0</v>
      </c>
      <c r="U211" s="47">
        <f t="shared" si="27"/>
        <v>764.44</v>
      </c>
    </row>
    <row r="212" spans="1:21" x14ac:dyDescent="0.3">
      <c r="A212" s="41" t="str">
        <f t="shared" si="21"/>
        <v>PANNTO</v>
      </c>
      <c r="B212" s="43">
        <v>45449</v>
      </c>
      <c r="C212" s="10" t="s">
        <v>253</v>
      </c>
      <c r="D212" s="10" t="s">
        <v>42</v>
      </c>
      <c r="E212" s="10" t="s">
        <v>9</v>
      </c>
      <c r="F212" s="10" t="s">
        <v>4</v>
      </c>
      <c r="G212" s="10" t="s">
        <v>27</v>
      </c>
      <c r="H212" s="10" t="s">
        <v>28</v>
      </c>
      <c r="I212" s="45">
        <v>1018</v>
      </c>
      <c r="J212" s="11">
        <v>0.16699999999999998</v>
      </c>
      <c r="K212" s="45">
        <f t="shared" si="22"/>
        <v>847.99399999999991</v>
      </c>
      <c r="L212" s="10">
        <v>32</v>
      </c>
      <c r="M212" s="10"/>
      <c r="N212" s="10" t="b">
        <v>0</v>
      </c>
      <c r="O212" s="41"/>
      <c r="P212" s="45">
        <f t="shared" si="23"/>
        <v>356.15747999999996</v>
      </c>
      <c r="Q212" s="45">
        <f t="shared" si="24"/>
        <v>491.83651999999995</v>
      </c>
      <c r="R212" s="45">
        <v>0</v>
      </c>
      <c r="S212" s="45">
        <f t="shared" si="25"/>
        <v>0</v>
      </c>
      <c r="T212" s="45">
        <f t="shared" si="26"/>
        <v>0</v>
      </c>
      <c r="U212" s="47">
        <f t="shared" si="27"/>
        <v>491.83651999999995</v>
      </c>
    </row>
    <row r="213" spans="1:21" x14ac:dyDescent="0.3">
      <c r="A213" s="41" t="str">
        <f t="shared" si="21"/>
        <v>PZARTO</v>
      </c>
      <c r="B213" s="43">
        <v>45449</v>
      </c>
      <c r="C213" s="10" t="s">
        <v>254</v>
      </c>
      <c r="D213" s="10" t="s">
        <v>3</v>
      </c>
      <c r="E213" s="10" t="s">
        <v>9</v>
      </c>
      <c r="F213" s="10" t="s">
        <v>4</v>
      </c>
      <c r="G213" s="10" t="s">
        <v>49</v>
      </c>
      <c r="H213" s="10" t="s">
        <v>16</v>
      </c>
      <c r="I213" s="45">
        <v>1772</v>
      </c>
      <c r="J213" s="11">
        <v>0</v>
      </c>
      <c r="K213" s="45">
        <f t="shared" si="22"/>
        <v>1772</v>
      </c>
      <c r="L213" s="10">
        <v>46</v>
      </c>
      <c r="M213" s="10">
        <v>1.5</v>
      </c>
      <c r="N213" s="10" t="b">
        <v>0</v>
      </c>
      <c r="O213" s="41"/>
      <c r="P213" s="45">
        <f t="shared" si="23"/>
        <v>744.24</v>
      </c>
      <c r="Q213" s="45">
        <f t="shared" si="24"/>
        <v>1027.76</v>
      </c>
      <c r="R213" s="45">
        <v>0</v>
      </c>
      <c r="S213" s="45">
        <f t="shared" si="25"/>
        <v>0</v>
      </c>
      <c r="T213" s="45">
        <f t="shared" si="26"/>
        <v>0</v>
      </c>
      <c r="U213" s="47">
        <f t="shared" si="27"/>
        <v>1027.76</v>
      </c>
    </row>
    <row r="214" spans="1:21" x14ac:dyDescent="0.3">
      <c r="A214" s="41" t="str">
        <f t="shared" si="21"/>
        <v>PUNITO</v>
      </c>
      <c r="B214" s="43">
        <v>45449</v>
      </c>
      <c r="C214" s="10" t="s">
        <v>255</v>
      </c>
      <c r="D214" s="10" t="s">
        <v>10</v>
      </c>
      <c r="E214" s="10" t="s">
        <v>9</v>
      </c>
      <c r="F214" s="10" t="s">
        <v>4</v>
      </c>
      <c r="G214" s="10" t="s">
        <v>12</v>
      </c>
      <c r="H214" s="10" t="s">
        <v>32</v>
      </c>
      <c r="I214" s="45">
        <v>961</v>
      </c>
      <c r="J214" s="11">
        <v>0</v>
      </c>
      <c r="K214" s="45">
        <f t="shared" si="22"/>
        <v>961</v>
      </c>
      <c r="L214" s="10">
        <v>23</v>
      </c>
      <c r="M214" s="10">
        <v>1.4</v>
      </c>
      <c r="N214" s="10" t="b">
        <v>0</v>
      </c>
      <c r="O214" s="41"/>
      <c r="P214" s="45">
        <f t="shared" si="23"/>
        <v>403.62</v>
      </c>
      <c r="Q214" s="45">
        <f t="shared" si="24"/>
        <v>557.38</v>
      </c>
      <c r="R214" s="45">
        <v>0</v>
      </c>
      <c r="S214" s="45">
        <f t="shared" si="25"/>
        <v>0</v>
      </c>
      <c r="T214" s="45">
        <f t="shared" si="26"/>
        <v>0</v>
      </c>
      <c r="U214" s="47">
        <f t="shared" si="27"/>
        <v>557.38</v>
      </c>
    </row>
    <row r="215" spans="1:21" x14ac:dyDescent="0.3">
      <c r="A215" s="41" t="str">
        <f t="shared" si="21"/>
        <v>PBANAC</v>
      </c>
      <c r="B215" s="43">
        <v>45449</v>
      </c>
      <c r="C215" s="10" t="s">
        <v>256</v>
      </c>
      <c r="D215" s="10" t="s">
        <v>21</v>
      </c>
      <c r="E215" s="10" t="s">
        <v>15</v>
      </c>
      <c r="F215" s="10" t="s">
        <v>23</v>
      </c>
      <c r="G215" s="10" t="s">
        <v>7</v>
      </c>
      <c r="H215" s="10" t="s">
        <v>16</v>
      </c>
      <c r="I215" s="45">
        <v>355</v>
      </c>
      <c r="J215" s="11">
        <v>0</v>
      </c>
      <c r="K215" s="45">
        <f t="shared" si="22"/>
        <v>355</v>
      </c>
      <c r="L215" s="10">
        <v>11</v>
      </c>
      <c r="M215" s="10">
        <v>3.3</v>
      </c>
      <c r="N215" s="10" t="b">
        <v>1</v>
      </c>
      <c r="O215" s="41" t="s">
        <v>44</v>
      </c>
      <c r="P215" s="45">
        <f t="shared" si="23"/>
        <v>149.1</v>
      </c>
      <c r="Q215" s="45">
        <f t="shared" si="24"/>
        <v>205.9</v>
      </c>
      <c r="R215" s="45">
        <v>150</v>
      </c>
      <c r="S215" s="45">
        <f t="shared" si="25"/>
        <v>35.5</v>
      </c>
      <c r="T215" s="45">
        <f t="shared" si="26"/>
        <v>355</v>
      </c>
      <c r="U215" s="47">
        <f t="shared" si="27"/>
        <v>-334.6</v>
      </c>
    </row>
    <row r="216" spans="1:21" x14ac:dyDescent="0.3">
      <c r="A216" s="41" t="str">
        <f t="shared" si="21"/>
        <v>PH&amp;MBO</v>
      </c>
      <c r="B216" s="43">
        <v>45449</v>
      </c>
      <c r="C216" s="10" t="s">
        <v>257</v>
      </c>
      <c r="D216" s="10" t="s">
        <v>37</v>
      </c>
      <c r="E216" s="10" t="s">
        <v>26</v>
      </c>
      <c r="F216" s="10" t="s">
        <v>54</v>
      </c>
      <c r="G216" s="10" t="s">
        <v>38</v>
      </c>
      <c r="H216" s="10" t="s">
        <v>35</v>
      </c>
      <c r="I216" s="45">
        <v>2957</v>
      </c>
      <c r="J216" s="11">
        <v>0</v>
      </c>
      <c r="K216" s="45">
        <f t="shared" si="22"/>
        <v>2957</v>
      </c>
      <c r="L216" s="10">
        <v>12</v>
      </c>
      <c r="M216" s="10">
        <v>2.5</v>
      </c>
      <c r="N216" s="10" t="b">
        <v>0</v>
      </c>
      <c r="O216" s="41"/>
      <c r="P216" s="45">
        <f t="shared" si="23"/>
        <v>1241.94</v>
      </c>
      <c r="Q216" s="45">
        <f t="shared" si="24"/>
        <v>1715.06</v>
      </c>
      <c r="R216" s="45">
        <v>0</v>
      </c>
      <c r="S216" s="45">
        <f t="shared" si="25"/>
        <v>0</v>
      </c>
      <c r="T216" s="45">
        <f t="shared" si="26"/>
        <v>0</v>
      </c>
      <c r="U216" s="47">
        <f t="shared" si="27"/>
        <v>1715.06</v>
      </c>
    </row>
    <row r="217" spans="1:21" x14ac:dyDescent="0.3">
      <c r="A217" s="41" t="str">
        <f t="shared" si="21"/>
        <v>PH&amp;MTO</v>
      </c>
      <c r="B217" s="43">
        <v>45450</v>
      </c>
      <c r="C217" s="10" t="s">
        <v>258</v>
      </c>
      <c r="D217" s="10" t="s">
        <v>37</v>
      </c>
      <c r="E217" s="10" t="s">
        <v>9</v>
      </c>
      <c r="F217" s="10" t="s">
        <v>54</v>
      </c>
      <c r="G217" s="10" t="s">
        <v>38</v>
      </c>
      <c r="H217" s="10" t="s">
        <v>6</v>
      </c>
      <c r="I217" s="45">
        <v>1702</v>
      </c>
      <c r="J217" s="11">
        <v>0</v>
      </c>
      <c r="K217" s="45">
        <f t="shared" si="22"/>
        <v>1702</v>
      </c>
      <c r="L217" s="10">
        <v>4</v>
      </c>
      <c r="M217" s="10">
        <v>1.1000000000000001</v>
      </c>
      <c r="N217" s="10" t="b">
        <v>0</v>
      </c>
      <c r="O217" s="41"/>
      <c r="P217" s="45">
        <f t="shared" si="23"/>
        <v>714.83999999999992</v>
      </c>
      <c r="Q217" s="45">
        <f t="shared" si="24"/>
        <v>987.16000000000008</v>
      </c>
      <c r="R217" s="45">
        <v>0</v>
      </c>
      <c r="S217" s="45">
        <f t="shared" si="25"/>
        <v>0</v>
      </c>
      <c r="T217" s="45">
        <f t="shared" si="26"/>
        <v>0</v>
      </c>
      <c r="U217" s="47">
        <f t="shared" si="27"/>
        <v>987.16000000000008</v>
      </c>
    </row>
    <row r="218" spans="1:21" x14ac:dyDescent="0.3">
      <c r="A218" s="41" t="str">
        <f t="shared" si="21"/>
        <v>PUNIOU</v>
      </c>
      <c r="B218" s="43">
        <v>45450</v>
      </c>
      <c r="C218" s="10" t="s">
        <v>259</v>
      </c>
      <c r="D218" s="10" t="s">
        <v>10</v>
      </c>
      <c r="E218" s="10" t="s">
        <v>2</v>
      </c>
      <c r="F218" s="10" t="s">
        <v>23</v>
      </c>
      <c r="G218" s="10" t="s">
        <v>5</v>
      </c>
      <c r="H218" s="10" t="s">
        <v>13</v>
      </c>
      <c r="I218" s="45">
        <v>3461</v>
      </c>
      <c r="J218" s="11">
        <v>0</v>
      </c>
      <c r="K218" s="45">
        <f t="shared" si="22"/>
        <v>3461</v>
      </c>
      <c r="L218" s="10">
        <v>4</v>
      </c>
      <c r="M218" s="10">
        <v>1.6</v>
      </c>
      <c r="N218" s="10" t="b">
        <v>0</v>
      </c>
      <c r="O218" s="41"/>
      <c r="P218" s="45">
        <f t="shared" si="23"/>
        <v>1453.62</v>
      </c>
      <c r="Q218" s="45">
        <f t="shared" si="24"/>
        <v>2007.38</v>
      </c>
      <c r="R218" s="45">
        <v>0</v>
      </c>
      <c r="S218" s="45">
        <f t="shared" si="25"/>
        <v>0</v>
      </c>
      <c r="T218" s="45">
        <f t="shared" si="26"/>
        <v>0</v>
      </c>
      <c r="U218" s="47">
        <f t="shared" si="27"/>
        <v>2007.38</v>
      </c>
    </row>
    <row r="219" spans="1:21" x14ac:dyDescent="0.3">
      <c r="A219" s="41" t="str">
        <f t="shared" si="21"/>
        <v>PZARTO</v>
      </c>
      <c r="B219" s="43">
        <v>45451</v>
      </c>
      <c r="C219" s="10" t="s">
        <v>260</v>
      </c>
      <c r="D219" s="10" t="s">
        <v>3</v>
      </c>
      <c r="E219" s="10" t="s">
        <v>9</v>
      </c>
      <c r="F219" s="10" t="s">
        <v>54</v>
      </c>
      <c r="G219" s="10" t="s">
        <v>38</v>
      </c>
      <c r="H219" s="10" t="s">
        <v>13</v>
      </c>
      <c r="I219" s="45">
        <v>1783</v>
      </c>
      <c r="J219" s="11">
        <v>0</v>
      </c>
      <c r="K219" s="45">
        <f t="shared" si="22"/>
        <v>1783</v>
      </c>
      <c r="L219" s="10">
        <v>25</v>
      </c>
      <c r="M219" s="10"/>
      <c r="N219" s="10" t="b">
        <v>0</v>
      </c>
      <c r="O219" s="41"/>
      <c r="P219" s="45">
        <f t="shared" si="23"/>
        <v>748.86</v>
      </c>
      <c r="Q219" s="45">
        <f t="shared" si="24"/>
        <v>1034.1399999999999</v>
      </c>
      <c r="R219" s="45">
        <v>0</v>
      </c>
      <c r="S219" s="45">
        <f t="shared" si="25"/>
        <v>0</v>
      </c>
      <c r="T219" s="45">
        <f t="shared" si="26"/>
        <v>0</v>
      </c>
      <c r="U219" s="47">
        <f t="shared" si="27"/>
        <v>1034.1399999999999</v>
      </c>
    </row>
    <row r="220" spans="1:21" x14ac:dyDescent="0.3">
      <c r="A220" s="41" t="str">
        <f t="shared" si="21"/>
        <v>PZARBO</v>
      </c>
      <c r="B220" s="43">
        <v>45451</v>
      </c>
      <c r="C220" s="10" t="s">
        <v>261</v>
      </c>
      <c r="D220" s="10" t="s">
        <v>3</v>
      </c>
      <c r="E220" s="10" t="s">
        <v>26</v>
      </c>
      <c r="F220" s="10" t="s">
        <v>11</v>
      </c>
      <c r="G220" s="10" t="s">
        <v>27</v>
      </c>
      <c r="H220" s="10" t="s">
        <v>16</v>
      </c>
      <c r="I220" s="45">
        <v>2074</v>
      </c>
      <c r="J220" s="11">
        <v>0</v>
      </c>
      <c r="K220" s="45">
        <f t="shared" si="22"/>
        <v>2074</v>
      </c>
      <c r="L220" s="10">
        <v>39</v>
      </c>
      <c r="M220" s="10">
        <v>4.3</v>
      </c>
      <c r="N220" s="10" t="b">
        <v>1</v>
      </c>
      <c r="O220" s="41" t="s">
        <v>33</v>
      </c>
      <c r="P220" s="45">
        <f t="shared" si="23"/>
        <v>871.07999999999993</v>
      </c>
      <c r="Q220" s="45">
        <f t="shared" si="24"/>
        <v>1202.92</v>
      </c>
      <c r="R220" s="45">
        <v>150</v>
      </c>
      <c r="S220" s="45">
        <f t="shared" si="25"/>
        <v>207.4</v>
      </c>
      <c r="T220" s="45">
        <f t="shared" si="26"/>
        <v>2074</v>
      </c>
      <c r="U220" s="47">
        <f t="shared" si="27"/>
        <v>-1228.48</v>
      </c>
    </row>
    <row r="221" spans="1:21" x14ac:dyDescent="0.3">
      <c r="A221" s="41" t="str">
        <f t="shared" si="21"/>
        <v>PZARDR</v>
      </c>
      <c r="B221" s="43">
        <v>45451</v>
      </c>
      <c r="C221" s="10" t="s">
        <v>262</v>
      </c>
      <c r="D221" s="10" t="s">
        <v>3</v>
      </c>
      <c r="E221" s="10" t="s">
        <v>30</v>
      </c>
      <c r="F221" s="10" t="s">
        <v>11</v>
      </c>
      <c r="G221" s="10" t="s">
        <v>38</v>
      </c>
      <c r="H221" s="10" t="s">
        <v>88</v>
      </c>
      <c r="I221" s="45">
        <v>2523</v>
      </c>
      <c r="J221" s="11">
        <v>0.184</v>
      </c>
      <c r="K221" s="45">
        <f t="shared" si="22"/>
        <v>2058.768</v>
      </c>
      <c r="L221" s="10">
        <v>41</v>
      </c>
      <c r="M221" s="10">
        <v>3</v>
      </c>
      <c r="N221" s="10" t="b">
        <v>0</v>
      </c>
      <c r="O221" s="41"/>
      <c r="P221" s="45">
        <f t="shared" si="23"/>
        <v>864.68255999999997</v>
      </c>
      <c r="Q221" s="45">
        <f t="shared" si="24"/>
        <v>1194.0854400000001</v>
      </c>
      <c r="R221" s="45">
        <v>0</v>
      </c>
      <c r="S221" s="45">
        <f t="shared" si="25"/>
        <v>0</v>
      </c>
      <c r="T221" s="45">
        <f t="shared" si="26"/>
        <v>0</v>
      </c>
      <c r="U221" s="47">
        <f t="shared" si="27"/>
        <v>1194.0854400000001</v>
      </c>
    </row>
    <row r="222" spans="1:21" x14ac:dyDescent="0.3">
      <c r="A222" s="41" t="str">
        <f t="shared" si="21"/>
        <v>PH&amp;MOU</v>
      </c>
      <c r="B222" s="43">
        <v>45451</v>
      </c>
      <c r="C222" s="10" t="s">
        <v>263</v>
      </c>
      <c r="D222" s="10" t="s">
        <v>37</v>
      </c>
      <c r="E222" s="10" t="s">
        <v>2</v>
      </c>
      <c r="F222" s="10" t="s">
        <v>4</v>
      </c>
      <c r="G222" s="10" t="s">
        <v>46</v>
      </c>
      <c r="H222" s="10" t="s">
        <v>58</v>
      </c>
      <c r="I222" s="45">
        <v>3951</v>
      </c>
      <c r="J222" s="11">
        <v>0</v>
      </c>
      <c r="K222" s="45">
        <f t="shared" si="22"/>
        <v>3951</v>
      </c>
      <c r="L222" s="10">
        <v>26</v>
      </c>
      <c r="M222" s="10">
        <v>2.6</v>
      </c>
      <c r="N222" s="10" t="b">
        <v>1</v>
      </c>
      <c r="O222" s="41" t="s">
        <v>50</v>
      </c>
      <c r="P222" s="45">
        <f t="shared" si="23"/>
        <v>1659.4199999999998</v>
      </c>
      <c r="Q222" s="45">
        <f t="shared" si="24"/>
        <v>2291.58</v>
      </c>
      <c r="R222" s="45">
        <v>150</v>
      </c>
      <c r="S222" s="45">
        <f t="shared" si="25"/>
        <v>395.1</v>
      </c>
      <c r="T222" s="45">
        <f t="shared" si="26"/>
        <v>3951</v>
      </c>
      <c r="U222" s="47">
        <f t="shared" si="27"/>
        <v>-2204.52</v>
      </c>
    </row>
    <row r="223" spans="1:21" x14ac:dyDescent="0.3">
      <c r="A223" s="41" t="str">
        <f t="shared" si="21"/>
        <v>PZARTO</v>
      </c>
      <c r="B223" s="43">
        <v>45452</v>
      </c>
      <c r="C223" s="10" t="s">
        <v>264</v>
      </c>
      <c r="D223" s="10" t="s">
        <v>3</v>
      </c>
      <c r="E223" s="10" t="s">
        <v>9</v>
      </c>
      <c r="F223" s="10" t="s">
        <v>54</v>
      </c>
      <c r="G223" s="10" t="s">
        <v>38</v>
      </c>
      <c r="H223" s="10" t="s">
        <v>28</v>
      </c>
      <c r="I223" s="45">
        <v>922</v>
      </c>
      <c r="J223" s="11">
        <v>0</v>
      </c>
      <c r="K223" s="45">
        <f t="shared" si="22"/>
        <v>922</v>
      </c>
      <c r="L223" s="10">
        <v>32</v>
      </c>
      <c r="M223" s="10">
        <v>4.5999999999999996</v>
      </c>
      <c r="N223" s="10" t="b">
        <v>0</v>
      </c>
      <c r="O223" s="41"/>
      <c r="P223" s="45">
        <f t="shared" si="23"/>
        <v>387.24</v>
      </c>
      <c r="Q223" s="45">
        <f t="shared" si="24"/>
        <v>534.76</v>
      </c>
      <c r="R223" s="45">
        <v>0</v>
      </c>
      <c r="S223" s="45">
        <f t="shared" si="25"/>
        <v>0</v>
      </c>
      <c r="T223" s="45">
        <f t="shared" si="26"/>
        <v>0</v>
      </c>
      <c r="U223" s="47">
        <f t="shared" si="27"/>
        <v>534.76</v>
      </c>
    </row>
    <row r="224" spans="1:21" x14ac:dyDescent="0.3">
      <c r="A224" s="41" t="str">
        <f t="shared" si="21"/>
        <v>PH&amp;MOU</v>
      </c>
      <c r="B224" s="43">
        <v>45452</v>
      </c>
      <c r="C224" s="10" t="s">
        <v>265</v>
      </c>
      <c r="D224" s="10" t="s">
        <v>37</v>
      </c>
      <c r="E224" s="10" t="s">
        <v>2</v>
      </c>
      <c r="F224" s="10" t="s">
        <v>54</v>
      </c>
      <c r="G224" s="10" t="s">
        <v>5</v>
      </c>
      <c r="H224" s="10" t="s">
        <v>88</v>
      </c>
      <c r="I224" s="45">
        <v>3589</v>
      </c>
      <c r="J224" s="11">
        <v>0</v>
      </c>
      <c r="K224" s="45">
        <f t="shared" si="22"/>
        <v>3589</v>
      </c>
      <c r="L224" s="10">
        <v>17</v>
      </c>
      <c r="M224" s="10">
        <v>2.9</v>
      </c>
      <c r="N224" s="10" t="b">
        <v>0</v>
      </c>
      <c r="O224" s="41"/>
      <c r="P224" s="45">
        <f t="shared" si="23"/>
        <v>1507.3799999999999</v>
      </c>
      <c r="Q224" s="45">
        <f t="shared" si="24"/>
        <v>2081.62</v>
      </c>
      <c r="R224" s="45">
        <v>0</v>
      </c>
      <c r="S224" s="45">
        <f t="shared" si="25"/>
        <v>0</v>
      </c>
      <c r="T224" s="45">
        <f t="shared" si="26"/>
        <v>0</v>
      </c>
      <c r="U224" s="47">
        <f t="shared" si="27"/>
        <v>2081.62</v>
      </c>
    </row>
    <row r="225" spans="1:21" x14ac:dyDescent="0.3">
      <c r="A225" s="41" t="str">
        <f t="shared" si="21"/>
        <v>PFOROU</v>
      </c>
      <c r="B225" s="43">
        <v>45452</v>
      </c>
      <c r="C225" s="10" t="s">
        <v>266</v>
      </c>
      <c r="D225" s="10" t="s">
        <v>65</v>
      </c>
      <c r="E225" s="10" t="s">
        <v>2</v>
      </c>
      <c r="F225" s="10" t="s">
        <v>54</v>
      </c>
      <c r="G225" s="10" t="s">
        <v>27</v>
      </c>
      <c r="H225" s="10" t="s">
        <v>6</v>
      </c>
      <c r="I225" s="45">
        <v>4253</v>
      </c>
      <c r="J225" s="11">
        <v>0</v>
      </c>
      <c r="K225" s="45">
        <f t="shared" si="22"/>
        <v>4253</v>
      </c>
      <c r="L225" s="10">
        <v>34</v>
      </c>
      <c r="M225" s="10">
        <v>2.2999999999999998</v>
      </c>
      <c r="N225" s="10" t="b">
        <v>0</v>
      </c>
      <c r="O225" s="41"/>
      <c r="P225" s="45">
        <f t="shared" si="23"/>
        <v>1786.26</v>
      </c>
      <c r="Q225" s="45">
        <f t="shared" si="24"/>
        <v>2466.7399999999998</v>
      </c>
      <c r="R225" s="45">
        <v>0</v>
      </c>
      <c r="S225" s="45">
        <f t="shared" si="25"/>
        <v>0</v>
      </c>
      <c r="T225" s="45">
        <f t="shared" si="26"/>
        <v>0</v>
      </c>
      <c r="U225" s="47">
        <f t="shared" si="27"/>
        <v>2466.7399999999998</v>
      </c>
    </row>
    <row r="226" spans="1:21" x14ac:dyDescent="0.3">
      <c r="A226" s="41" t="str">
        <f t="shared" si="21"/>
        <v>PGAPDR</v>
      </c>
      <c r="B226" s="43">
        <v>45452</v>
      </c>
      <c r="C226" s="10" t="s">
        <v>267</v>
      </c>
      <c r="D226" s="10" t="s">
        <v>53</v>
      </c>
      <c r="E226" s="10" t="s">
        <v>30</v>
      </c>
      <c r="F226" s="10" t="s">
        <v>11</v>
      </c>
      <c r="G226" s="10" t="s">
        <v>5</v>
      </c>
      <c r="H226" s="10" t="s">
        <v>16</v>
      </c>
      <c r="I226" s="45">
        <v>2512</v>
      </c>
      <c r="J226" s="11">
        <v>0</v>
      </c>
      <c r="K226" s="45">
        <f t="shared" si="22"/>
        <v>2512</v>
      </c>
      <c r="L226" s="10">
        <v>29</v>
      </c>
      <c r="M226" s="10"/>
      <c r="N226" s="10" t="b">
        <v>0</v>
      </c>
      <c r="O226" s="41"/>
      <c r="P226" s="45">
        <f t="shared" si="23"/>
        <v>1055.04</v>
      </c>
      <c r="Q226" s="45">
        <f t="shared" si="24"/>
        <v>1456.96</v>
      </c>
      <c r="R226" s="45">
        <v>0</v>
      </c>
      <c r="S226" s="45">
        <f t="shared" si="25"/>
        <v>0</v>
      </c>
      <c r="T226" s="45">
        <f t="shared" si="26"/>
        <v>0</v>
      </c>
      <c r="U226" s="47">
        <f t="shared" si="27"/>
        <v>1456.96</v>
      </c>
    </row>
    <row r="227" spans="1:21" x14ac:dyDescent="0.3">
      <c r="A227" s="41" t="str">
        <f t="shared" si="21"/>
        <v>PFOROU</v>
      </c>
      <c r="B227" s="43">
        <v>45453</v>
      </c>
      <c r="C227" s="10" t="s">
        <v>268</v>
      </c>
      <c r="D227" s="10" t="s">
        <v>65</v>
      </c>
      <c r="E227" s="10" t="s">
        <v>2</v>
      </c>
      <c r="F227" s="10" t="s">
        <v>4</v>
      </c>
      <c r="G227" s="10" t="s">
        <v>38</v>
      </c>
      <c r="H227" s="10" t="s">
        <v>43</v>
      </c>
      <c r="I227" s="45">
        <v>3471</v>
      </c>
      <c r="J227" s="11">
        <v>0.54799999999999993</v>
      </c>
      <c r="K227" s="45">
        <f t="shared" si="22"/>
        <v>1568.8920000000003</v>
      </c>
      <c r="L227" s="10">
        <v>3</v>
      </c>
      <c r="M227" s="10">
        <v>4.5</v>
      </c>
      <c r="N227" s="10" t="b">
        <v>0</v>
      </c>
      <c r="O227" s="41"/>
      <c r="P227" s="45">
        <f t="shared" si="23"/>
        <v>658.93464000000006</v>
      </c>
      <c r="Q227" s="45">
        <f t="shared" si="24"/>
        <v>909.95736000000022</v>
      </c>
      <c r="R227" s="45">
        <v>0</v>
      </c>
      <c r="S227" s="45">
        <f t="shared" si="25"/>
        <v>0</v>
      </c>
      <c r="T227" s="45">
        <f t="shared" si="26"/>
        <v>0</v>
      </c>
      <c r="U227" s="47">
        <f t="shared" si="27"/>
        <v>909.95736000000022</v>
      </c>
    </row>
    <row r="228" spans="1:21" x14ac:dyDescent="0.3">
      <c r="A228" s="41" t="str">
        <f t="shared" si="21"/>
        <v>PUNIDR</v>
      </c>
      <c r="B228" s="43">
        <v>45453</v>
      </c>
      <c r="C228" s="10" t="s">
        <v>269</v>
      </c>
      <c r="D228" s="10" t="s">
        <v>10</v>
      </c>
      <c r="E228" s="10" t="s">
        <v>30</v>
      </c>
      <c r="F228" s="10" t="s">
        <v>23</v>
      </c>
      <c r="G228" s="10" t="s">
        <v>38</v>
      </c>
      <c r="H228" s="10" t="s">
        <v>6</v>
      </c>
      <c r="I228" s="45">
        <v>1932</v>
      </c>
      <c r="J228" s="11">
        <v>1.3999999999999999E-2</v>
      </c>
      <c r="K228" s="45">
        <f t="shared" si="22"/>
        <v>1904.952</v>
      </c>
      <c r="L228" s="10">
        <v>0</v>
      </c>
      <c r="M228" s="10">
        <v>5</v>
      </c>
      <c r="N228" s="10" t="b">
        <v>0</v>
      </c>
      <c r="O228" s="41"/>
      <c r="P228" s="45">
        <f t="shared" si="23"/>
        <v>800.07983999999999</v>
      </c>
      <c r="Q228" s="45">
        <f t="shared" si="24"/>
        <v>1104.8721599999999</v>
      </c>
      <c r="R228" s="45">
        <v>0</v>
      </c>
      <c r="S228" s="45">
        <f t="shared" si="25"/>
        <v>0</v>
      </c>
      <c r="T228" s="45">
        <f t="shared" si="26"/>
        <v>0</v>
      </c>
      <c r="U228" s="47">
        <f t="shared" si="27"/>
        <v>1104.8721599999999</v>
      </c>
    </row>
    <row r="229" spans="1:21" x14ac:dyDescent="0.3">
      <c r="A229" s="41" t="str">
        <f t="shared" si="21"/>
        <v>PH&amp;MBO</v>
      </c>
      <c r="B229" s="43">
        <v>45453</v>
      </c>
      <c r="C229" s="10" t="s">
        <v>270</v>
      </c>
      <c r="D229" s="10" t="s">
        <v>37</v>
      </c>
      <c r="E229" s="10" t="s">
        <v>26</v>
      </c>
      <c r="F229" s="10" t="s">
        <v>4</v>
      </c>
      <c r="G229" s="10" t="s">
        <v>46</v>
      </c>
      <c r="H229" s="10" t="s">
        <v>16</v>
      </c>
      <c r="I229" s="45">
        <v>2502</v>
      </c>
      <c r="J229" s="11">
        <v>0.158</v>
      </c>
      <c r="K229" s="45">
        <f t="shared" si="22"/>
        <v>2106.6839999999997</v>
      </c>
      <c r="L229" s="10">
        <v>11</v>
      </c>
      <c r="M229" s="10">
        <v>1.6</v>
      </c>
      <c r="N229" s="10" t="b">
        <v>0</v>
      </c>
      <c r="O229" s="41"/>
      <c r="P229" s="45">
        <f t="shared" si="23"/>
        <v>884.80727999999988</v>
      </c>
      <c r="Q229" s="45">
        <f t="shared" si="24"/>
        <v>1221.8767199999998</v>
      </c>
      <c r="R229" s="45">
        <v>0</v>
      </c>
      <c r="S229" s="45">
        <f t="shared" si="25"/>
        <v>0</v>
      </c>
      <c r="T229" s="45">
        <f t="shared" si="26"/>
        <v>0</v>
      </c>
      <c r="U229" s="47">
        <f t="shared" si="27"/>
        <v>1221.8767199999998</v>
      </c>
    </row>
    <row r="230" spans="1:21" x14ac:dyDescent="0.3">
      <c r="A230" s="41" t="str">
        <f t="shared" si="21"/>
        <v>PH&amp;MOU</v>
      </c>
      <c r="B230" s="43">
        <v>45454</v>
      </c>
      <c r="C230" s="10" t="s">
        <v>271</v>
      </c>
      <c r="D230" s="10" t="s">
        <v>37</v>
      </c>
      <c r="E230" s="10" t="s">
        <v>2</v>
      </c>
      <c r="F230" s="10" t="s">
        <v>4</v>
      </c>
      <c r="G230" s="10" t="s">
        <v>27</v>
      </c>
      <c r="H230" s="10" t="s">
        <v>47</v>
      </c>
      <c r="I230" s="45">
        <v>3590</v>
      </c>
      <c r="J230" s="11">
        <v>0</v>
      </c>
      <c r="K230" s="45">
        <f t="shared" si="22"/>
        <v>3590</v>
      </c>
      <c r="L230" s="10">
        <v>18</v>
      </c>
      <c r="M230" s="10">
        <v>1.2</v>
      </c>
      <c r="N230" s="10" t="b">
        <v>0</v>
      </c>
      <c r="O230" s="41"/>
      <c r="P230" s="45">
        <f t="shared" si="23"/>
        <v>1507.8</v>
      </c>
      <c r="Q230" s="45">
        <f t="shared" si="24"/>
        <v>2082.1999999999998</v>
      </c>
      <c r="R230" s="45">
        <v>0</v>
      </c>
      <c r="S230" s="45">
        <f t="shared" si="25"/>
        <v>0</v>
      </c>
      <c r="T230" s="45">
        <f t="shared" si="26"/>
        <v>0</v>
      </c>
      <c r="U230" s="47">
        <f t="shared" si="27"/>
        <v>2082.1999999999998</v>
      </c>
    </row>
    <row r="231" spans="1:21" x14ac:dyDescent="0.3">
      <c r="A231" s="41" t="str">
        <f t="shared" si="21"/>
        <v>PANNAC</v>
      </c>
      <c r="B231" s="43">
        <v>45454</v>
      </c>
      <c r="C231" s="10" t="s">
        <v>272</v>
      </c>
      <c r="D231" s="10" t="s">
        <v>42</v>
      </c>
      <c r="E231" s="10" t="s">
        <v>15</v>
      </c>
      <c r="F231" s="10" t="s">
        <v>4</v>
      </c>
      <c r="G231" s="10" t="s">
        <v>7</v>
      </c>
      <c r="H231" s="10" t="s">
        <v>47</v>
      </c>
      <c r="I231" s="45">
        <v>234</v>
      </c>
      <c r="J231" s="11">
        <v>0</v>
      </c>
      <c r="K231" s="45">
        <f t="shared" si="22"/>
        <v>234</v>
      </c>
      <c r="L231" s="10">
        <v>15</v>
      </c>
      <c r="M231" s="10"/>
      <c r="N231" s="10" t="b">
        <v>0</v>
      </c>
      <c r="O231" s="41"/>
      <c r="P231" s="45">
        <f t="shared" si="23"/>
        <v>98.28</v>
      </c>
      <c r="Q231" s="45">
        <f t="shared" si="24"/>
        <v>135.72</v>
      </c>
      <c r="R231" s="45">
        <v>0</v>
      </c>
      <c r="S231" s="45">
        <f t="shared" si="25"/>
        <v>0</v>
      </c>
      <c r="T231" s="45">
        <f t="shared" si="26"/>
        <v>0</v>
      </c>
      <c r="U231" s="47">
        <f t="shared" si="27"/>
        <v>135.72</v>
      </c>
    </row>
    <row r="232" spans="1:21" x14ac:dyDescent="0.3">
      <c r="A232" s="41" t="str">
        <f t="shared" si="21"/>
        <v>PH&amp;MSH</v>
      </c>
      <c r="B232" s="43">
        <v>45454</v>
      </c>
      <c r="C232" s="10" t="s">
        <v>273</v>
      </c>
      <c r="D232" s="10" t="s">
        <v>37</v>
      </c>
      <c r="E232" s="10" t="s">
        <v>18</v>
      </c>
      <c r="F232" s="10" t="s">
        <v>54</v>
      </c>
      <c r="G232" s="10" t="s">
        <v>27</v>
      </c>
      <c r="H232" s="10" t="s">
        <v>28</v>
      </c>
      <c r="I232" s="45">
        <v>3798</v>
      </c>
      <c r="J232" s="11">
        <v>0</v>
      </c>
      <c r="K232" s="45">
        <f t="shared" si="22"/>
        <v>3798</v>
      </c>
      <c r="L232" s="10">
        <v>16</v>
      </c>
      <c r="M232" s="10">
        <v>4.3</v>
      </c>
      <c r="N232" s="10" t="b">
        <v>0</v>
      </c>
      <c r="O232" s="41"/>
      <c r="P232" s="45">
        <f t="shared" si="23"/>
        <v>1595.1599999999999</v>
      </c>
      <c r="Q232" s="45">
        <f t="shared" si="24"/>
        <v>2202.84</v>
      </c>
      <c r="R232" s="45">
        <v>0</v>
      </c>
      <c r="S232" s="45">
        <f t="shared" si="25"/>
        <v>0</v>
      </c>
      <c r="T232" s="45">
        <f t="shared" si="26"/>
        <v>0</v>
      </c>
      <c r="U232" s="47">
        <f t="shared" si="27"/>
        <v>2202.84</v>
      </c>
    </row>
    <row r="233" spans="1:21" x14ac:dyDescent="0.3">
      <c r="A233" s="41" t="str">
        <f t="shared" si="21"/>
        <v>PMANAC</v>
      </c>
      <c r="B233" s="43">
        <v>45455</v>
      </c>
      <c r="C233" s="10" t="s">
        <v>274</v>
      </c>
      <c r="D233" s="10" t="s">
        <v>31</v>
      </c>
      <c r="E233" s="10" t="s">
        <v>15</v>
      </c>
      <c r="F233" s="10" t="s">
        <v>54</v>
      </c>
      <c r="G233" s="10" t="s">
        <v>7</v>
      </c>
      <c r="H233" s="10" t="s">
        <v>6</v>
      </c>
      <c r="I233" s="45">
        <v>352</v>
      </c>
      <c r="J233" s="11">
        <v>0.433</v>
      </c>
      <c r="K233" s="45">
        <f t="shared" si="22"/>
        <v>199.58399999999997</v>
      </c>
      <c r="L233" s="10">
        <v>24</v>
      </c>
      <c r="M233" s="10"/>
      <c r="N233" s="10" t="b">
        <v>0</v>
      </c>
      <c r="O233" s="41"/>
      <c r="P233" s="45">
        <f t="shared" si="23"/>
        <v>83.825279999999992</v>
      </c>
      <c r="Q233" s="45">
        <f t="shared" si="24"/>
        <v>115.75871999999998</v>
      </c>
      <c r="R233" s="45">
        <v>0</v>
      </c>
      <c r="S233" s="45">
        <f t="shared" si="25"/>
        <v>0</v>
      </c>
      <c r="T233" s="45">
        <f t="shared" si="26"/>
        <v>0</v>
      </c>
      <c r="U233" s="47">
        <f t="shared" si="27"/>
        <v>115.75871999999998</v>
      </c>
    </row>
    <row r="234" spans="1:21" x14ac:dyDescent="0.3">
      <c r="A234" s="41" t="str">
        <f t="shared" si="21"/>
        <v>PFORDR</v>
      </c>
      <c r="B234" s="43">
        <v>45455</v>
      </c>
      <c r="C234" s="10" t="s">
        <v>275</v>
      </c>
      <c r="D234" s="10" t="s">
        <v>65</v>
      </c>
      <c r="E234" s="10" t="s">
        <v>30</v>
      </c>
      <c r="F234" s="10" t="s">
        <v>11</v>
      </c>
      <c r="G234" s="10" t="s">
        <v>7</v>
      </c>
      <c r="H234" s="10" t="s">
        <v>16</v>
      </c>
      <c r="I234" s="45">
        <v>2269</v>
      </c>
      <c r="J234" s="11">
        <v>0.22399999999999998</v>
      </c>
      <c r="K234" s="45">
        <f t="shared" si="22"/>
        <v>1760.7440000000001</v>
      </c>
      <c r="L234" s="10">
        <v>37</v>
      </c>
      <c r="M234" s="10">
        <v>2.5</v>
      </c>
      <c r="N234" s="10" t="b">
        <v>0</v>
      </c>
      <c r="O234" s="41"/>
      <c r="P234" s="45">
        <f t="shared" si="23"/>
        <v>739.51247999999998</v>
      </c>
      <c r="Q234" s="45">
        <f t="shared" si="24"/>
        <v>1021.2315200000002</v>
      </c>
      <c r="R234" s="45">
        <v>0</v>
      </c>
      <c r="S234" s="45">
        <f t="shared" si="25"/>
        <v>0</v>
      </c>
      <c r="T234" s="45">
        <f t="shared" si="26"/>
        <v>0</v>
      </c>
      <c r="U234" s="47">
        <f t="shared" si="27"/>
        <v>1021.2315200000002</v>
      </c>
    </row>
    <row r="235" spans="1:21" x14ac:dyDescent="0.3">
      <c r="A235" s="41" t="str">
        <f t="shared" si="21"/>
        <v>PGAPTO</v>
      </c>
      <c r="B235" s="43">
        <v>45455</v>
      </c>
      <c r="C235" s="10" t="s">
        <v>276</v>
      </c>
      <c r="D235" s="10" t="s">
        <v>53</v>
      </c>
      <c r="E235" s="10" t="s">
        <v>9</v>
      </c>
      <c r="F235" s="10" t="s">
        <v>23</v>
      </c>
      <c r="G235" s="10" t="s">
        <v>7</v>
      </c>
      <c r="H235" s="10" t="s">
        <v>47</v>
      </c>
      <c r="I235" s="45">
        <v>946</v>
      </c>
      <c r="J235" s="11">
        <v>0</v>
      </c>
      <c r="K235" s="45">
        <f t="shared" si="22"/>
        <v>946</v>
      </c>
      <c r="L235" s="10">
        <v>24</v>
      </c>
      <c r="M235" s="10">
        <v>4.4000000000000004</v>
      </c>
      <c r="N235" s="10" t="b">
        <v>0</v>
      </c>
      <c r="O235" s="41"/>
      <c r="P235" s="45">
        <f t="shared" si="23"/>
        <v>397.32</v>
      </c>
      <c r="Q235" s="45">
        <f t="shared" si="24"/>
        <v>548.68000000000006</v>
      </c>
      <c r="R235" s="45">
        <v>0</v>
      </c>
      <c r="S235" s="45">
        <f t="shared" si="25"/>
        <v>0</v>
      </c>
      <c r="T235" s="45">
        <f t="shared" si="26"/>
        <v>0</v>
      </c>
      <c r="U235" s="47">
        <f t="shared" si="27"/>
        <v>548.68000000000006</v>
      </c>
    </row>
    <row r="236" spans="1:21" x14ac:dyDescent="0.3">
      <c r="A236" s="41" t="str">
        <f t="shared" si="21"/>
        <v>PGAPTO</v>
      </c>
      <c r="B236" s="43">
        <v>45455</v>
      </c>
      <c r="C236" s="10" t="s">
        <v>277</v>
      </c>
      <c r="D236" s="10" t="s">
        <v>53</v>
      </c>
      <c r="E236" s="10" t="s">
        <v>9</v>
      </c>
      <c r="F236" s="10" t="s">
        <v>4</v>
      </c>
      <c r="G236" s="10" t="s">
        <v>27</v>
      </c>
      <c r="H236" s="10" t="s">
        <v>16</v>
      </c>
      <c r="I236" s="45">
        <v>1568</v>
      </c>
      <c r="J236" s="11">
        <v>0</v>
      </c>
      <c r="K236" s="45">
        <f t="shared" si="22"/>
        <v>1568</v>
      </c>
      <c r="L236" s="10">
        <v>2</v>
      </c>
      <c r="M236" s="10">
        <v>1.4</v>
      </c>
      <c r="N236" s="10" t="b">
        <v>1</v>
      </c>
      <c r="O236" s="41" t="s">
        <v>33</v>
      </c>
      <c r="P236" s="45">
        <f t="shared" si="23"/>
        <v>658.56</v>
      </c>
      <c r="Q236" s="45">
        <f t="shared" si="24"/>
        <v>909.44</v>
      </c>
      <c r="R236" s="45">
        <v>150</v>
      </c>
      <c r="S236" s="45">
        <f t="shared" si="25"/>
        <v>156.80000000000001</v>
      </c>
      <c r="T236" s="45">
        <f t="shared" si="26"/>
        <v>1568</v>
      </c>
      <c r="U236" s="47">
        <f t="shared" si="27"/>
        <v>-965.3599999999999</v>
      </c>
    </row>
    <row r="237" spans="1:21" x14ac:dyDescent="0.3">
      <c r="A237" s="41" t="str">
        <f t="shared" si="21"/>
        <v>PZARBO</v>
      </c>
      <c r="B237" s="43">
        <v>45456</v>
      </c>
      <c r="C237" s="10" t="s">
        <v>278</v>
      </c>
      <c r="D237" s="10" t="s">
        <v>3</v>
      </c>
      <c r="E237" s="10" t="s">
        <v>26</v>
      </c>
      <c r="F237" s="10" t="s">
        <v>4</v>
      </c>
      <c r="G237" s="10" t="s">
        <v>38</v>
      </c>
      <c r="H237" s="10" t="s">
        <v>6</v>
      </c>
      <c r="I237" s="45">
        <v>2406</v>
      </c>
      <c r="J237" s="11">
        <v>0</v>
      </c>
      <c r="K237" s="45">
        <f t="shared" si="22"/>
        <v>2406</v>
      </c>
      <c r="L237" s="10">
        <v>25</v>
      </c>
      <c r="M237" s="10">
        <v>4.0999999999999996</v>
      </c>
      <c r="N237" s="10" t="b">
        <v>0</v>
      </c>
      <c r="O237" s="41"/>
      <c r="P237" s="45">
        <f t="shared" si="23"/>
        <v>1010.52</v>
      </c>
      <c r="Q237" s="45">
        <f t="shared" si="24"/>
        <v>1395.48</v>
      </c>
      <c r="R237" s="45">
        <v>0</v>
      </c>
      <c r="S237" s="45">
        <f t="shared" si="25"/>
        <v>0</v>
      </c>
      <c r="T237" s="45">
        <f t="shared" si="26"/>
        <v>0</v>
      </c>
      <c r="U237" s="47">
        <f t="shared" si="27"/>
        <v>1395.48</v>
      </c>
    </row>
    <row r="238" spans="1:21" x14ac:dyDescent="0.3">
      <c r="A238" s="41" t="str">
        <f t="shared" si="21"/>
        <v>PH&amp;MAC</v>
      </c>
      <c r="B238" s="43">
        <v>45456</v>
      </c>
      <c r="C238" s="10" t="s">
        <v>279</v>
      </c>
      <c r="D238" s="10" t="s">
        <v>37</v>
      </c>
      <c r="E238" s="10" t="s">
        <v>15</v>
      </c>
      <c r="F238" s="10" t="s">
        <v>23</v>
      </c>
      <c r="G238" s="10" t="s">
        <v>7</v>
      </c>
      <c r="H238" s="10" t="s">
        <v>7</v>
      </c>
      <c r="I238" s="45">
        <v>312</v>
      </c>
      <c r="J238" s="11">
        <v>0.191</v>
      </c>
      <c r="K238" s="45">
        <f t="shared" si="22"/>
        <v>252.40799999999999</v>
      </c>
      <c r="L238" s="10">
        <v>4</v>
      </c>
      <c r="M238" s="10"/>
      <c r="N238" s="10" t="b">
        <v>0</v>
      </c>
      <c r="O238" s="41"/>
      <c r="P238" s="45">
        <f t="shared" si="23"/>
        <v>106.01136</v>
      </c>
      <c r="Q238" s="45">
        <f t="shared" si="24"/>
        <v>146.39663999999999</v>
      </c>
      <c r="R238" s="45">
        <v>0</v>
      </c>
      <c r="S238" s="45">
        <f t="shared" si="25"/>
        <v>0</v>
      </c>
      <c r="T238" s="45">
        <f t="shared" si="26"/>
        <v>0</v>
      </c>
      <c r="U238" s="47">
        <f t="shared" si="27"/>
        <v>146.39663999999999</v>
      </c>
    </row>
    <row r="239" spans="1:21" x14ac:dyDescent="0.3">
      <c r="A239" s="41" t="str">
        <f t="shared" si="21"/>
        <v>PMANAC</v>
      </c>
      <c r="B239" s="43">
        <v>45456</v>
      </c>
      <c r="C239" s="10" t="s">
        <v>280</v>
      </c>
      <c r="D239" s="10" t="s">
        <v>31</v>
      </c>
      <c r="E239" s="10" t="s">
        <v>15</v>
      </c>
      <c r="F239" s="10" t="s">
        <v>23</v>
      </c>
      <c r="G239" s="10" t="s">
        <v>7</v>
      </c>
      <c r="H239" s="10" t="s">
        <v>43</v>
      </c>
      <c r="I239" s="45">
        <v>471</v>
      </c>
      <c r="J239" s="11">
        <v>0</v>
      </c>
      <c r="K239" s="45">
        <f t="shared" si="22"/>
        <v>471</v>
      </c>
      <c r="L239" s="10">
        <v>14</v>
      </c>
      <c r="M239" s="10">
        <v>1.8</v>
      </c>
      <c r="N239" s="10" t="b">
        <v>0</v>
      </c>
      <c r="O239" s="41"/>
      <c r="P239" s="45">
        <f t="shared" si="23"/>
        <v>197.82</v>
      </c>
      <c r="Q239" s="45">
        <f t="shared" si="24"/>
        <v>273.18</v>
      </c>
      <c r="R239" s="45">
        <v>0</v>
      </c>
      <c r="S239" s="45">
        <f t="shared" si="25"/>
        <v>0</v>
      </c>
      <c r="T239" s="45">
        <f t="shared" si="26"/>
        <v>0</v>
      </c>
      <c r="U239" s="47">
        <f t="shared" si="27"/>
        <v>273.18</v>
      </c>
    </row>
    <row r="240" spans="1:21" x14ac:dyDescent="0.3">
      <c r="A240" s="41" t="str">
        <f t="shared" si="21"/>
        <v>PFORSH</v>
      </c>
      <c r="B240" s="43">
        <v>45456</v>
      </c>
      <c r="C240" s="10" t="s">
        <v>281</v>
      </c>
      <c r="D240" s="10" t="s">
        <v>65</v>
      </c>
      <c r="E240" s="10" t="s">
        <v>18</v>
      </c>
      <c r="F240" s="10" t="s">
        <v>4</v>
      </c>
      <c r="G240" s="10" t="s">
        <v>12</v>
      </c>
      <c r="H240" s="10" t="s">
        <v>88</v>
      </c>
      <c r="I240" s="45">
        <v>3635</v>
      </c>
      <c r="J240" s="11">
        <v>0</v>
      </c>
      <c r="K240" s="45">
        <f t="shared" si="22"/>
        <v>3635</v>
      </c>
      <c r="L240" s="10">
        <v>46</v>
      </c>
      <c r="M240" s="10">
        <v>4.5</v>
      </c>
      <c r="N240" s="10" t="b">
        <v>0</v>
      </c>
      <c r="O240" s="41"/>
      <c r="P240" s="45">
        <f t="shared" si="23"/>
        <v>1526.7</v>
      </c>
      <c r="Q240" s="45">
        <f t="shared" si="24"/>
        <v>2108.3000000000002</v>
      </c>
      <c r="R240" s="45">
        <v>0</v>
      </c>
      <c r="S240" s="45">
        <f t="shared" si="25"/>
        <v>0</v>
      </c>
      <c r="T240" s="45">
        <f t="shared" si="26"/>
        <v>0</v>
      </c>
      <c r="U240" s="47">
        <f t="shared" si="27"/>
        <v>2108.3000000000002</v>
      </c>
    </row>
    <row r="241" spans="1:21" x14ac:dyDescent="0.3">
      <c r="A241" s="41" t="str">
        <f t="shared" si="21"/>
        <v>PZARSH</v>
      </c>
      <c r="B241" s="43">
        <v>45457</v>
      </c>
      <c r="C241" s="10" t="s">
        <v>282</v>
      </c>
      <c r="D241" s="10" t="s">
        <v>3</v>
      </c>
      <c r="E241" s="10" t="s">
        <v>18</v>
      </c>
      <c r="F241" s="10" t="s">
        <v>23</v>
      </c>
      <c r="G241" s="10" t="s">
        <v>7</v>
      </c>
      <c r="H241" s="10" t="s">
        <v>7</v>
      </c>
      <c r="I241" s="45">
        <v>4146</v>
      </c>
      <c r="J241" s="11">
        <v>0</v>
      </c>
      <c r="K241" s="45">
        <f t="shared" si="22"/>
        <v>4146</v>
      </c>
      <c r="L241" s="10">
        <v>24</v>
      </c>
      <c r="M241" s="10">
        <v>3.7</v>
      </c>
      <c r="N241" s="10" t="b">
        <v>1</v>
      </c>
      <c r="O241" s="41" t="s">
        <v>19</v>
      </c>
      <c r="P241" s="45">
        <f t="shared" si="23"/>
        <v>1741.32</v>
      </c>
      <c r="Q241" s="45">
        <f t="shared" si="24"/>
        <v>2404.6800000000003</v>
      </c>
      <c r="R241" s="45">
        <v>150</v>
      </c>
      <c r="S241" s="45">
        <f t="shared" si="25"/>
        <v>414.6</v>
      </c>
      <c r="T241" s="45">
        <f t="shared" si="26"/>
        <v>4146</v>
      </c>
      <c r="U241" s="47">
        <f t="shared" si="27"/>
        <v>-2305.9199999999996</v>
      </c>
    </row>
    <row r="242" spans="1:21" x14ac:dyDescent="0.3">
      <c r="A242" s="41" t="str">
        <f t="shared" si="21"/>
        <v>PFORDR</v>
      </c>
      <c r="B242" s="43">
        <v>45457</v>
      </c>
      <c r="C242" s="10" t="s">
        <v>283</v>
      </c>
      <c r="D242" s="10" t="s">
        <v>65</v>
      </c>
      <c r="E242" s="10" t="s">
        <v>30</v>
      </c>
      <c r="F242" s="10" t="s">
        <v>23</v>
      </c>
      <c r="G242" s="10" t="s">
        <v>46</v>
      </c>
      <c r="H242" s="10" t="s">
        <v>13</v>
      </c>
      <c r="I242" s="45">
        <v>2275</v>
      </c>
      <c r="J242" s="11">
        <v>0</v>
      </c>
      <c r="K242" s="45">
        <f t="shared" si="22"/>
        <v>2275</v>
      </c>
      <c r="L242" s="10">
        <v>33</v>
      </c>
      <c r="M242" s="10">
        <v>2.4</v>
      </c>
      <c r="N242" s="10" t="b">
        <v>0</v>
      </c>
      <c r="O242" s="41"/>
      <c r="P242" s="45">
        <f t="shared" si="23"/>
        <v>955.5</v>
      </c>
      <c r="Q242" s="45">
        <f t="shared" si="24"/>
        <v>1319.5</v>
      </c>
      <c r="R242" s="45">
        <v>0</v>
      </c>
      <c r="S242" s="45">
        <f t="shared" si="25"/>
        <v>0</v>
      </c>
      <c r="T242" s="45">
        <f t="shared" si="26"/>
        <v>0</v>
      </c>
      <c r="U242" s="47">
        <f t="shared" si="27"/>
        <v>1319.5</v>
      </c>
    </row>
    <row r="243" spans="1:21" x14ac:dyDescent="0.3">
      <c r="A243" s="41" t="str">
        <f t="shared" si="21"/>
        <v>PFORDR</v>
      </c>
      <c r="B243" s="43">
        <v>45457</v>
      </c>
      <c r="C243" s="10" t="s">
        <v>284</v>
      </c>
      <c r="D243" s="10" t="s">
        <v>65</v>
      </c>
      <c r="E243" s="10" t="s">
        <v>30</v>
      </c>
      <c r="F243" s="10" t="s">
        <v>23</v>
      </c>
      <c r="G243" s="10" t="s">
        <v>38</v>
      </c>
      <c r="H243" s="10" t="s">
        <v>35</v>
      </c>
      <c r="I243" s="45">
        <v>2740</v>
      </c>
      <c r="J243" s="11">
        <v>0.41700000000000004</v>
      </c>
      <c r="K243" s="45">
        <f t="shared" si="22"/>
        <v>1597.4199999999998</v>
      </c>
      <c r="L243" s="10">
        <v>43</v>
      </c>
      <c r="M243" s="10">
        <v>4.5999999999999996</v>
      </c>
      <c r="N243" s="10" t="b">
        <v>1</v>
      </c>
      <c r="O243" s="41" t="s">
        <v>44</v>
      </c>
      <c r="P243" s="45">
        <f t="shared" si="23"/>
        <v>670.91639999999995</v>
      </c>
      <c r="Q243" s="45">
        <f t="shared" si="24"/>
        <v>926.50359999999989</v>
      </c>
      <c r="R243" s="45">
        <v>150</v>
      </c>
      <c r="S243" s="45">
        <f t="shared" si="25"/>
        <v>159.74199999999999</v>
      </c>
      <c r="T243" s="45">
        <f t="shared" si="26"/>
        <v>1597.4199999999998</v>
      </c>
      <c r="U243" s="47">
        <f t="shared" si="27"/>
        <v>-980.65839999999992</v>
      </c>
    </row>
    <row r="244" spans="1:21" x14ac:dyDescent="0.3">
      <c r="A244" s="41" t="str">
        <f t="shared" si="21"/>
        <v>PFORAC</v>
      </c>
      <c r="B244" s="43">
        <v>45458</v>
      </c>
      <c r="C244" s="10" t="s">
        <v>285</v>
      </c>
      <c r="D244" s="10" t="s">
        <v>65</v>
      </c>
      <c r="E244" s="10" t="s">
        <v>15</v>
      </c>
      <c r="F244" s="10" t="s">
        <v>11</v>
      </c>
      <c r="G244" s="10" t="s">
        <v>7</v>
      </c>
      <c r="H244" s="10" t="s">
        <v>58</v>
      </c>
      <c r="I244" s="45">
        <v>247</v>
      </c>
      <c r="J244" s="11">
        <v>0</v>
      </c>
      <c r="K244" s="45">
        <f t="shared" si="22"/>
        <v>247</v>
      </c>
      <c r="L244" s="10">
        <v>34</v>
      </c>
      <c r="M244" s="10">
        <v>2.1</v>
      </c>
      <c r="N244" s="10" t="b">
        <v>0</v>
      </c>
      <c r="O244" s="41"/>
      <c r="P244" s="45">
        <f t="shared" si="23"/>
        <v>103.74</v>
      </c>
      <c r="Q244" s="45">
        <f t="shared" si="24"/>
        <v>143.26</v>
      </c>
      <c r="R244" s="45">
        <v>0</v>
      </c>
      <c r="S244" s="45">
        <f t="shared" si="25"/>
        <v>0</v>
      </c>
      <c r="T244" s="45">
        <f t="shared" si="26"/>
        <v>0</v>
      </c>
      <c r="U244" s="47">
        <f t="shared" si="27"/>
        <v>143.26</v>
      </c>
    </row>
    <row r="245" spans="1:21" x14ac:dyDescent="0.3">
      <c r="A245" s="41" t="str">
        <f t="shared" si="21"/>
        <v>PUNISH</v>
      </c>
      <c r="B245" s="43">
        <v>45458</v>
      </c>
      <c r="C245" s="10" t="s">
        <v>286</v>
      </c>
      <c r="D245" s="10" t="s">
        <v>10</v>
      </c>
      <c r="E245" s="10" t="s">
        <v>18</v>
      </c>
      <c r="F245" s="10" t="s">
        <v>54</v>
      </c>
      <c r="G245" s="10" t="s">
        <v>38</v>
      </c>
      <c r="H245" s="10" t="s">
        <v>13</v>
      </c>
      <c r="I245" s="45">
        <v>4330</v>
      </c>
      <c r="J245" s="11">
        <v>0.47600000000000003</v>
      </c>
      <c r="K245" s="45">
        <f t="shared" si="22"/>
        <v>2268.92</v>
      </c>
      <c r="L245" s="10">
        <v>12</v>
      </c>
      <c r="M245" s="10">
        <v>3.1</v>
      </c>
      <c r="N245" s="10" t="b">
        <v>1</v>
      </c>
      <c r="O245" s="41" t="s">
        <v>50</v>
      </c>
      <c r="P245" s="45">
        <f t="shared" si="23"/>
        <v>952.94640000000004</v>
      </c>
      <c r="Q245" s="45">
        <f t="shared" si="24"/>
        <v>1315.9736</v>
      </c>
      <c r="R245" s="45">
        <v>150</v>
      </c>
      <c r="S245" s="45">
        <f t="shared" si="25"/>
        <v>226.89200000000002</v>
      </c>
      <c r="T245" s="45">
        <f t="shared" si="26"/>
        <v>2268.92</v>
      </c>
      <c r="U245" s="47">
        <f t="shared" si="27"/>
        <v>-1329.8384000000001</v>
      </c>
    </row>
    <row r="246" spans="1:21" x14ac:dyDescent="0.3">
      <c r="A246" s="41" t="str">
        <f t="shared" si="21"/>
        <v>PMANBO</v>
      </c>
      <c r="B246" s="43">
        <v>45458</v>
      </c>
      <c r="C246" s="10" t="s">
        <v>287</v>
      </c>
      <c r="D246" s="10" t="s">
        <v>31</v>
      </c>
      <c r="E246" s="10" t="s">
        <v>26</v>
      </c>
      <c r="F246" s="10" t="s">
        <v>23</v>
      </c>
      <c r="G246" s="10" t="s">
        <v>49</v>
      </c>
      <c r="H246" s="10" t="s">
        <v>88</v>
      </c>
      <c r="I246" s="45">
        <v>2450</v>
      </c>
      <c r="J246" s="11">
        <v>0.505</v>
      </c>
      <c r="K246" s="45">
        <f t="shared" si="22"/>
        <v>1212.75</v>
      </c>
      <c r="L246" s="10">
        <v>46</v>
      </c>
      <c r="M246" s="10">
        <v>1.3</v>
      </c>
      <c r="N246" s="10" t="b">
        <v>0</v>
      </c>
      <c r="O246" s="41"/>
      <c r="P246" s="45">
        <f t="shared" si="23"/>
        <v>509.35499999999996</v>
      </c>
      <c r="Q246" s="45">
        <f t="shared" si="24"/>
        <v>703.39499999999998</v>
      </c>
      <c r="R246" s="45">
        <v>0</v>
      </c>
      <c r="S246" s="45">
        <f t="shared" si="25"/>
        <v>0</v>
      </c>
      <c r="T246" s="45">
        <f t="shared" si="26"/>
        <v>0</v>
      </c>
      <c r="U246" s="47">
        <f t="shared" si="27"/>
        <v>703.39499999999998</v>
      </c>
    </row>
    <row r="247" spans="1:21" x14ac:dyDescent="0.3">
      <c r="A247" s="41" t="str">
        <f t="shared" si="21"/>
        <v>PUNIOU</v>
      </c>
      <c r="B247" s="43">
        <v>45458</v>
      </c>
      <c r="C247" s="10" t="s">
        <v>288</v>
      </c>
      <c r="D247" s="10" t="s">
        <v>10</v>
      </c>
      <c r="E247" s="10" t="s">
        <v>2</v>
      </c>
      <c r="F247" s="10" t="s">
        <v>23</v>
      </c>
      <c r="G247" s="10" t="s">
        <v>12</v>
      </c>
      <c r="H247" s="10" t="s">
        <v>56</v>
      </c>
      <c r="I247" s="45">
        <v>3214</v>
      </c>
      <c r="J247" s="11">
        <v>0.54600000000000004</v>
      </c>
      <c r="K247" s="45">
        <f t="shared" si="22"/>
        <v>1459.1559999999999</v>
      </c>
      <c r="L247" s="10">
        <v>42</v>
      </c>
      <c r="M247" s="10">
        <v>4.2</v>
      </c>
      <c r="N247" s="10" t="b">
        <v>1</v>
      </c>
      <c r="O247" s="41" t="s">
        <v>44</v>
      </c>
      <c r="P247" s="45">
        <f t="shared" si="23"/>
        <v>612.84551999999996</v>
      </c>
      <c r="Q247" s="45">
        <f t="shared" si="24"/>
        <v>846.31047999999998</v>
      </c>
      <c r="R247" s="45">
        <v>150</v>
      </c>
      <c r="S247" s="45">
        <f t="shared" si="25"/>
        <v>145.91560000000001</v>
      </c>
      <c r="T247" s="45">
        <f t="shared" si="26"/>
        <v>1459.1559999999999</v>
      </c>
      <c r="U247" s="47">
        <f t="shared" si="27"/>
        <v>-908.76112000000001</v>
      </c>
    </row>
    <row r="248" spans="1:21" x14ac:dyDescent="0.3">
      <c r="A248" s="41" t="str">
        <f t="shared" si="21"/>
        <v>PFORDR</v>
      </c>
      <c r="B248" s="43">
        <v>45458</v>
      </c>
      <c r="C248" s="10" t="s">
        <v>289</v>
      </c>
      <c r="D248" s="10" t="s">
        <v>65</v>
      </c>
      <c r="E248" s="10" t="s">
        <v>30</v>
      </c>
      <c r="F248" s="10" t="s">
        <v>54</v>
      </c>
      <c r="G248" s="10" t="s">
        <v>49</v>
      </c>
      <c r="H248" s="10" t="s">
        <v>28</v>
      </c>
      <c r="I248" s="45">
        <v>2256</v>
      </c>
      <c r="J248" s="11">
        <v>0.50900000000000001</v>
      </c>
      <c r="K248" s="45">
        <f t="shared" si="22"/>
        <v>1107.6959999999999</v>
      </c>
      <c r="L248" s="10">
        <v>45</v>
      </c>
      <c r="M248" s="10"/>
      <c r="N248" s="10" t="b">
        <v>0</v>
      </c>
      <c r="O248" s="41"/>
      <c r="P248" s="45">
        <f t="shared" si="23"/>
        <v>465.23231999999996</v>
      </c>
      <c r="Q248" s="45">
        <f t="shared" si="24"/>
        <v>642.46367999999995</v>
      </c>
      <c r="R248" s="45">
        <v>0</v>
      </c>
      <c r="S248" s="45">
        <f t="shared" si="25"/>
        <v>0</v>
      </c>
      <c r="T248" s="45">
        <f t="shared" si="26"/>
        <v>0</v>
      </c>
      <c r="U248" s="47">
        <f t="shared" si="27"/>
        <v>642.46367999999995</v>
      </c>
    </row>
    <row r="249" spans="1:21" x14ac:dyDescent="0.3">
      <c r="A249" s="41" t="str">
        <f t="shared" si="21"/>
        <v>PBANBO</v>
      </c>
      <c r="B249" s="43">
        <v>45459</v>
      </c>
      <c r="C249" s="10" t="s">
        <v>290</v>
      </c>
      <c r="D249" s="10" t="s">
        <v>21</v>
      </c>
      <c r="E249" s="10" t="s">
        <v>26</v>
      </c>
      <c r="F249" s="10" t="s">
        <v>4</v>
      </c>
      <c r="G249" s="10" t="s">
        <v>49</v>
      </c>
      <c r="H249" s="10" t="s">
        <v>16</v>
      </c>
      <c r="I249" s="45">
        <v>2255</v>
      </c>
      <c r="J249" s="11">
        <v>0</v>
      </c>
      <c r="K249" s="45">
        <f t="shared" si="22"/>
        <v>2255</v>
      </c>
      <c r="L249" s="10">
        <v>20</v>
      </c>
      <c r="M249" s="10"/>
      <c r="N249" s="10" t="b">
        <v>0</v>
      </c>
      <c r="O249" s="41"/>
      <c r="P249" s="45">
        <f t="shared" si="23"/>
        <v>947.09999999999991</v>
      </c>
      <c r="Q249" s="45">
        <f t="shared" si="24"/>
        <v>1307.9000000000001</v>
      </c>
      <c r="R249" s="45">
        <v>0</v>
      </c>
      <c r="S249" s="45">
        <f t="shared" si="25"/>
        <v>0</v>
      </c>
      <c r="T249" s="45">
        <f t="shared" si="26"/>
        <v>0</v>
      </c>
      <c r="U249" s="47">
        <f t="shared" si="27"/>
        <v>1307.9000000000001</v>
      </c>
    </row>
    <row r="250" spans="1:21" x14ac:dyDescent="0.3">
      <c r="A250" s="41" t="str">
        <f t="shared" si="21"/>
        <v>PZAROU</v>
      </c>
      <c r="B250" s="43">
        <v>45459</v>
      </c>
      <c r="C250" s="10" t="s">
        <v>291</v>
      </c>
      <c r="D250" s="10" t="s">
        <v>3</v>
      </c>
      <c r="E250" s="10" t="s">
        <v>2</v>
      </c>
      <c r="F250" s="10" t="s">
        <v>23</v>
      </c>
      <c r="G250" s="10" t="s">
        <v>49</v>
      </c>
      <c r="H250" s="10" t="s">
        <v>35</v>
      </c>
      <c r="I250" s="45">
        <v>3694</v>
      </c>
      <c r="J250" s="11">
        <v>0</v>
      </c>
      <c r="K250" s="45">
        <f t="shared" si="22"/>
        <v>3694</v>
      </c>
      <c r="L250" s="10">
        <v>42</v>
      </c>
      <c r="M250" s="10">
        <v>3.6</v>
      </c>
      <c r="N250" s="10" t="b">
        <v>1</v>
      </c>
      <c r="O250" s="41" t="s">
        <v>33</v>
      </c>
      <c r="P250" s="45">
        <f t="shared" si="23"/>
        <v>1551.48</v>
      </c>
      <c r="Q250" s="45">
        <f t="shared" si="24"/>
        <v>2142.52</v>
      </c>
      <c r="R250" s="45">
        <v>150</v>
      </c>
      <c r="S250" s="45">
        <f t="shared" si="25"/>
        <v>369.40000000000003</v>
      </c>
      <c r="T250" s="45">
        <f t="shared" si="26"/>
        <v>3694</v>
      </c>
      <c r="U250" s="47">
        <f t="shared" si="27"/>
        <v>-2070.88</v>
      </c>
    </row>
    <row r="251" spans="1:21" x14ac:dyDescent="0.3">
      <c r="A251" s="41" t="str">
        <f t="shared" si="21"/>
        <v>PUNIOU</v>
      </c>
      <c r="B251" s="43">
        <v>45460</v>
      </c>
      <c r="C251" s="10" t="s">
        <v>292</v>
      </c>
      <c r="D251" s="10" t="s">
        <v>10</v>
      </c>
      <c r="E251" s="10" t="s">
        <v>2</v>
      </c>
      <c r="F251" s="10" t="s">
        <v>23</v>
      </c>
      <c r="G251" s="10" t="s">
        <v>46</v>
      </c>
      <c r="H251" s="10" t="s">
        <v>16</v>
      </c>
      <c r="I251" s="45">
        <v>3874</v>
      </c>
      <c r="J251" s="11">
        <v>0.14599999999999999</v>
      </c>
      <c r="K251" s="45">
        <f t="shared" si="22"/>
        <v>3308.3959999999997</v>
      </c>
      <c r="L251" s="10">
        <v>33</v>
      </c>
      <c r="M251" s="10"/>
      <c r="N251" s="10" t="b">
        <v>0</v>
      </c>
      <c r="O251" s="41"/>
      <c r="P251" s="45">
        <f t="shared" si="23"/>
        <v>1389.5263199999999</v>
      </c>
      <c r="Q251" s="45">
        <f t="shared" si="24"/>
        <v>1918.8696799999998</v>
      </c>
      <c r="R251" s="45">
        <v>0</v>
      </c>
      <c r="S251" s="45">
        <f t="shared" si="25"/>
        <v>0</v>
      </c>
      <c r="T251" s="45">
        <f t="shared" si="26"/>
        <v>0</v>
      </c>
      <c r="U251" s="47">
        <f t="shared" si="27"/>
        <v>1918.8696799999998</v>
      </c>
    </row>
    <row r="252" spans="1:21" x14ac:dyDescent="0.3">
      <c r="A252" s="41" t="str">
        <f t="shared" si="21"/>
        <v>PBANOU</v>
      </c>
      <c r="B252" s="43">
        <v>45460</v>
      </c>
      <c r="C252" s="10" t="s">
        <v>293</v>
      </c>
      <c r="D252" s="10" t="s">
        <v>21</v>
      </c>
      <c r="E252" s="10" t="s">
        <v>2</v>
      </c>
      <c r="F252" s="10" t="s">
        <v>4</v>
      </c>
      <c r="G252" s="10" t="s">
        <v>12</v>
      </c>
      <c r="H252" s="10" t="s">
        <v>56</v>
      </c>
      <c r="I252" s="45">
        <v>3495</v>
      </c>
      <c r="J252" s="11">
        <v>0.48799999999999999</v>
      </c>
      <c r="K252" s="45">
        <f t="shared" si="22"/>
        <v>1789.44</v>
      </c>
      <c r="L252" s="10">
        <v>36</v>
      </c>
      <c r="M252" s="10">
        <v>3</v>
      </c>
      <c r="N252" s="10" t="b">
        <v>0</v>
      </c>
      <c r="O252" s="41"/>
      <c r="P252" s="45">
        <f t="shared" si="23"/>
        <v>751.56479999999999</v>
      </c>
      <c r="Q252" s="45">
        <f t="shared" si="24"/>
        <v>1037.8751999999999</v>
      </c>
      <c r="R252" s="45">
        <v>0</v>
      </c>
      <c r="S252" s="45">
        <f t="shared" si="25"/>
        <v>0</v>
      </c>
      <c r="T252" s="45">
        <f t="shared" si="26"/>
        <v>0</v>
      </c>
      <c r="U252" s="47">
        <f t="shared" si="27"/>
        <v>1037.8751999999999</v>
      </c>
    </row>
    <row r="253" spans="1:21" x14ac:dyDescent="0.3">
      <c r="A253" s="41" t="str">
        <f t="shared" si="21"/>
        <v>PH&amp;MOU</v>
      </c>
      <c r="B253" s="43">
        <v>45460</v>
      </c>
      <c r="C253" s="10" t="s">
        <v>294</v>
      </c>
      <c r="D253" s="10" t="s">
        <v>37</v>
      </c>
      <c r="E253" s="10" t="s">
        <v>2</v>
      </c>
      <c r="F253" s="10" t="s">
        <v>23</v>
      </c>
      <c r="G253" s="10" t="s">
        <v>12</v>
      </c>
      <c r="H253" s="10" t="s">
        <v>16</v>
      </c>
      <c r="I253" s="45">
        <v>3453</v>
      </c>
      <c r="J253" s="11">
        <v>0</v>
      </c>
      <c r="K253" s="45">
        <f t="shared" si="22"/>
        <v>3453</v>
      </c>
      <c r="L253" s="10">
        <v>14</v>
      </c>
      <c r="M253" s="10">
        <v>1.6</v>
      </c>
      <c r="N253" s="10" t="b">
        <v>1</v>
      </c>
      <c r="O253" s="41" t="s">
        <v>44</v>
      </c>
      <c r="P253" s="45">
        <f t="shared" si="23"/>
        <v>1450.26</v>
      </c>
      <c r="Q253" s="45">
        <f t="shared" si="24"/>
        <v>2002.74</v>
      </c>
      <c r="R253" s="45">
        <v>150</v>
      </c>
      <c r="S253" s="45">
        <f t="shared" si="25"/>
        <v>345.3</v>
      </c>
      <c r="T253" s="45">
        <f t="shared" si="26"/>
        <v>3453</v>
      </c>
      <c r="U253" s="47">
        <f t="shared" si="27"/>
        <v>-1945.56</v>
      </c>
    </row>
    <row r="254" spans="1:21" x14ac:dyDescent="0.3">
      <c r="A254" s="41" t="str">
        <f t="shared" si="21"/>
        <v>PH&amp;MTO</v>
      </c>
      <c r="B254" s="43">
        <v>45461</v>
      </c>
      <c r="C254" s="10" t="s">
        <v>295</v>
      </c>
      <c r="D254" s="10" t="s">
        <v>37</v>
      </c>
      <c r="E254" s="10" t="s">
        <v>9</v>
      </c>
      <c r="F254" s="10" t="s">
        <v>23</v>
      </c>
      <c r="G254" s="10" t="s">
        <v>12</v>
      </c>
      <c r="H254" s="10" t="s">
        <v>43</v>
      </c>
      <c r="I254" s="45">
        <v>1277</v>
      </c>
      <c r="J254" s="11">
        <v>0</v>
      </c>
      <c r="K254" s="45">
        <f t="shared" si="22"/>
        <v>1277</v>
      </c>
      <c r="L254" s="10">
        <v>48</v>
      </c>
      <c r="M254" s="10">
        <v>2.4</v>
      </c>
      <c r="N254" s="10" t="b">
        <v>1</v>
      </c>
      <c r="O254" s="41" t="s">
        <v>19</v>
      </c>
      <c r="P254" s="45">
        <f t="shared" si="23"/>
        <v>536.34</v>
      </c>
      <c r="Q254" s="45">
        <f t="shared" si="24"/>
        <v>740.66</v>
      </c>
      <c r="R254" s="45">
        <v>150</v>
      </c>
      <c r="S254" s="45">
        <f t="shared" si="25"/>
        <v>127.7</v>
      </c>
      <c r="T254" s="45">
        <f t="shared" si="26"/>
        <v>1277</v>
      </c>
      <c r="U254" s="47">
        <f t="shared" si="27"/>
        <v>-814.04</v>
      </c>
    </row>
    <row r="255" spans="1:21" x14ac:dyDescent="0.3">
      <c r="A255" s="41" t="str">
        <f t="shared" si="21"/>
        <v>PH&amp;MSH</v>
      </c>
      <c r="B255" s="43">
        <v>45461</v>
      </c>
      <c r="C255" s="10" t="s">
        <v>296</v>
      </c>
      <c r="D255" s="10" t="s">
        <v>37</v>
      </c>
      <c r="E255" s="10" t="s">
        <v>18</v>
      </c>
      <c r="F255" s="10" t="s">
        <v>54</v>
      </c>
      <c r="G255" s="10" t="s">
        <v>5</v>
      </c>
      <c r="H255" s="10" t="s">
        <v>35</v>
      </c>
      <c r="I255" s="45">
        <v>3646</v>
      </c>
      <c r="J255" s="11">
        <v>0</v>
      </c>
      <c r="K255" s="45">
        <f t="shared" si="22"/>
        <v>3646</v>
      </c>
      <c r="L255" s="10">
        <v>29</v>
      </c>
      <c r="M255" s="10">
        <v>3.9</v>
      </c>
      <c r="N255" s="10" t="b">
        <v>1</v>
      </c>
      <c r="O255" s="41" t="s">
        <v>33</v>
      </c>
      <c r="P255" s="45">
        <f t="shared" si="23"/>
        <v>1531.32</v>
      </c>
      <c r="Q255" s="45">
        <f t="shared" si="24"/>
        <v>2114.6800000000003</v>
      </c>
      <c r="R255" s="45">
        <v>150</v>
      </c>
      <c r="S255" s="45">
        <f t="shared" si="25"/>
        <v>364.6</v>
      </c>
      <c r="T255" s="45">
        <f t="shared" si="26"/>
        <v>3646</v>
      </c>
      <c r="U255" s="47">
        <f t="shared" si="27"/>
        <v>-2045.9199999999996</v>
      </c>
    </row>
    <row r="256" spans="1:21" x14ac:dyDescent="0.3">
      <c r="A256" s="41" t="str">
        <f t="shared" si="21"/>
        <v>PZARBO</v>
      </c>
      <c r="B256" s="43">
        <v>45461</v>
      </c>
      <c r="C256" s="10" t="s">
        <v>297</v>
      </c>
      <c r="D256" s="10" t="s">
        <v>3</v>
      </c>
      <c r="E256" s="10" t="s">
        <v>26</v>
      </c>
      <c r="F256" s="10" t="s">
        <v>11</v>
      </c>
      <c r="G256" s="10" t="s">
        <v>27</v>
      </c>
      <c r="H256" s="10" t="s">
        <v>16</v>
      </c>
      <c r="I256" s="45">
        <v>2734</v>
      </c>
      <c r="J256" s="11">
        <v>0.17800000000000002</v>
      </c>
      <c r="K256" s="45">
        <f t="shared" si="22"/>
        <v>2247.348</v>
      </c>
      <c r="L256" s="10">
        <v>32</v>
      </c>
      <c r="M256" s="10">
        <v>1.7</v>
      </c>
      <c r="N256" s="10" t="b">
        <v>1</v>
      </c>
      <c r="O256" s="41" t="s">
        <v>33</v>
      </c>
      <c r="P256" s="45">
        <f t="shared" si="23"/>
        <v>943.8861599999999</v>
      </c>
      <c r="Q256" s="45">
        <f t="shared" si="24"/>
        <v>1303.4618399999999</v>
      </c>
      <c r="R256" s="45">
        <v>150</v>
      </c>
      <c r="S256" s="45">
        <f t="shared" si="25"/>
        <v>224.73480000000001</v>
      </c>
      <c r="T256" s="45">
        <f t="shared" si="26"/>
        <v>2247.348</v>
      </c>
      <c r="U256" s="47">
        <f t="shared" si="27"/>
        <v>-1318.62096</v>
      </c>
    </row>
    <row r="257" spans="1:21" x14ac:dyDescent="0.3">
      <c r="A257" s="41" t="str">
        <f t="shared" si="21"/>
        <v>PFORBO</v>
      </c>
      <c r="B257" s="43">
        <v>45461</v>
      </c>
      <c r="C257" s="10" t="s">
        <v>298</v>
      </c>
      <c r="D257" s="10" t="s">
        <v>65</v>
      </c>
      <c r="E257" s="10" t="s">
        <v>26</v>
      </c>
      <c r="F257" s="10" t="s">
        <v>23</v>
      </c>
      <c r="G257" s="10" t="s">
        <v>38</v>
      </c>
      <c r="H257" s="10" t="s">
        <v>16</v>
      </c>
      <c r="I257" s="45">
        <v>2947</v>
      </c>
      <c r="J257" s="11">
        <v>0</v>
      </c>
      <c r="K257" s="45">
        <f t="shared" si="22"/>
        <v>2947</v>
      </c>
      <c r="L257" s="10">
        <v>20</v>
      </c>
      <c r="M257" s="10">
        <v>3</v>
      </c>
      <c r="N257" s="10" t="b">
        <v>0</v>
      </c>
      <c r="O257" s="41"/>
      <c r="P257" s="45">
        <f t="shared" si="23"/>
        <v>1237.74</v>
      </c>
      <c r="Q257" s="45">
        <f t="shared" si="24"/>
        <v>1709.26</v>
      </c>
      <c r="R257" s="45">
        <v>0</v>
      </c>
      <c r="S257" s="45">
        <f t="shared" si="25"/>
        <v>0</v>
      </c>
      <c r="T257" s="45">
        <f t="shared" si="26"/>
        <v>0</v>
      </c>
      <c r="U257" s="47">
        <f t="shared" si="27"/>
        <v>1709.26</v>
      </c>
    </row>
    <row r="258" spans="1:21" x14ac:dyDescent="0.3">
      <c r="A258" s="41" t="str">
        <f t="shared" ref="A258:A321" si="28">UPPER("P"&amp;LEFT(D258,3)&amp;LEFT(E258,2))</f>
        <v>PANNAC</v>
      </c>
      <c r="B258" s="43">
        <v>45461</v>
      </c>
      <c r="C258" s="10" t="s">
        <v>299</v>
      </c>
      <c r="D258" s="10" t="s">
        <v>42</v>
      </c>
      <c r="E258" s="10" t="s">
        <v>15</v>
      </c>
      <c r="F258" s="10" t="s">
        <v>11</v>
      </c>
      <c r="G258" s="10" t="s">
        <v>7</v>
      </c>
      <c r="H258" s="10" t="s">
        <v>35</v>
      </c>
      <c r="I258" s="45">
        <v>322</v>
      </c>
      <c r="J258" s="11">
        <v>0</v>
      </c>
      <c r="K258" s="45">
        <f t="shared" si="22"/>
        <v>322</v>
      </c>
      <c r="L258" s="10">
        <v>26</v>
      </c>
      <c r="M258" s="10">
        <v>4</v>
      </c>
      <c r="N258" s="10" t="b">
        <v>0</v>
      </c>
      <c r="O258" s="41"/>
      <c r="P258" s="45">
        <f t="shared" si="23"/>
        <v>135.24</v>
      </c>
      <c r="Q258" s="45">
        <f t="shared" si="24"/>
        <v>186.76</v>
      </c>
      <c r="R258" s="45">
        <v>0</v>
      </c>
      <c r="S258" s="45">
        <f t="shared" si="25"/>
        <v>0</v>
      </c>
      <c r="T258" s="45">
        <f t="shared" si="26"/>
        <v>0</v>
      </c>
      <c r="U258" s="47">
        <f t="shared" si="27"/>
        <v>186.76</v>
      </c>
    </row>
    <row r="259" spans="1:21" x14ac:dyDescent="0.3">
      <c r="A259" s="41" t="str">
        <f t="shared" si="28"/>
        <v>PH&amp;MOU</v>
      </c>
      <c r="B259" s="43">
        <v>45462</v>
      </c>
      <c r="C259" s="10" t="s">
        <v>300</v>
      </c>
      <c r="D259" s="10" t="s">
        <v>37</v>
      </c>
      <c r="E259" s="10" t="s">
        <v>2</v>
      </c>
      <c r="F259" s="10" t="s">
        <v>4</v>
      </c>
      <c r="G259" s="10" t="s">
        <v>38</v>
      </c>
      <c r="H259" s="10" t="s">
        <v>47</v>
      </c>
      <c r="I259" s="45">
        <v>3754</v>
      </c>
      <c r="J259" s="11">
        <v>4.2999999999999997E-2</v>
      </c>
      <c r="K259" s="45">
        <f t="shared" ref="K259:K322" si="29">I259*(1-J259)</f>
        <v>3592.578</v>
      </c>
      <c r="L259" s="10">
        <v>25</v>
      </c>
      <c r="M259" s="10">
        <v>4.5999999999999996</v>
      </c>
      <c r="N259" s="10" t="b">
        <v>0</v>
      </c>
      <c r="O259" s="41"/>
      <c r="P259" s="45">
        <f t="shared" ref="P259:P322" si="30">K259*0.42</f>
        <v>1508.88276</v>
      </c>
      <c r="Q259" s="45">
        <f t="shared" ref="Q259:Q322" si="31">K259-P259</f>
        <v>2083.69524</v>
      </c>
      <c r="R259" s="45">
        <v>0</v>
      </c>
      <c r="S259" s="45">
        <f t="shared" ref="S259:S322" si="32">IF(N259=TRUE,K259*0.1,0)</f>
        <v>0</v>
      </c>
      <c r="T259" s="45">
        <f t="shared" ref="T259:T322" si="33">IF(N259=TRUE,K259,0)</f>
        <v>0</v>
      </c>
      <c r="U259" s="47">
        <f t="shared" ref="U259:U322" si="34">Q259-R259-S259-T259</f>
        <v>2083.69524</v>
      </c>
    </row>
    <row r="260" spans="1:21" x14ac:dyDescent="0.3">
      <c r="A260" s="41" t="str">
        <f t="shared" si="28"/>
        <v>PBANSH</v>
      </c>
      <c r="B260" s="43">
        <v>45462</v>
      </c>
      <c r="C260" s="10" t="s">
        <v>301</v>
      </c>
      <c r="D260" s="10" t="s">
        <v>21</v>
      </c>
      <c r="E260" s="10" t="s">
        <v>18</v>
      </c>
      <c r="F260" s="10" t="s">
        <v>4</v>
      </c>
      <c r="G260" s="10" t="s">
        <v>5</v>
      </c>
      <c r="H260" s="10" t="s">
        <v>47</v>
      </c>
      <c r="I260" s="45">
        <v>3883</v>
      </c>
      <c r="J260" s="11">
        <v>0</v>
      </c>
      <c r="K260" s="45">
        <f t="shared" si="29"/>
        <v>3883</v>
      </c>
      <c r="L260" s="10">
        <v>39</v>
      </c>
      <c r="M260" s="10"/>
      <c r="N260" s="10" t="b">
        <v>0</v>
      </c>
      <c r="O260" s="41"/>
      <c r="P260" s="45">
        <f t="shared" si="30"/>
        <v>1630.86</v>
      </c>
      <c r="Q260" s="45">
        <f t="shared" si="31"/>
        <v>2252.1400000000003</v>
      </c>
      <c r="R260" s="45">
        <v>0</v>
      </c>
      <c r="S260" s="45">
        <f t="shared" si="32"/>
        <v>0</v>
      </c>
      <c r="T260" s="45">
        <f t="shared" si="33"/>
        <v>0</v>
      </c>
      <c r="U260" s="47">
        <f t="shared" si="34"/>
        <v>2252.1400000000003</v>
      </c>
    </row>
    <row r="261" spans="1:21" x14ac:dyDescent="0.3">
      <c r="A261" s="41" t="str">
        <f t="shared" si="28"/>
        <v>PBANAC</v>
      </c>
      <c r="B261" s="43">
        <v>45462</v>
      </c>
      <c r="C261" s="10" t="s">
        <v>302</v>
      </c>
      <c r="D261" s="10" t="s">
        <v>21</v>
      </c>
      <c r="E261" s="10" t="s">
        <v>15</v>
      </c>
      <c r="F261" s="10" t="s">
        <v>11</v>
      </c>
      <c r="G261" s="10" t="s">
        <v>7</v>
      </c>
      <c r="H261" s="10" t="s">
        <v>47</v>
      </c>
      <c r="I261" s="45">
        <v>262</v>
      </c>
      <c r="J261" s="11">
        <v>0.44700000000000001</v>
      </c>
      <c r="K261" s="45">
        <f t="shared" si="29"/>
        <v>144.886</v>
      </c>
      <c r="L261" s="10">
        <v>44</v>
      </c>
      <c r="M261" s="10"/>
      <c r="N261" s="10" t="b">
        <v>0</v>
      </c>
      <c r="O261" s="41"/>
      <c r="P261" s="45">
        <f t="shared" si="30"/>
        <v>60.852119999999999</v>
      </c>
      <c r="Q261" s="45">
        <f t="shared" si="31"/>
        <v>84.033879999999996</v>
      </c>
      <c r="R261" s="45">
        <v>0</v>
      </c>
      <c r="S261" s="45">
        <f t="shared" si="32"/>
        <v>0</v>
      </c>
      <c r="T261" s="45">
        <f t="shared" si="33"/>
        <v>0</v>
      </c>
      <c r="U261" s="47">
        <f t="shared" si="34"/>
        <v>84.033879999999996</v>
      </c>
    </row>
    <row r="262" spans="1:21" x14ac:dyDescent="0.3">
      <c r="A262" s="41" t="str">
        <f t="shared" si="28"/>
        <v>PFOROU</v>
      </c>
      <c r="B262" s="43">
        <v>45463</v>
      </c>
      <c r="C262" s="10" t="s">
        <v>303</v>
      </c>
      <c r="D262" s="10" t="s">
        <v>65</v>
      </c>
      <c r="E262" s="10" t="s">
        <v>2</v>
      </c>
      <c r="F262" s="10" t="s">
        <v>54</v>
      </c>
      <c r="G262" s="10" t="s">
        <v>5</v>
      </c>
      <c r="H262" s="10" t="s">
        <v>56</v>
      </c>
      <c r="I262" s="45">
        <v>3150</v>
      </c>
      <c r="J262" s="11">
        <v>0</v>
      </c>
      <c r="K262" s="45">
        <f t="shared" si="29"/>
        <v>3150</v>
      </c>
      <c r="L262" s="10">
        <v>45</v>
      </c>
      <c r="M262" s="10">
        <v>1.9</v>
      </c>
      <c r="N262" s="10" t="b">
        <v>0</v>
      </c>
      <c r="O262" s="41"/>
      <c r="P262" s="45">
        <f t="shared" si="30"/>
        <v>1323</v>
      </c>
      <c r="Q262" s="45">
        <f t="shared" si="31"/>
        <v>1827</v>
      </c>
      <c r="R262" s="45">
        <v>0</v>
      </c>
      <c r="S262" s="45">
        <f t="shared" si="32"/>
        <v>0</v>
      </c>
      <c r="T262" s="45">
        <f t="shared" si="33"/>
        <v>0</v>
      </c>
      <c r="U262" s="47">
        <f t="shared" si="34"/>
        <v>1827</v>
      </c>
    </row>
    <row r="263" spans="1:21" x14ac:dyDescent="0.3">
      <c r="A263" s="41" t="str">
        <f t="shared" si="28"/>
        <v>PH&amp;MDR</v>
      </c>
      <c r="B263" s="43">
        <v>45463</v>
      </c>
      <c r="C263" s="10" t="s">
        <v>304</v>
      </c>
      <c r="D263" s="10" t="s">
        <v>37</v>
      </c>
      <c r="E263" s="10" t="s">
        <v>30</v>
      </c>
      <c r="F263" s="10" t="s">
        <v>54</v>
      </c>
      <c r="G263" s="10" t="s">
        <v>5</v>
      </c>
      <c r="H263" s="10" t="s">
        <v>32</v>
      </c>
      <c r="I263" s="45">
        <v>2022</v>
      </c>
      <c r="J263" s="11">
        <v>0</v>
      </c>
      <c r="K263" s="45">
        <f t="shared" si="29"/>
        <v>2022</v>
      </c>
      <c r="L263" s="10">
        <v>44</v>
      </c>
      <c r="M263" s="10">
        <v>1.6</v>
      </c>
      <c r="N263" s="10" t="b">
        <v>0</v>
      </c>
      <c r="O263" s="41"/>
      <c r="P263" s="45">
        <f t="shared" si="30"/>
        <v>849.24</v>
      </c>
      <c r="Q263" s="45">
        <f t="shared" si="31"/>
        <v>1172.76</v>
      </c>
      <c r="R263" s="45">
        <v>0</v>
      </c>
      <c r="S263" s="45">
        <f t="shared" si="32"/>
        <v>0</v>
      </c>
      <c r="T263" s="45">
        <f t="shared" si="33"/>
        <v>0</v>
      </c>
      <c r="U263" s="47">
        <f t="shared" si="34"/>
        <v>1172.76</v>
      </c>
    </row>
    <row r="264" spans="1:21" x14ac:dyDescent="0.3">
      <c r="A264" s="41" t="str">
        <f t="shared" si="28"/>
        <v>PBANOU</v>
      </c>
      <c r="B264" s="43">
        <v>45463</v>
      </c>
      <c r="C264" s="10" t="s">
        <v>305</v>
      </c>
      <c r="D264" s="10" t="s">
        <v>21</v>
      </c>
      <c r="E264" s="10" t="s">
        <v>2</v>
      </c>
      <c r="F264" s="10" t="s">
        <v>4</v>
      </c>
      <c r="G264" s="10" t="s">
        <v>7</v>
      </c>
      <c r="H264" s="10" t="s">
        <v>88</v>
      </c>
      <c r="I264" s="45">
        <v>3331</v>
      </c>
      <c r="J264" s="11">
        <v>9.1999999999999998E-2</v>
      </c>
      <c r="K264" s="45">
        <f t="shared" si="29"/>
        <v>3024.5480000000002</v>
      </c>
      <c r="L264" s="10">
        <v>23</v>
      </c>
      <c r="M264" s="10">
        <v>4.8</v>
      </c>
      <c r="N264" s="10" t="b">
        <v>0</v>
      </c>
      <c r="O264" s="41"/>
      <c r="P264" s="45">
        <f t="shared" si="30"/>
        <v>1270.31016</v>
      </c>
      <c r="Q264" s="45">
        <f t="shared" si="31"/>
        <v>1754.2378400000002</v>
      </c>
      <c r="R264" s="45">
        <v>0</v>
      </c>
      <c r="S264" s="45">
        <f t="shared" si="32"/>
        <v>0</v>
      </c>
      <c r="T264" s="45">
        <f t="shared" si="33"/>
        <v>0</v>
      </c>
      <c r="U264" s="47">
        <f t="shared" si="34"/>
        <v>1754.2378400000002</v>
      </c>
    </row>
    <row r="265" spans="1:21" x14ac:dyDescent="0.3">
      <c r="A265" s="41" t="str">
        <f t="shared" si="28"/>
        <v>PFORDR</v>
      </c>
      <c r="B265" s="43">
        <v>45464</v>
      </c>
      <c r="C265" s="10" t="s">
        <v>306</v>
      </c>
      <c r="D265" s="10" t="s">
        <v>65</v>
      </c>
      <c r="E265" s="10" t="s">
        <v>30</v>
      </c>
      <c r="F265" s="10" t="s">
        <v>54</v>
      </c>
      <c r="G265" s="10" t="s">
        <v>27</v>
      </c>
      <c r="H265" s="10" t="s">
        <v>13</v>
      </c>
      <c r="I265" s="45">
        <v>1834</v>
      </c>
      <c r="J265" s="11">
        <v>0</v>
      </c>
      <c r="K265" s="45">
        <f t="shared" si="29"/>
        <v>1834</v>
      </c>
      <c r="L265" s="10">
        <v>23</v>
      </c>
      <c r="M265" s="10">
        <v>2</v>
      </c>
      <c r="N265" s="10" t="b">
        <v>0</v>
      </c>
      <c r="O265" s="41"/>
      <c r="P265" s="45">
        <f t="shared" si="30"/>
        <v>770.28</v>
      </c>
      <c r="Q265" s="45">
        <f t="shared" si="31"/>
        <v>1063.72</v>
      </c>
      <c r="R265" s="45">
        <v>0</v>
      </c>
      <c r="S265" s="45">
        <f t="shared" si="32"/>
        <v>0</v>
      </c>
      <c r="T265" s="45">
        <f t="shared" si="33"/>
        <v>0</v>
      </c>
      <c r="U265" s="47">
        <f t="shared" si="34"/>
        <v>1063.72</v>
      </c>
    </row>
    <row r="266" spans="1:21" x14ac:dyDescent="0.3">
      <c r="A266" s="41" t="str">
        <f t="shared" si="28"/>
        <v>PZARBO</v>
      </c>
      <c r="B266" s="43">
        <v>45464</v>
      </c>
      <c r="C266" s="10" t="s">
        <v>307</v>
      </c>
      <c r="D266" s="10" t="s">
        <v>3</v>
      </c>
      <c r="E266" s="10" t="s">
        <v>26</v>
      </c>
      <c r="F266" s="10" t="s">
        <v>23</v>
      </c>
      <c r="G266" s="10" t="s">
        <v>38</v>
      </c>
      <c r="H266" s="10" t="s">
        <v>32</v>
      </c>
      <c r="I266" s="45">
        <v>2795</v>
      </c>
      <c r="J266" s="11">
        <v>0</v>
      </c>
      <c r="K266" s="45">
        <f t="shared" si="29"/>
        <v>2795</v>
      </c>
      <c r="L266" s="10">
        <v>8</v>
      </c>
      <c r="M266" s="10">
        <v>2.2999999999999998</v>
      </c>
      <c r="N266" s="10" t="b">
        <v>0</v>
      </c>
      <c r="O266" s="41"/>
      <c r="P266" s="45">
        <f t="shared" si="30"/>
        <v>1173.8999999999999</v>
      </c>
      <c r="Q266" s="45">
        <f t="shared" si="31"/>
        <v>1621.1000000000001</v>
      </c>
      <c r="R266" s="45">
        <v>0</v>
      </c>
      <c r="S266" s="45">
        <f t="shared" si="32"/>
        <v>0</v>
      </c>
      <c r="T266" s="45">
        <f t="shared" si="33"/>
        <v>0</v>
      </c>
      <c r="U266" s="47">
        <f t="shared" si="34"/>
        <v>1621.1000000000001</v>
      </c>
    </row>
    <row r="267" spans="1:21" x14ac:dyDescent="0.3">
      <c r="A267" s="41" t="str">
        <f t="shared" si="28"/>
        <v>PBANAC</v>
      </c>
      <c r="B267" s="43">
        <v>45464</v>
      </c>
      <c r="C267" s="10" t="s">
        <v>308</v>
      </c>
      <c r="D267" s="10" t="s">
        <v>21</v>
      </c>
      <c r="E267" s="10" t="s">
        <v>15</v>
      </c>
      <c r="F267" s="10" t="s">
        <v>54</v>
      </c>
      <c r="G267" s="10" t="s">
        <v>7</v>
      </c>
      <c r="H267" s="10" t="s">
        <v>28</v>
      </c>
      <c r="I267" s="45">
        <v>216</v>
      </c>
      <c r="J267" s="11">
        <v>0</v>
      </c>
      <c r="K267" s="45">
        <f t="shared" si="29"/>
        <v>216</v>
      </c>
      <c r="L267" s="10">
        <v>22</v>
      </c>
      <c r="M267" s="10">
        <v>4.5999999999999996</v>
      </c>
      <c r="N267" s="10" t="b">
        <v>1</v>
      </c>
      <c r="O267" s="41" t="s">
        <v>309</v>
      </c>
      <c r="P267" s="45">
        <f t="shared" si="30"/>
        <v>90.72</v>
      </c>
      <c r="Q267" s="45">
        <f t="shared" si="31"/>
        <v>125.28</v>
      </c>
      <c r="R267" s="45">
        <v>150</v>
      </c>
      <c r="S267" s="45">
        <f t="shared" si="32"/>
        <v>21.6</v>
      </c>
      <c r="T267" s="45">
        <f t="shared" si="33"/>
        <v>216</v>
      </c>
      <c r="U267" s="47">
        <f t="shared" si="34"/>
        <v>-262.32</v>
      </c>
    </row>
    <row r="268" spans="1:21" x14ac:dyDescent="0.3">
      <c r="A268" s="41" t="str">
        <f t="shared" si="28"/>
        <v>PZARDR</v>
      </c>
      <c r="B268" s="43">
        <v>45464</v>
      </c>
      <c r="C268" s="10" t="s">
        <v>310</v>
      </c>
      <c r="D268" s="10" t="s">
        <v>3</v>
      </c>
      <c r="E268" s="10" t="s">
        <v>30</v>
      </c>
      <c r="F268" s="10" t="s">
        <v>11</v>
      </c>
      <c r="G268" s="10" t="s">
        <v>46</v>
      </c>
      <c r="H268" s="10" t="s">
        <v>32</v>
      </c>
      <c r="I268" s="45">
        <v>2131</v>
      </c>
      <c r="J268" s="11">
        <v>0</v>
      </c>
      <c r="K268" s="45">
        <f t="shared" si="29"/>
        <v>2131</v>
      </c>
      <c r="L268" s="10">
        <v>9</v>
      </c>
      <c r="M268" s="10"/>
      <c r="N268" s="10" t="b">
        <v>0</v>
      </c>
      <c r="O268" s="41"/>
      <c r="P268" s="45">
        <f t="shared" si="30"/>
        <v>895.02</v>
      </c>
      <c r="Q268" s="45">
        <f t="shared" si="31"/>
        <v>1235.98</v>
      </c>
      <c r="R268" s="45">
        <v>0</v>
      </c>
      <c r="S268" s="45">
        <f t="shared" si="32"/>
        <v>0</v>
      </c>
      <c r="T268" s="45">
        <f t="shared" si="33"/>
        <v>0</v>
      </c>
      <c r="U268" s="47">
        <f t="shared" si="34"/>
        <v>1235.98</v>
      </c>
    </row>
    <row r="269" spans="1:21" x14ac:dyDescent="0.3">
      <c r="A269" s="41" t="str">
        <f t="shared" si="28"/>
        <v>PANNTO</v>
      </c>
      <c r="B269" s="43">
        <v>45465</v>
      </c>
      <c r="C269" s="10" t="s">
        <v>311</v>
      </c>
      <c r="D269" s="10" t="s">
        <v>42</v>
      </c>
      <c r="E269" s="10" t="s">
        <v>9</v>
      </c>
      <c r="F269" s="10" t="s">
        <v>23</v>
      </c>
      <c r="G269" s="10" t="s">
        <v>27</v>
      </c>
      <c r="H269" s="10" t="s">
        <v>43</v>
      </c>
      <c r="I269" s="45">
        <v>1093</v>
      </c>
      <c r="J269" s="11">
        <v>0</v>
      </c>
      <c r="K269" s="45">
        <f t="shared" si="29"/>
        <v>1093</v>
      </c>
      <c r="L269" s="10">
        <v>33</v>
      </c>
      <c r="M269" s="10">
        <v>4.2</v>
      </c>
      <c r="N269" s="10" t="b">
        <v>1</v>
      </c>
      <c r="O269" s="41" t="s">
        <v>50</v>
      </c>
      <c r="P269" s="45">
        <f t="shared" si="30"/>
        <v>459.06</v>
      </c>
      <c r="Q269" s="45">
        <f t="shared" si="31"/>
        <v>633.94000000000005</v>
      </c>
      <c r="R269" s="45">
        <v>150</v>
      </c>
      <c r="S269" s="45">
        <f t="shared" si="32"/>
        <v>109.30000000000001</v>
      </c>
      <c r="T269" s="45">
        <f t="shared" si="33"/>
        <v>1093</v>
      </c>
      <c r="U269" s="47">
        <f t="shared" si="34"/>
        <v>-718.3599999999999</v>
      </c>
    </row>
    <row r="270" spans="1:21" x14ac:dyDescent="0.3">
      <c r="A270" s="41" t="str">
        <f t="shared" si="28"/>
        <v>PMANAC</v>
      </c>
      <c r="B270" s="43">
        <v>45465</v>
      </c>
      <c r="C270" s="10" t="s">
        <v>312</v>
      </c>
      <c r="D270" s="10" t="s">
        <v>31</v>
      </c>
      <c r="E270" s="10" t="s">
        <v>15</v>
      </c>
      <c r="F270" s="10" t="s">
        <v>4</v>
      </c>
      <c r="G270" s="10" t="s">
        <v>7</v>
      </c>
      <c r="H270" s="10" t="s">
        <v>35</v>
      </c>
      <c r="I270" s="45">
        <v>379</v>
      </c>
      <c r="J270" s="11">
        <v>4.0000000000000001E-3</v>
      </c>
      <c r="K270" s="45">
        <f t="shared" si="29"/>
        <v>377.48399999999998</v>
      </c>
      <c r="L270" s="10">
        <v>38</v>
      </c>
      <c r="M270" s="10">
        <v>3</v>
      </c>
      <c r="N270" s="10" t="b">
        <v>0</v>
      </c>
      <c r="O270" s="41"/>
      <c r="P270" s="45">
        <f t="shared" si="30"/>
        <v>158.54327999999998</v>
      </c>
      <c r="Q270" s="45">
        <f t="shared" si="31"/>
        <v>218.94072</v>
      </c>
      <c r="R270" s="45">
        <v>0</v>
      </c>
      <c r="S270" s="45">
        <f t="shared" si="32"/>
        <v>0</v>
      </c>
      <c r="T270" s="45">
        <f t="shared" si="33"/>
        <v>0</v>
      </c>
      <c r="U270" s="47">
        <f t="shared" si="34"/>
        <v>218.94072</v>
      </c>
    </row>
    <row r="271" spans="1:21" x14ac:dyDescent="0.3">
      <c r="A271" s="41" t="str">
        <f t="shared" si="28"/>
        <v>PH&amp;MBO</v>
      </c>
      <c r="B271" s="43">
        <v>45465</v>
      </c>
      <c r="C271" s="10" t="s">
        <v>313</v>
      </c>
      <c r="D271" s="10" t="s">
        <v>37</v>
      </c>
      <c r="E271" s="10" t="s">
        <v>26</v>
      </c>
      <c r="F271" s="10" t="s">
        <v>11</v>
      </c>
      <c r="G271" s="10" t="s">
        <v>27</v>
      </c>
      <c r="H271" s="10" t="s">
        <v>47</v>
      </c>
      <c r="I271" s="45">
        <v>2699</v>
      </c>
      <c r="J271" s="11">
        <v>0</v>
      </c>
      <c r="K271" s="45">
        <f t="shared" si="29"/>
        <v>2699</v>
      </c>
      <c r="L271" s="10">
        <v>0</v>
      </c>
      <c r="M271" s="10">
        <v>3</v>
      </c>
      <c r="N271" s="10" t="b">
        <v>0</v>
      </c>
      <c r="O271" s="41"/>
      <c r="P271" s="45">
        <f t="shared" si="30"/>
        <v>1133.58</v>
      </c>
      <c r="Q271" s="45">
        <f t="shared" si="31"/>
        <v>1565.42</v>
      </c>
      <c r="R271" s="45">
        <v>0</v>
      </c>
      <c r="S271" s="45">
        <f t="shared" si="32"/>
        <v>0</v>
      </c>
      <c r="T271" s="45">
        <f t="shared" si="33"/>
        <v>0</v>
      </c>
      <c r="U271" s="47">
        <f t="shared" si="34"/>
        <v>1565.42</v>
      </c>
    </row>
    <row r="272" spans="1:21" x14ac:dyDescent="0.3">
      <c r="A272" s="41" t="str">
        <f t="shared" si="28"/>
        <v>PFORDR</v>
      </c>
      <c r="B272" s="43">
        <v>45465</v>
      </c>
      <c r="C272" s="10" t="s">
        <v>314</v>
      </c>
      <c r="D272" s="10" t="s">
        <v>65</v>
      </c>
      <c r="E272" s="10" t="s">
        <v>30</v>
      </c>
      <c r="F272" s="10" t="s">
        <v>54</v>
      </c>
      <c r="G272" s="10" t="s">
        <v>7</v>
      </c>
      <c r="H272" s="10" t="s">
        <v>56</v>
      </c>
      <c r="I272" s="45">
        <v>1972</v>
      </c>
      <c r="J272" s="11">
        <v>0</v>
      </c>
      <c r="K272" s="45">
        <f t="shared" si="29"/>
        <v>1972</v>
      </c>
      <c r="L272" s="10">
        <v>15</v>
      </c>
      <c r="M272" s="10">
        <v>1.4</v>
      </c>
      <c r="N272" s="10" t="b">
        <v>1</v>
      </c>
      <c r="O272" s="41" t="s">
        <v>44</v>
      </c>
      <c r="P272" s="45">
        <f t="shared" si="30"/>
        <v>828.24</v>
      </c>
      <c r="Q272" s="45">
        <f t="shared" si="31"/>
        <v>1143.76</v>
      </c>
      <c r="R272" s="45">
        <v>150</v>
      </c>
      <c r="S272" s="45">
        <f t="shared" si="32"/>
        <v>197.20000000000002</v>
      </c>
      <c r="T272" s="45">
        <f t="shared" si="33"/>
        <v>1972</v>
      </c>
      <c r="U272" s="47">
        <f t="shared" si="34"/>
        <v>-1175.44</v>
      </c>
    </row>
    <row r="273" spans="1:21" x14ac:dyDescent="0.3">
      <c r="A273" s="41" t="str">
        <f t="shared" si="28"/>
        <v>PMANBO</v>
      </c>
      <c r="B273" s="43">
        <v>45466</v>
      </c>
      <c r="C273" s="10" t="s">
        <v>315</v>
      </c>
      <c r="D273" s="10" t="s">
        <v>31</v>
      </c>
      <c r="E273" s="10" t="s">
        <v>26</v>
      </c>
      <c r="F273" s="10" t="s">
        <v>54</v>
      </c>
      <c r="G273" s="10" t="s">
        <v>38</v>
      </c>
      <c r="H273" s="10" t="s">
        <v>43</v>
      </c>
      <c r="I273" s="45">
        <v>2127</v>
      </c>
      <c r="J273" s="11">
        <v>0</v>
      </c>
      <c r="K273" s="45">
        <f t="shared" si="29"/>
        <v>2127</v>
      </c>
      <c r="L273" s="10">
        <v>46</v>
      </c>
      <c r="M273" s="10">
        <v>3</v>
      </c>
      <c r="N273" s="10" t="b">
        <v>0</v>
      </c>
      <c r="O273" s="41"/>
      <c r="P273" s="45">
        <f t="shared" si="30"/>
        <v>893.33999999999992</v>
      </c>
      <c r="Q273" s="45">
        <f t="shared" si="31"/>
        <v>1233.6600000000001</v>
      </c>
      <c r="R273" s="45">
        <v>0</v>
      </c>
      <c r="S273" s="45">
        <f t="shared" si="32"/>
        <v>0</v>
      </c>
      <c r="T273" s="45">
        <f t="shared" si="33"/>
        <v>0</v>
      </c>
      <c r="U273" s="47">
        <f t="shared" si="34"/>
        <v>1233.6600000000001</v>
      </c>
    </row>
    <row r="274" spans="1:21" x14ac:dyDescent="0.3">
      <c r="A274" s="41" t="str">
        <f t="shared" si="28"/>
        <v>PANNDR</v>
      </c>
      <c r="B274" s="43">
        <v>45466</v>
      </c>
      <c r="C274" s="10" t="s">
        <v>316</v>
      </c>
      <c r="D274" s="10" t="s">
        <v>42</v>
      </c>
      <c r="E274" s="10" t="s">
        <v>30</v>
      </c>
      <c r="F274" s="10" t="s">
        <v>23</v>
      </c>
      <c r="G274" s="10" t="s">
        <v>49</v>
      </c>
      <c r="H274" s="10" t="s">
        <v>16</v>
      </c>
      <c r="I274" s="45">
        <v>2301</v>
      </c>
      <c r="J274" s="11">
        <v>0</v>
      </c>
      <c r="K274" s="45">
        <f t="shared" si="29"/>
        <v>2301</v>
      </c>
      <c r="L274" s="10">
        <v>35</v>
      </c>
      <c r="M274" s="10">
        <v>1.9</v>
      </c>
      <c r="N274" s="10" t="b">
        <v>0</v>
      </c>
      <c r="O274" s="41"/>
      <c r="P274" s="45">
        <f t="shared" si="30"/>
        <v>966.42</v>
      </c>
      <c r="Q274" s="45">
        <f t="shared" si="31"/>
        <v>1334.58</v>
      </c>
      <c r="R274" s="45">
        <v>0</v>
      </c>
      <c r="S274" s="45">
        <f t="shared" si="32"/>
        <v>0</v>
      </c>
      <c r="T274" s="45">
        <f t="shared" si="33"/>
        <v>0</v>
      </c>
      <c r="U274" s="47">
        <f t="shared" si="34"/>
        <v>1334.58</v>
      </c>
    </row>
    <row r="275" spans="1:21" x14ac:dyDescent="0.3">
      <c r="A275" s="41" t="str">
        <f t="shared" si="28"/>
        <v>PGAPTO</v>
      </c>
      <c r="B275" s="43">
        <v>45466</v>
      </c>
      <c r="C275" s="10" t="s">
        <v>317</v>
      </c>
      <c r="D275" s="10" t="s">
        <v>53</v>
      </c>
      <c r="E275" s="10" t="s">
        <v>9</v>
      </c>
      <c r="F275" s="10" t="s">
        <v>11</v>
      </c>
      <c r="G275" s="10" t="s">
        <v>38</v>
      </c>
      <c r="H275" s="10" t="s">
        <v>88</v>
      </c>
      <c r="I275" s="45">
        <v>1521</v>
      </c>
      <c r="J275" s="11">
        <v>0</v>
      </c>
      <c r="K275" s="45">
        <f t="shared" si="29"/>
        <v>1521</v>
      </c>
      <c r="L275" s="10">
        <v>0</v>
      </c>
      <c r="M275" s="10"/>
      <c r="N275" s="10" t="b">
        <v>1</v>
      </c>
      <c r="O275" s="41" t="s">
        <v>50</v>
      </c>
      <c r="P275" s="45">
        <f t="shared" si="30"/>
        <v>638.81999999999994</v>
      </c>
      <c r="Q275" s="45">
        <f t="shared" si="31"/>
        <v>882.18000000000006</v>
      </c>
      <c r="R275" s="45">
        <v>150</v>
      </c>
      <c r="S275" s="45">
        <f t="shared" si="32"/>
        <v>152.1</v>
      </c>
      <c r="T275" s="45">
        <f t="shared" si="33"/>
        <v>1521</v>
      </c>
      <c r="U275" s="47">
        <f t="shared" si="34"/>
        <v>-940.92</v>
      </c>
    </row>
    <row r="276" spans="1:21" x14ac:dyDescent="0.3">
      <c r="A276" s="41" t="str">
        <f t="shared" si="28"/>
        <v>PUNIOU</v>
      </c>
      <c r="B276" s="43">
        <v>45467</v>
      </c>
      <c r="C276" s="10" t="s">
        <v>318</v>
      </c>
      <c r="D276" s="10" t="s">
        <v>10</v>
      </c>
      <c r="E276" s="10" t="s">
        <v>2</v>
      </c>
      <c r="F276" s="10" t="s">
        <v>54</v>
      </c>
      <c r="G276" s="10" t="s">
        <v>5</v>
      </c>
      <c r="H276" s="10" t="s">
        <v>7</v>
      </c>
      <c r="I276" s="45">
        <v>3080</v>
      </c>
      <c r="J276" s="11">
        <v>0</v>
      </c>
      <c r="K276" s="45">
        <f t="shared" si="29"/>
        <v>3080</v>
      </c>
      <c r="L276" s="10">
        <v>8</v>
      </c>
      <c r="M276" s="10">
        <v>4.4000000000000004</v>
      </c>
      <c r="N276" s="10" t="b">
        <v>0</v>
      </c>
      <c r="O276" s="41"/>
      <c r="P276" s="45">
        <f t="shared" si="30"/>
        <v>1293.5999999999999</v>
      </c>
      <c r="Q276" s="45">
        <f t="shared" si="31"/>
        <v>1786.4</v>
      </c>
      <c r="R276" s="45">
        <v>0</v>
      </c>
      <c r="S276" s="45">
        <f t="shared" si="32"/>
        <v>0</v>
      </c>
      <c r="T276" s="45">
        <f t="shared" si="33"/>
        <v>0</v>
      </c>
      <c r="U276" s="47">
        <f t="shared" si="34"/>
        <v>1786.4</v>
      </c>
    </row>
    <row r="277" spans="1:21" x14ac:dyDescent="0.3">
      <c r="A277" s="41" t="str">
        <f t="shared" si="28"/>
        <v>PH&amp;MBO</v>
      </c>
      <c r="B277" s="43">
        <v>45467</v>
      </c>
      <c r="C277" s="10" t="s">
        <v>319</v>
      </c>
      <c r="D277" s="10" t="s">
        <v>37</v>
      </c>
      <c r="E277" s="10" t="s">
        <v>26</v>
      </c>
      <c r="F277" s="10" t="s">
        <v>54</v>
      </c>
      <c r="G277" s="10" t="s">
        <v>12</v>
      </c>
      <c r="H277" s="10" t="s">
        <v>56</v>
      </c>
      <c r="I277" s="45">
        <v>2600</v>
      </c>
      <c r="J277" s="11">
        <v>0.371</v>
      </c>
      <c r="K277" s="45">
        <f t="shared" si="29"/>
        <v>1635.4</v>
      </c>
      <c r="L277" s="10">
        <v>6</v>
      </c>
      <c r="M277" s="10">
        <v>4.0999999999999996</v>
      </c>
      <c r="N277" s="10" t="b">
        <v>1</v>
      </c>
      <c r="O277" s="41" t="s">
        <v>50</v>
      </c>
      <c r="P277" s="45">
        <f t="shared" si="30"/>
        <v>686.86800000000005</v>
      </c>
      <c r="Q277" s="45">
        <f t="shared" si="31"/>
        <v>948.53200000000004</v>
      </c>
      <c r="R277" s="45">
        <v>150</v>
      </c>
      <c r="S277" s="45">
        <f t="shared" si="32"/>
        <v>163.54000000000002</v>
      </c>
      <c r="T277" s="45">
        <f t="shared" si="33"/>
        <v>1635.4</v>
      </c>
      <c r="U277" s="47">
        <f t="shared" si="34"/>
        <v>-1000.4080000000001</v>
      </c>
    </row>
    <row r="278" spans="1:21" x14ac:dyDescent="0.3">
      <c r="A278" s="41" t="str">
        <f t="shared" si="28"/>
        <v>PUNISH</v>
      </c>
      <c r="B278" s="43">
        <v>45467</v>
      </c>
      <c r="C278" s="10" t="s">
        <v>320</v>
      </c>
      <c r="D278" s="10" t="s">
        <v>10</v>
      </c>
      <c r="E278" s="10" t="s">
        <v>18</v>
      </c>
      <c r="F278" s="10" t="s">
        <v>54</v>
      </c>
      <c r="G278" s="10" t="s">
        <v>46</v>
      </c>
      <c r="H278" s="10" t="s">
        <v>16</v>
      </c>
      <c r="I278" s="45">
        <v>3639</v>
      </c>
      <c r="J278" s="11">
        <v>0</v>
      </c>
      <c r="K278" s="45">
        <f t="shared" si="29"/>
        <v>3639</v>
      </c>
      <c r="L278" s="10">
        <v>45</v>
      </c>
      <c r="M278" s="10">
        <v>4</v>
      </c>
      <c r="N278" s="10" t="b">
        <v>1</v>
      </c>
      <c r="O278" s="41" t="s">
        <v>44</v>
      </c>
      <c r="P278" s="45">
        <f t="shared" si="30"/>
        <v>1528.3799999999999</v>
      </c>
      <c r="Q278" s="45">
        <f t="shared" si="31"/>
        <v>2110.62</v>
      </c>
      <c r="R278" s="45">
        <v>150</v>
      </c>
      <c r="S278" s="45">
        <f t="shared" si="32"/>
        <v>363.90000000000003</v>
      </c>
      <c r="T278" s="45">
        <f t="shared" si="33"/>
        <v>3639</v>
      </c>
      <c r="U278" s="47">
        <f t="shared" si="34"/>
        <v>-2042.2800000000002</v>
      </c>
    </row>
    <row r="279" spans="1:21" x14ac:dyDescent="0.3">
      <c r="A279" s="41" t="str">
        <f t="shared" si="28"/>
        <v>PZARDR</v>
      </c>
      <c r="B279" s="43">
        <v>45468</v>
      </c>
      <c r="C279" s="10" t="s">
        <v>321</v>
      </c>
      <c r="D279" s="10" t="s">
        <v>3</v>
      </c>
      <c r="E279" s="10" t="s">
        <v>30</v>
      </c>
      <c r="F279" s="10" t="s">
        <v>11</v>
      </c>
      <c r="G279" s="10" t="s">
        <v>7</v>
      </c>
      <c r="H279" s="10" t="s">
        <v>32</v>
      </c>
      <c r="I279" s="45">
        <v>2369</v>
      </c>
      <c r="J279" s="11">
        <v>0</v>
      </c>
      <c r="K279" s="45">
        <f t="shared" si="29"/>
        <v>2369</v>
      </c>
      <c r="L279" s="10">
        <v>50</v>
      </c>
      <c r="M279" s="10">
        <v>4.3</v>
      </c>
      <c r="N279" s="10" t="b">
        <v>0</v>
      </c>
      <c r="O279" s="41"/>
      <c r="P279" s="45">
        <f t="shared" si="30"/>
        <v>994.98</v>
      </c>
      <c r="Q279" s="45">
        <f t="shared" si="31"/>
        <v>1374.02</v>
      </c>
      <c r="R279" s="45">
        <v>0</v>
      </c>
      <c r="S279" s="45">
        <f t="shared" si="32"/>
        <v>0</v>
      </c>
      <c r="T279" s="45">
        <f t="shared" si="33"/>
        <v>0</v>
      </c>
      <c r="U279" s="47">
        <f t="shared" si="34"/>
        <v>1374.02</v>
      </c>
    </row>
    <row r="280" spans="1:21" x14ac:dyDescent="0.3">
      <c r="A280" s="41" t="str">
        <f t="shared" si="28"/>
        <v>PMANOU</v>
      </c>
      <c r="B280" s="43">
        <v>45468</v>
      </c>
      <c r="C280" s="10" t="s">
        <v>322</v>
      </c>
      <c r="D280" s="10" t="s">
        <v>31</v>
      </c>
      <c r="E280" s="10" t="s">
        <v>2</v>
      </c>
      <c r="F280" s="10" t="s">
        <v>4</v>
      </c>
      <c r="G280" s="10" t="s">
        <v>38</v>
      </c>
      <c r="H280" s="10" t="s">
        <v>28</v>
      </c>
      <c r="I280" s="45">
        <v>3153</v>
      </c>
      <c r="J280" s="11">
        <v>0.10199999999999999</v>
      </c>
      <c r="K280" s="45">
        <f t="shared" si="29"/>
        <v>2831.3940000000002</v>
      </c>
      <c r="L280" s="10">
        <v>42</v>
      </c>
      <c r="M280" s="10"/>
      <c r="N280" s="10" t="b">
        <v>0</v>
      </c>
      <c r="O280" s="41"/>
      <c r="P280" s="45">
        <f t="shared" si="30"/>
        <v>1189.1854800000001</v>
      </c>
      <c r="Q280" s="45">
        <f t="shared" si="31"/>
        <v>1642.2085200000001</v>
      </c>
      <c r="R280" s="45">
        <v>0</v>
      </c>
      <c r="S280" s="45">
        <f t="shared" si="32"/>
        <v>0</v>
      </c>
      <c r="T280" s="45">
        <f t="shared" si="33"/>
        <v>0</v>
      </c>
      <c r="U280" s="47">
        <f t="shared" si="34"/>
        <v>1642.2085200000001</v>
      </c>
    </row>
    <row r="281" spans="1:21" x14ac:dyDescent="0.3">
      <c r="A281" s="41" t="str">
        <f t="shared" si="28"/>
        <v>PUNIAC</v>
      </c>
      <c r="B281" s="43">
        <v>45468</v>
      </c>
      <c r="C281" s="10" t="s">
        <v>323</v>
      </c>
      <c r="D281" s="10" t="s">
        <v>10</v>
      </c>
      <c r="E281" s="10" t="s">
        <v>15</v>
      </c>
      <c r="F281" s="10" t="s">
        <v>11</v>
      </c>
      <c r="G281" s="10" t="s">
        <v>7</v>
      </c>
      <c r="H281" s="10" t="s">
        <v>43</v>
      </c>
      <c r="I281" s="45">
        <v>461</v>
      </c>
      <c r="J281" s="11">
        <v>0</v>
      </c>
      <c r="K281" s="45">
        <f t="shared" si="29"/>
        <v>461</v>
      </c>
      <c r="L281" s="10">
        <v>29</v>
      </c>
      <c r="M281" s="10">
        <v>4.8</v>
      </c>
      <c r="N281" s="10" t="b">
        <v>1</v>
      </c>
      <c r="O281" s="41" t="s">
        <v>33</v>
      </c>
      <c r="P281" s="45">
        <f t="shared" si="30"/>
        <v>193.62</v>
      </c>
      <c r="Q281" s="45">
        <f t="shared" si="31"/>
        <v>267.38</v>
      </c>
      <c r="R281" s="45">
        <v>150</v>
      </c>
      <c r="S281" s="45">
        <f t="shared" si="32"/>
        <v>46.1</v>
      </c>
      <c r="T281" s="45">
        <f t="shared" si="33"/>
        <v>461</v>
      </c>
      <c r="U281" s="47">
        <f t="shared" si="34"/>
        <v>-389.72</v>
      </c>
    </row>
    <row r="282" spans="1:21" x14ac:dyDescent="0.3">
      <c r="A282" s="41" t="str">
        <f t="shared" si="28"/>
        <v>PZARAC</v>
      </c>
      <c r="B282" s="43">
        <v>45468</v>
      </c>
      <c r="C282" s="10" t="s">
        <v>324</v>
      </c>
      <c r="D282" s="10" t="s">
        <v>3</v>
      </c>
      <c r="E282" s="10" t="s">
        <v>15</v>
      </c>
      <c r="F282" s="10" t="s">
        <v>23</v>
      </c>
      <c r="G282" s="10" t="s">
        <v>7</v>
      </c>
      <c r="H282" s="10" t="s">
        <v>13</v>
      </c>
      <c r="I282" s="45">
        <v>153</v>
      </c>
      <c r="J282" s="11">
        <v>0</v>
      </c>
      <c r="K282" s="45">
        <f t="shared" si="29"/>
        <v>153</v>
      </c>
      <c r="L282" s="10">
        <v>22</v>
      </c>
      <c r="M282" s="10">
        <v>1.7</v>
      </c>
      <c r="N282" s="10" t="b">
        <v>0</v>
      </c>
      <c r="O282" s="41"/>
      <c r="P282" s="45">
        <f t="shared" si="30"/>
        <v>64.259999999999991</v>
      </c>
      <c r="Q282" s="45">
        <f t="shared" si="31"/>
        <v>88.740000000000009</v>
      </c>
      <c r="R282" s="45">
        <v>0</v>
      </c>
      <c r="S282" s="45">
        <f t="shared" si="32"/>
        <v>0</v>
      </c>
      <c r="T282" s="45">
        <f t="shared" si="33"/>
        <v>0</v>
      </c>
      <c r="U282" s="47">
        <f t="shared" si="34"/>
        <v>88.740000000000009</v>
      </c>
    </row>
    <row r="283" spans="1:21" x14ac:dyDescent="0.3">
      <c r="A283" s="41" t="str">
        <f t="shared" si="28"/>
        <v>PUNIBO</v>
      </c>
      <c r="B283" s="43">
        <v>45468</v>
      </c>
      <c r="C283" s="10" t="s">
        <v>325</v>
      </c>
      <c r="D283" s="10" t="s">
        <v>10</v>
      </c>
      <c r="E283" s="10" t="s">
        <v>26</v>
      </c>
      <c r="F283" s="10" t="s">
        <v>23</v>
      </c>
      <c r="G283" s="10" t="s">
        <v>27</v>
      </c>
      <c r="H283" s="10" t="s">
        <v>88</v>
      </c>
      <c r="I283" s="45">
        <v>2365</v>
      </c>
      <c r="J283" s="11">
        <v>0</v>
      </c>
      <c r="K283" s="45">
        <f t="shared" si="29"/>
        <v>2365</v>
      </c>
      <c r="L283" s="10">
        <v>13</v>
      </c>
      <c r="M283" s="10">
        <v>5</v>
      </c>
      <c r="N283" s="10" t="b">
        <v>0</v>
      </c>
      <c r="O283" s="41"/>
      <c r="P283" s="45">
        <f t="shared" si="30"/>
        <v>993.3</v>
      </c>
      <c r="Q283" s="45">
        <f t="shared" si="31"/>
        <v>1371.7</v>
      </c>
      <c r="R283" s="45">
        <v>0</v>
      </c>
      <c r="S283" s="45">
        <f t="shared" si="32"/>
        <v>0</v>
      </c>
      <c r="T283" s="45">
        <f t="shared" si="33"/>
        <v>0</v>
      </c>
      <c r="U283" s="47">
        <f t="shared" si="34"/>
        <v>1371.7</v>
      </c>
    </row>
    <row r="284" spans="1:21" x14ac:dyDescent="0.3">
      <c r="A284" s="41" t="str">
        <f t="shared" si="28"/>
        <v>PFORSH</v>
      </c>
      <c r="B284" s="43">
        <v>45469</v>
      </c>
      <c r="C284" s="10" t="s">
        <v>326</v>
      </c>
      <c r="D284" s="10" t="s">
        <v>65</v>
      </c>
      <c r="E284" s="10" t="s">
        <v>18</v>
      </c>
      <c r="F284" s="10" t="s">
        <v>23</v>
      </c>
      <c r="G284" s="10" t="s">
        <v>46</v>
      </c>
      <c r="H284" s="10" t="s">
        <v>58</v>
      </c>
      <c r="I284" s="45">
        <v>3337</v>
      </c>
      <c r="J284" s="11">
        <v>0.23</v>
      </c>
      <c r="K284" s="45">
        <f t="shared" si="29"/>
        <v>2569.4900000000002</v>
      </c>
      <c r="L284" s="10">
        <v>37</v>
      </c>
      <c r="M284" s="10">
        <v>1</v>
      </c>
      <c r="N284" s="10" t="b">
        <v>1</v>
      </c>
      <c r="O284" s="41" t="s">
        <v>50</v>
      </c>
      <c r="P284" s="45">
        <f t="shared" si="30"/>
        <v>1079.1858</v>
      </c>
      <c r="Q284" s="45">
        <f t="shared" si="31"/>
        <v>1490.3042000000003</v>
      </c>
      <c r="R284" s="45">
        <v>150</v>
      </c>
      <c r="S284" s="45">
        <f t="shared" si="32"/>
        <v>256.94900000000001</v>
      </c>
      <c r="T284" s="45">
        <f t="shared" si="33"/>
        <v>2569.4900000000002</v>
      </c>
      <c r="U284" s="47">
        <f t="shared" si="34"/>
        <v>-1486.1348</v>
      </c>
    </row>
    <row r="285" spans="1:21" x14ac:dyDescent="0.3">
      <c r="A285" s="41" t="str">
        <f t="shared" si="28"/>
        <v>PBANTO</v>
      </c>
      <c r="B285" s="43">
        <v>45469</v>
      </c>
      <c r="C285" s="10" t="s">
        <v>327</v>
      </c>
      <c r="D285" s="10" t="s">
        <v>21</v>
      </c>
      <c r="E285" s="10" t="s">
        <v>9</v>
      </c>
      <c r="F285" s="10" t="s">
        <v>54</v>
      </c>
      <c r="G285" s="10" t="s">
        <v>27</v>
      </c>
      <c r="H285" s="10" t="s">
        <v>16</v>
      </c>
      <c r="I285" s="45">
        <v>1538</v>
      </c>
      <c r="J285" s="11">
        <v>0.39399999999999996</v>
      </c>
      <c r="K285" s="45">
        <f t="shared" si="29"/>
        <v>932.02800000000013</v>
      </c>
      <c r="L285" s="10">
        <v>6</v>
      </c>
      <c r="M285" s="10"/>
      <c r="N285" s="10" t="b">
        <v>1</v>
      </c>
      <c r="O285" s="41" t="s">
        <v>44</v>
      </c>
      <c r="P285" s="45">
        <f t="shared" si="30"/>
        <v>391.45176000000004</v>
      </c>
      <c r="Q285" s="45">
        <f t="shared" si="31"/>
        <v>540.5762400000001</v>
      </c>
      <c r="R285" s="45">
        <v>150</v>
      </c>
      <c r="S285" s="45">
        <f t="shared" si="32"/>
        <v>93.202800000000025</v>
      </c>
      <c r="T285" s="45">
        <f t="shared" si="33"/>
        <v>932.02800000000013</v>
      </c>
      <c r="U285" s="47">
        <f t="shared" si="34"/>
        <v>-634.65456000000006</v>
      </c>
    </row>
    <row r="286" spans="1:21" x14ac:dyDescent="0.3">
      <c r="A286" s="41" t="str">
        <f t="shared" si="28"/>
        <v>PANNSH</v>
      </c>
      <c r="B286" s="43">
        <v>45469</v>
      </c>
      <c r="C286" s="10" t="s">
        <v>328</v>
      </c>
      <c r="D286" s="10" t="s">
        <v>42</v>
      </c>
      <c r="E286" s="10" t="s">
        <v>18</v>
      </c>
      <c r="F286" s="10" t="s">
        <v>11</v>
      </c>
      <c r="G286" s="10" t="s">
        <v>49</v>
      </c>
      <c r="H286" s="10" t="s">
        <v>35</v>
      </c>
      <c r="I286" s="45">
        <v>3478</v>
      </c>
      <c r="J286" s="11">
        <v>0</v>
      </c>
      <c r="K286" s="45">
        <f t="shared" si="29"/>
        <v>3478</v>
      </c>
      <c r="L286" s="10">
        <v>38</v>
      </c>
      <c r="M286" s="10">
        <v>2.4</v>
      </c>
      <c r="N286" s="10" t="b">
        <v>0</v>
      </c>
      <c r="O286" s="41"/>
      <c r="P286" s="45">
        <f t="shared" si="30"/>
        <v>1460.76</v>
      </c>
      <c r="Q286" s="45">
        <f t="shared" si="31"/>
        <v>2017.24</v>
      </c>
      <c r="R286" s="45">
        <v>0</v>
      </c>
      <c r="S286" s="45">
        <f t="shared" si="32"/>
        <v>0</v>
      </c>
      <c r="T286" s="45">
        <f t="shared" si="33"/>
        <v>0</v>
      </c>
      <c r="U286" s="47">
        <f t="shared" si="34"/>
        <v>2017.24</v>
      </c>
    </row>
    <row r="287" spans="1:21" x14ac:dyDescent="0.3">
      <c r="A287" s="41" t="str">
        <f t="shared" si="28"/>
        <v>PZARAC</v>
      </c>
      <c r="B287" s="43">
        <v>45470</v>
      </c>
      <c r="C287" s="10" t="s">
        <v>329</v>
      </c>
      <c r="D287" s="10" t="s">
        <v>3</v>
      </c>
      <c r="E287" s="10" t="s">
        <v>15</v>
      </c>
      <c r="F287" s="10" t="s">
        <v>23</v>
      </c>
      <c r="G287" s="10" t="s">
        <v>7</v>
      </c>
      <c r="H287" s="10" t="s">
        <v>6</v>
      </c>
      <c r="I287" s="45">
        <v>274</v>
      </c>
      <c r="J287" s="11">
        <v>0.14099999999999999</v>
      </c>
      <c r="K287" s="45">
        <f t="shared" si="29"/>
        <v>235.36599999999999</v>
      </c>
      <c r="L287" s="10">
        <v>38</v>
      </c>
      <c r="M287" s="10">
        <v>5</v>
      </c>
      <c r="N287" s="10" t="b">
        <v>0</v>
      </c>
      <c r="O287" s="41"/>
      <c r="P287" s="45">
        <f t="shared" si="30"/>
        <v>98.853719999999996</v>
      </c>
      <c r="Q287" s="45">
        <f t="shared" si="31"/>
        <v>136.51227999999998</v>
      </c>
      <c r="R287" s="45">
        <v>0</v>
      </c>
      <c r="S287" s="45">
        <f t="shared" si="32"/>
        <v>0</v>
      </c>
      <c r="T287" s="45">
        <f t="shared" si="33"/>
        <v>0</v>
      </c>
      <c r="U287" s="47">
        <f t="shared" si="34"/>
        <v>136.51227999999998</v>
      </c>
    </row>
    <row r="288" spans="1:21" x14ac:dyDescent="0.3">
      <c r="A288" s="41" t="str">
        <f t="shared" si="28"/>
        <v>PMANOU</v>
      </c>
      <c r="B288" s="43">
        <v>45470</v>
      </c>
      <c r="C288" s="10" t="s">
        <v>330</v>
      </c>
      <c r="D288" s="10" t="s">
        <v>31</v>
      </c>
      <c r="E288" s="10" t="s">
        <v>2</v>
      </c>
      <c r="F288" s="10" t="s">
        <v>11</v>
      </c>
      <c r="G288" s="10" t="s">
        <v>5</v>
      </c>
      <c r="H288" s="10" t="s">
        <v>13</v>
      </c>
      <c r="I288" s="45">
        <v>3075</v>
      </c>
      <c r="J288" s="11">
        <v>0</v>
      </c>
      <c r="K288" s="45">
        <f t="shared" si="29"/>
        <v>3075</v>
      </c>
      <c r="L288" s="10">
        <v>16</v>
      </c>
      <c r="M288" s="10">
        <v>1.7</v>
      </c>
      <c r="N288" s="10" t="b">
        <v>1</v>
      </c>
      <c r="O288" s="41" t="s">
        <v>44</v>
      </c>
      <c r="P288" s="45">
        <f t="shared" si="30"/>
        <v>1291.5</v>
      </c>
      <c r="Q288" s="45">
        <f t="shared" si="31"/>
        <v>1783.5</v>
      </c>
      <c r="R288" s="45">
        <v>150</v>
      </c>
      <c r="S288" s="45">
        <f t="shared" si="32"/>
        <v>307.5</v>
      </c>
      <c r="T288" s="45">
        <f t="shared" si="33"/>
        <v>3075</v>
      </c>
      <c r="U288" s="47">
        <f t="shared" si="34"/>
        <v>-1749</v>
      </c>
    </row>
    <row r="289" spans="1:21" x14ac:dyDescent="0.3">
      <c r="A289" s="41" t="str">
        <f t="shared" si="28"/>
        <v>PUNIDR</v>
      </c>
      <c r="B289" s="43">
        <v>45470</v>
      </c>
      <c r="C289" s="10" t="s">
        <v>331</v>
      </c>
      <c r="D289" s="10" t="s">
        <v>10</v>
      </c>
      <c r="E289" s="10" t="s">
        <v>30</v>
      </c>
      <c r="F289" s="10" t="s">
        <v>23</v>
      </c>
      <c r="G289" s="10" t="s">
        <v>27</v>
      </c>
      <c r="H289" s="10" t="s">
        <v>13</v>
      </c>
      <c r="I289" s="45">
        <v>2899</v>
      </c>
      <c r="J289" s="11">
        <v>0</v>
      </c>
      <c r="K289" s="45">
        <f t="shared" si="29"/>
        <v>2899</v>
      </c>
      <c r="L289" s="10">
        <v>0</v>
      </c>
      <c r="M289" s="10">
        <v>4.5999999999999996</v>
      </c>
      <c r="N289" s="10" t="b">
        <v>0</v>
      </c>
      <c r="O289" s="41"/>
      <c r="P289" s="45">
        <f t="shared" si="30"/>
        <v>1217.58</v>
      </c>
      <c r="Q289" s="45">
        <f t="shared" si="31"/>
        <v>1681.42</v>
      </c>
      <c r="R289" s="45">
        <v>0</v>
      </c>
      <c r="S289" s="45">
        <f t="shared" si="32"/>
        <v>0</v>
      </c>
      <c r="T289" s="45">
        <f t="shared" si="33"/>
        <v>0</v>
      </c>
      <c r="U289" s="47">
        <f t="shared" si="34"/>
        <v>1681.42</v>
      </c>
    </row>
    <row r="290" spans="1:21" x14ac:dyDescent="0.3">
      <c r="A290" s="41" t="str">
        <f t="shared" si="28"/>
        <v>PMANSH</v>
      </c>
      <c r="B290" s="43">
        <v>45471</v>
      </c>
      <c r="C290" s="10" t="s">
        <v>332</v>
      </c>
      <c r="D290" s="10" t="s">
        <v>31</v>
      </c>
      <c r="E290" s="10" t="s">
        <v>18</v>
      </c>
      <c r="F290" s="10" t="s">
        <v>54</v>
      </c>
      <c r="G290" s="10" t="s">
        <v>7</v>
      </c>
      <c r="H290" s="10" t="s">
        <v>88</v>
      </c>
      <c r="I290" s="45">
        <v>3951</v>
      </c>
      <c r="J290" s="11">
        <v>0</v>
      </c>
      <c r="K290" s="45">
        <f t="shared" si="29"/>
        <v>3951</v>
      </c>
      <c r="L290" s="10">
        <v>5</v>
      </c>
      <c r="M290" s="10">
        <v>2.7</v>
      </c>
      <c r="N290" s="10" t="b">
        <v>0</v>
      </c>
      <c r="O290" s="41"/>
      <c r="P290" s="45">
        <f t="shared" si="30"/>
        <v>1659.4199999999998</v>
      </c>
      <c r="Q290" s="45">
        <f t="shared" si="31"/>
        <v>2291.58</v>
      </c>
      <c r="R290" s="45">
        <v>0</v>
      </c>
      <c r="S290" s="45">
        <f t="shared" si="32"/>
        <v>0</v>
      </c>
      <c r="T290" s="45">
        <f t="shared" si="33"/>
        <v>0</v>
      </c>
      <c r="U290" s="47">
        <f t="shared" si="34"/>
        <v>2291.58</v>
      </c>
    </row>
    <row r="291" spans="1:21" x14ac:dyDescent="0.3">
      <c r="A291" s="41" t="str">
        <f t="shared" si="28"/>
        <v>PH&amp;MAC</v>
      </c>
      <c r="B291" s="43">
        <v>45471</v>
      </c>
      <c r="C291" s="10" t="s">
        <v>333</v>
      </c>
      <c r="D291" s="10" t="s">
        <v>37</v>
      </c>
      <c r="E291" s="10" t="s">
        <v>15</v>
      </c>
      <c r="F291" s="10" t="s">
        <v>54</v>
      </c>
      <c r="G291" s="10" t="s">
        <v>7</v>
      </c>
      <c r="H291" s="10" t="s">
        <v>6</v>
      </c>
      <c r="I291" s="45">
        <v>186</v>
      </c>
      <c r="J291" s="11">
        <v>0.24299999999999999</v>
      </c>
      <c r="K291" s="45">
        <f t="shared" si="29"/>
        <v>140.80199999999999</v>
      </c>
      <c r="L291" s="10">
        <v>50</v>
      </c>
      <c r="M291" s="10">
        <v>3.7</v>
      </c>
      <c r="N291" s="10" t="b">
        <v>0</v>
      </c>
      <c r="O291" s="41"/>
      <c r="P291" s="45">
        <f t="shared" si="30"/>
        <v>59.136839999999992</v>
      </c>
      <c r="Q291" s="45">
        <f t="shared" si="31"/>
        <v>81.66516</v>
      </c>
      <c r="R291" s="45">
        <v>0</v>
      </c>
      <c r="S291" s="45">
        <f t="shared" si="32"/>
        <v>0</v>
      </c>
      <c r="T291" s="45">
        <f t="shared" si="33"/>
        <v>0</v>
      </c>
      <c r="U291" s="47">
        <f t="shared" si="34"/>
        <v>81.66516</v>
      </c>
    </row>
    <row r="292" spans="1:21" x14ac:dyDescent="0.3">
      <c r="A292" s="41" t="str">
        <f t="shared" si="28"/>
        <v>PMANTO</v>
      </c>
      <c r="B292" s="43">
        <v>45471</v>
      </c>
      <c r="C292" s="10" t="s">
        <v>334</v>
      </c>
      <c r="D292" s="10" t="s">
        <v>31</v>
      </c>
      <c r="E292" s="10" t="s">
        <v>9</v>
      </c>
      <c r="F292" s="10" t="s">
        <v>23</v>
      </c>
      <c r="G292" s="10" t="s">
        <v>49</v>
      </c>
      <c r="H292" s="10" t="s">
        <v>16</v>
      </c>
      <c r="I292" s="45">
        <v>1229</v>
      </c>
      <c r="J292" s="11">
        <v>0</v>
      </c>
      <c r="K292" s="45">
        <f t="shared" si="29"/>
        <v>1229</v>
      </c>
      <c r="L292" s="10">
        <v>22</v>
      </c>
      <c r="M292" s="10">
        <v>2.2999999999999998</v>
      </c>
      <c r="N292" s="10" t="b">
        <v>0</v>
      </c>
      <c r="O292" s="41"/>
      <c r="P292" s="45">
        <f t="shared" si="30"/>
        <v>516.17999999999995</v>
      </c>
      <c r="Q292" s="45">
        <f t="shared" si="31"/>
        <v>712.82</v>
      </c>
      <c r="R292" s="45">
        <v>0</v>
      </c>
      <c r="S292" s="45">
        <f t="shared" si="32"/>
        <v>0</v>
      </c>
      <c r="T292" s="45">
        <f t="shared" si="33"/>
        <v>0</v>
      </c>
      <c r="U292" s="47">
        <f t="shared" si="34"/>
        <v>712.82</v>
      </c>
    </row>
    <row r="293" spans="1:21" x14ac:dyDescent="0.3">
      <c r="A293" s="41" t="str">
        <f t="shared" si="28"/>
        <v>PANNOU</v>
      </c>
      <c r="B293" s="43">
        <v>45471</v>
      </c>
      <c r="C293" s="10" t="s">
        <v>335</v>
      </c>
      <c r="D293" s="10" t="s">
        <v>42</v>
      </c>
      <c r="E293" s="10" t="s">
        <v>2</v>
      </c>
      <c r="F293" s="10" t="s">
        <v>11</v>
      </c>
      <c r="G293" s="10" t="s">
        <v>46</v>
      </c>
      <c r="H293" s="10" t="s">
        <v>58</v>
      </c>
      <c r="I293" s="45">
        <v>3403</v>
      </c>
      <c r="J293" s="11">
        <v>0</v>
      </c>
      <c r="K293" s="45">
        <f t="shared" si="29"/>
        <v>3403</v>
      </c>
      <c r="L293" s="10">
        <v>12</v>
      </c>
      <c r="M293" s="10">
        <v>4.5999999999999996</v>
      </c>
      <c r="N293" s="10" t="b">
        <v>0</v>
      </c>
      <c r="O293" s="41"/>
      <c r="P293" s="45">
        <f t="shared" si="30"/>
        <v>1429.26</v>
      </c>
      <c r="Q293" s="45">
        <f t="shared" si="31"/>
        <v>1973.74</v>
      </c>
      <c r="R293" s="45">
        <v>0</v>
      </c>
      <c r="S293" s="45">
        <f t="shared" si="32"/>
        <v>0</v>
      </c>
      <c r="T293" s="45">
        <f t="shared" si="33"/>
        <v>0</v>
      </c>
      <c r="U293" s="47">
        <f t="shared" si="34"/>
        <v>1973.74</v>
      </c>
    </row>
    <row r="294" spans="1:21" x14ac:dyDescent="0.3">
      <c r="A294" s="41" t="str">
        <f t="shared" si="28"/>
        <v>PMANBO</v>
      </c>
      <c r="B294" s="43">
        <v>45472</v>
      </c>
      <c r="C294" s="10" t="s">
        <v>336</v>
      </c>
      <c r="D294" s="10" t="s">
        <v>31</v>
      </c>
      <c r="E294" s="10" t="s">
        <v>26</v>
      </c>
      <c r="F294" s="10" t="s">
        <v>23</v>
      </c>
      <c r="G294" s="10" t="s">
        <v>7</v>
      </c>
      <c r="H294" s="10" t="s">
        <v>32</v>
      </c>
      <c r="I294" s="45">
        <v>2529</v>
      </c>
      <c r="J294" s="11">
        <v>0</v>
      </c>
      <c r="K294" s="45">
        <f t="shared" si="29"/>
        <v>2529</v>
      </c>
      <c r="L294" s="10">
        <v>18</v>
      </c>
      <c r="M294" s="10">
        <v>3.9</v>
      </c>
      <c r="N294" s="10" t="b">
        <v>1</v>
      </c>
      <c r="O294" s="41" t="s">
        <v>33</v>
      </c>
      <c r="P294" s="45">
        <f t="shared" si="30"/>
        <v>1062.18</v>
      </c>
      <c r="Q294" s="45">
        <f t="shared" si="31"/>
        <v>1466.82</v>
      </c>
      <c r="R294" s="45">
        <v>150</v>
      </c>
      <c r="S294" s="45">
        <f t="shared" si="32"/>
        <v>252.9</v>
      </c>
      <c r="T294" s="45">
        <f t="shared" si="33"/>
        <v>2529</v>
      </c>
      <c r="U294" s="47">
        <f t="shared" si="34"/>
        <v>-1465.0800000000002</v>
      </c>
    </row>
    <row r="295" spans="1:21" x14ac:dyDescent="0.3">
      <c r="A295" s="41" t="str">
        <f t="shared" si="28"/>
        <v>PZARSH</v>
      </c>
      <c r="B295" s="43">
        <v>45472</v>
      </c>
      <c r="C295" s="10" t="s">
        <v>337</v>
      </c>
      <c r="D295" s="10" t="s">
        <v>3</v>
      </c>
      <c r="E295" s="10" t="s">
        <v>18</v>
      </c>
      <c r="F295" s="10" t="s">
        <v>4</v>
      </c>
      <c r="G295" s="10" t="s">
        <v>27</v>
      </c>
      <c r="H295" s="10" t="s">
        <v>58</v>
      </c>
      <c r="I295" s="45">
        <v>4456</v>
      </c>
      <c r="J295" s="11">
        <v>0</v>
      </c>
      <c r="K295" s="45">
        <f t="shared" si="29"/>
        <v>4456</v>
      </c>
      <c r="L295" s="10">
        <v>34</v>
      </c>
      <c r="M295" s="10">
        <v>3.3</v>
      </c>
      <c r="N295" s="10" t="b">
        <v>0</v>
      </c>
      <c r="O295" s="41"/>
      <c r="P295" s="45">
        <f t="shared" si="30"/>
        <v>1871.52</v>
      </c>
      <c r="Q295" s="45">
        <f t="shared" si="31"/>
        <v>2584.48</v>
      </c>
      <c r="R295" s="45">
        <v>0</v>
      </c>
      <c r="S295" s="45">
        <f t="shared" si="32"/>
        <v>0</v>
      </c>
      <c r="T295" s="45">
        <f t="shared" si="33"/>
        <v>0</v>
      </c>
      <c r="U295" s="47">
        <f t="shared" si="34"/>
        <v>2584.48</v>
      </c>
    </row>
    <row r="296" spans="1:21" x14ac:dyDescent="0.3">
      <c r="A296" s="41" t="str">
        <f t="shared" si="28"/>
        <v>PBANSH</v>
      </c>
      <c r="B296" s="43">
        <v>45472</v>
      </c>
      <c r="C296" s="10" t="s">
        <v>338</v>
      </c>
      <c r="D296" s="10" t="s">
        <v>21</v>
      </c>
      <c r="E296" s="10" t="s">
        <v>18</v>
      </c>
      <c r="F296" s="10" t="s">
        <v>23</v>
      </c>
      <c r="G296" s="10" t="s">
        <v>49</v>
      </c>
      <c r="H296" s="10" t="s">
        <v>58</v>
      </c>
      <c r="I296" s="45">
        <v>4292</v>
      </c>
      <c r="J296" s="11">
        <v>0.36</v>
      </c>
      <c r="K296" s="45">
        <f t="shared" si="29"/>
        <v>2746.88</v>
      </c>
      <c r="L296" s="10">
        <v>45</v>
      </c>
      <c r="M296" s="10">
        <v>3.5</v>
      </c>
      <c r="N296" s="10" t="b">
        <v>1</v>
      </c>
      <c r="O296" s="41" t="s">
        <v>33</v>
      </c>
      <c r="P296" s="45">
        <f t="shared" si="30"/>
        <v>1153.6895999999999</v>
      </c>
      <c r="Q296" s="45">
        <f t="shared" si="31"/>
        <v>1593.1904000000002</v>
      </c>
      <c r="R296" s="45">
        <v>150</v>
      </c>
      <c r="S296" s="45">
        <f t="shared" si="32"/>
        <v>274.68800000000005</v>
      </c>
      <c r="T296" s="45">
        <f t="shared" si="33"/>
        <v>2746.88</v>
      </c>
      <c r="U296" s="47">
        <f t="shared" si="34"/>
        <v>-1578.3776</v>
      </c>
    </row>
    <row r="297" spans="1:21" x14ac:dyDescent="0.3">
      <c r="A297" s="41" t="str">
        <f t="shared" si="28"/>
        <v>PZARSH</v>
      </c>
      <c r="B297" s="43">
        <v>45472</v>
      </c>
      <c r="C297" s="10" t="s">
        <v>339</v>
      </c>
      <c r="D297" s="10" t="s">
        <v>3</v>
      </c>
      <c r="E297" s="10" t="s">
        <v>18</v>
      </c>
      <c r="F297" s="10" t="s">
        <v>4</v>
      </c>
      <c r="G297" s="10" t="s">
        <v>38</v>
      </c>
      <c r="H297" s="10" t="s">
        <v>7</v>
      </c>
      <c r="I297" s="45">
        <v>4337</v>
      </c>
      <c r="J297" s="11">
        <v>0</v>
      </c>
      <c r="K297" s="45">
        <f t="shared" si="29"/>
        <v>4337</v>
      </c>
      <c r="L297" s="10">
        <v>10</v>
      </c>
      <c r="M297" s="10">
        <v>5</v>
      </c>
      <c r="N297" s="10" t="b">
        <v>0</v>
      </c>
      <c r="O297" s="41"/>
      <c r="P297" s="45">
        <f t="shared" si="30"/>
        <v>1821.54</v>
      </c>
      <c r="Q297" s="45">
        <f t="shared" si="31"/>
        <v>2515.46</v>
      </c>
      <c r="R297" s="45">
        <v>0</v>
      </c>
      <c r="S297" s="45">
        <f t="shared" si="32"/>
        <v>0</v>
      </c>
      <c r="T297" s="45">
        <f t="shared" si="33"/>
        <v>0</v>
      </c>
      <c r="U297" s="47">
        <f t="shared" si="34"/>
        <v>2515.46</v>
      </c>
    </row>
    <row r="298" spans="1:21" x14ac:dyDescent="0.3">
      <c r="A298" s="41" t="str">
        <f t="shared" si="28"/>
        <v>PGAPAC</v>
      </c>
      <c r="B298" s="43">
        <v>45473</v>
      </c>
      <c r="C298" s="10" t="s">
        <v>340</v>
      </c>
      <c r="D298" s="10" t="s">
        <v>53</v>
      </c>
      <c r="E298" s="10" t="s">
        <v>15</v>
      </c>
      <c r="F298" s="10" t="s">
        <v>54</v>
      </c>
      <c r="G298" s="10" t="s">
        <v>7</v>
      </c>
      <c r="H298" s="10" t="s">
        <v>13</v>
      </c>
      <c r="I298" s="45">
        <v>500</v>
      </c>
      <c r="J298" s="11">
        <v>0.13</v>
      </c>
      <c r="K298" s="45">
        <f t="shared" si="29"/>
        <v>435</v>
      </c>
      <c r="L298" s="10">
        <v>17</v>
      </c>
      <c r="M298" s="10">
        <v>3.9</v>
      </c>
      <c r="N298" s="10" t="b">
        <v>1</v>
      </c>
      <c r="O298" s="41" t="s">
        <v>33</v>
      </c>
      <c r="P298" s="45">
        <f t="shared" si="30"/>
        <v>182.7</v>
      </c>
      <c r="Q298" s="45">
        <f t="shared" si="31"/>
        <v>252.3</v>
      </c>
      <c r="R298" s="45">
        <v>150</v>
      </c>
      <c r="S298" s="45">
        <f t="shared" si="32"/>
        <v>43.5</v>
      </c>
      <c r="T298" s="45">
        <f t="shared" si="33"/>
        <v>435</v>
      </c>
      <c r="U298" s="47">
        <f t="shared" si="34"/>
        <v>-376.2</v>
      </c>
    </row>
    <row r="299" spans="1:21" x14ac:dyDescent="0.3">
      <c r="A299" s="41" t="str">
        <f t="shared" si="28"/>
        <v>PMANDR</v>
      </c>
      <c r="B299" s="43">
        <v>45473</v>
      </c>
      <c r="C299" s="10" t="s">
        <v>341</v>
      </c>
      <c r="D299" s="10" t="s">
        <v>31</v>
      </c>
      <c r="E299" s="10" t="s">
        <v>30</v>
      </c>
      <c r="F299" s="10" t="s">
        <v>23</v>
      </c>
      <c r="G299" s="10" t="s">
        <v>27</v>
      </c>
      <c r="H299" s="10" t="s">
        <v>13</v>
      </c>
      <c r="I299" s="45">
        <v>1998</v>
      </c>
      <c r="J299" s="11">
        <v>0.504</v>
      </c>
      <c r="K299" s="45">
        <f t="shared" si="29"/>
        <v>991.00800000000004</v>
      </c>
      <c r="L299" s="10">
        <v>17</v>
      </c>
      <c r="M299" s="10">
        <v>3.2</v>
      </c>
      <c r="N299" s="10" t="b">
        <v>0</v>
      </c>
      <c r="O299" s="41"/>
      <c r="P299" s="45">
        <f t="shared" si="30"/>
        <v>416.22336000000001</v>
      </c>
      <c r="Q299" s="45">
        <f t="shared" si="31"/>
        <v>574.78464000000008</v>
      </c>
      <c r="R299" s="45">
        <v>0</v>
      </c>
      <c r="S299" s="45">
        <f t="shared" si="32"/>
        <v>0</v>
      </c>
      <c r="T299" s="45">
        <f t="shared" si="33"/>
        <v>0</v>
      </c>
      <c r="U299" s="47">
        <f t="shared" si="34"/>
        <v>574.78464000000008</v>
      </c>
    </row>
    <row r="300" spans="1:21" x14ac:dyDescent="0.3">
      <c r="A300" s="41" t="str">
        <f t="shared" si="28"/>
        <v>PGAPDR</v>
      </c>
      <c r="B300" s="43">
        <v>45473</v>
      </c>
      <c r="C300" s="10" t="s">
        <v>342</v>
      </c>
      <c r="D300" s="10" t="s">
        <v>53</v>
      </c>
      <c r="E300" s="10" t="s">
        <v>30</v>
      </c>
      <c r="F300" s="10" t="s">
        <v>54</v>
      </c>
      <c r="G300" s="10" t="s">
        <v>38</v>
      </c>
      <c r="H300" s="10" t="s">
        <v>6</v>
      </c>
      <c r="I300" s="45">
        <v>2122</v>
      </c>
      <c r="J300" s="11">
        <v>0</v>
      </c>
      <c r="K300" s="45">
        <f t="shared" si="29"/>
        <v>2122</v>
      </c>
      <c r="L300" s="10">
        <v>20</v>
      </c>
      <c r="M300" s="10">
        <v>4</v>
      </c>
      <c r="N300" s="10" t="b">
        <v>1</v>
      </c>
      <c r="O300" s="41" t="s">
        <v>50</v>
      </c>
      <c r="P300" s="45">
        <f t="shared" si="30"/>
        <v>891.24</v>
      </c>
      <c r="Q300" s="45">
        <f t="shared" si="31"/>
        <v>1230.76</v>
      </c>
      <c r="R300" s="45">
        <v>150</v>
      </c>
      <c r="S300" s="45">
        <f t="shared" si="32"/>
        <v>212.20000000000002</v>
      </c>
      <c r="T300" s="45">
        <f t="shared" si="33"/>
        <v>2122</v>
      </c>
      <c r="U300" s="47">
        <f t="shared" si="34"/>
        <v>-1253.44</v>
      </c>
    </row>
    <row r="301" spans="1:21" x14ac:dyDescent="0.3">
      <c r="A301" s="41" t="str">
        <f t="shared" si="28"/>
        <v>PBANOU</v>
      </c>
      <c r="B301" s="43">
        <v>45473</v>
      </c>
      <c r="C301" s="10" t="s">
        <v>343</v>
      </c>
      <c r="D301" s="10" t="s">
        <v>21</v>
      </c>
      <c r="E301" s="10" t="s">
        <v>2</v>
      </c>
      <c r="F301" s="10" t="s">
        <v>4</v>
      </c>
      <c r="G301" s="10" t="s">
        <v>27</v>
      </c>
      <c r="H301" s="10" t="s">
        <v>58</v>
      </c>
      <c r="I301" s="45">
        <v>3822</v>
      </c>
      <c r="J301" s="11">
        <v>6.6000000000000003E-2</v>
      </c>
      <c r="K301" s="45">
        <f t="shared" si="29"/>
        <v>3569.7479999999996</v>
      </c>
      <c r="L301" s="10">
        <v>29</v>
      </c>
      <c r="M301" s="10">
        <v>2.1</v>
      </c>
      <c r="N301" s="10" t="b">
        <v>0</v>
      </c>
      <c r="O301" s="41"/>
      <c r="P301" s="45">
        <f t="shared" si="30"/>
        <v>1499.2941599999997</v>
      </c>
      <c r="Q301" s="45">
        <f t="shared" si="31"/>
        <v>2070.4538400000001</v>
      </c>
      <c r="R301" s="45">
        <v>0</v>
      </c>
      <c r="S301" s="45">
        <f t="shared" si="32"/>
        <v>0</v>
      </c>
      <c r="T301" s="45">
        <f t="shared" si="33"/>
        <v>0</v>
      </c>
      <c r="U301" s="47">
        <f t="shared" si="34"/>
        <v>2070.4538400000001</v>
      </c>
    </row>
    <row r="302" spans="1:21" x14ac:dyDescent="0.3">
      <c r="A302" s="41" t="str">
        <f t="shared" si="28"/>
        <v>PMANTO</v>
      </c>
      <c r="B302" s="43">
        <v>45474</v>
      </c>
      <c r="C302" s="10" t="s">
        <v>344</v>
      </c>
      <c r="D302" s="10" t="s">
        <v>31</v>
      </c>
      <c r="E302" s="10" t="s">
        <v>9</v>
      </c>
      <c r="F302" s="10" t="s">
        <v>11</v>
      </c>
      <c r="G302" s="10" t="s">
        <v>12</v>
      </c>
      <c r="H302" s="10" t="s">
        <v>28</v>
      </c>
      <c r="I302" s="45">
        <v>1319</v>
      </c>
      <c r="J302" s="11">
        <v>0</v>
      </c>
      <c r="K302" s="45">
        <f t="shared" si="29"/>
        <v>1319</v>
      </c>
      <c r="L302" s="10">
        <v>33</v>
      </c>
      <c r="M302" s="10"/>
      <c r="N302" s="10" t="b">
        <v>0</v>
      </c>
      <c r="O302" s="41"/>
      <c r="P302" s="45">
        <f t="shared" si="30"/>
        <v>553.98</v>
      </c>
      <c r="Q302" s="45">
        <f t="shared" si="31"/>
        <v>765.02</v>
      </c>
      <c r="R302" s="45">
        <v>0</v>
      </c>
      <c r="S302" s="45">
        <f t="shared" si="32"/>
        <v>0</v>
      </c>
      <c r="T302" s="45">
        <f t="shared" si="33"/>
        <v>0</v>
      </c>
      <c r="U302" s="47">
        <f t="shared" si="34"/>
        <v>765.02</v>
      </c>
    </row>
    <row r="303" spans="1:21" x14ac:dyDescent="0.3">
      <c r="A303" s="41" t="str">
        <f t="shared" si="28"/>
        <v>PH&amp;MSH</v>
      </c>
      <c r="B303" s="43">
        <v>45474</v>
      </c>
      <c r="C303" s="10" t="s">
        <v>345</v>
      </c>
      <c r="D303" s="10" t="s">
        <v>37</v>
      </c>
      <c r="E303" s="10" t="s">
        <v>18</v>
      </c>
      <c r="F303" s="10" t="s">
        <v>23</v>
      </c>
      <c r="G303" s="10" t="s">
        <v>38</v>
      </c>
      <c r="H303" s="10" t="s">
        <v>28</v>
      </c>
      <c r="I303" s="45">
        <v>3940</v>
      </c>
      <c r="J303" s="11">
        <v>0</v>
      </c>
      <c r="K303" s="45">
        <f t="shared" si="29"/>
        <v>3940</v>
      </c>
      <c r="L303" s="10">
        <v>30</v>
      </c>
      <c r="M303" s="10"/>
      <c r="N303" s="10" t="b">
        <v>0</v>
      </c>
      <c r="O303" s="41"/>
      <c r="P303" s="45">
        <f t="shared" si="30"/>
        <v>1654.8</v>
      </c>
      <c r="Q303" s="45">
        <f t="shared" si="31"/>
        <v>2285.1999999999998</v>
      </c>
      <c r="R303" s="45">
        <v>0</v>
      </c>
      <c r="S303" s="45">
        <f t="shared" si="32"/>
        <v>0</v>
      </c>
      <c r="T303" s="45">
        <f t="shared" si="33"/>
        <v>0</v>
      </c>
      <c r="U303" s="47">
        <f t="shared" si="34"/>
        <v>2285.1999999999998</v>
      </c>
    </row>
    <row r="304" spans="1:21" x14ac:dyDescent="0.3">
      <c r="A304" s="41" t="str">
        <f t="shared" si="28"/>
        <v>PMANBO</v>
      </c>
      <c r="B304" s="43">
        <v>45474</v>
      </c>
      <c r="C304" s="10" t="s">
        <v>346</v>
      </c>
      <c r="D304" s="10" t="s">
        <v>31</v>
      </c>
      <c r="E304" s="10" t="s">
        <v>26</v>
      </c>
      <c r="F304" s="10" t="s">
        <v>54</v>
      </c>
      <c r="G304" s="10" t="s">
        <v>5</v>
      </c>
      <c r="H304" s="10" t="s">
        <v>35</v>
      </c>
      <c r="I304" s="45">
        <v>2357</v>
      </c>
      <c r="J304" s="11">
        <v>5.4000000000000006E-2</v>
      </c>
      <c r="K304" s="45">
        <f t="shared" si="29"/>
        <v>2229.7219999999998</v>
      </c>
      <c r="L304" s="10">
        <v>49</v>
      </c>
      <c r="M304" s="10">
        <v>4.5</v>
      </c>
      <c r="N304" s="10" t="b">
        <v>0</v>
      </c>
      <c r="O304" s="41"/>
      <c r="P304" s="45">
        <f t="shared" si="30"/>
        <v>936.48323999999991</v>
      </c>
      <c r="Q304" s="45">
        <f t="shared" si="31"/>
        <v>1293.2387599999997</v>
      </c>
      <c r="R304" s="45">
        <v>0</v>
      </c>
      <c r="S304" s="45">
        <f t="shared" si="32"/>
        <v>0</v>
      </c>
      <c r="T304" s="45">
        <f t="shared" si="33"/>
        <v>0</v>
      </c>
      <c r="U304" s="47">
        <f t="shared" si="34"/>
        <v>1293.2387599999997</v>
      </c>
    </row>
    <row r="305" spans="1:21" x14ac:dyDescent="0.3">
      <c r="A305" s="41" t="str">
        <f t="shared" si="28"/>
        <v>PMANBO</v>
      </c>
      <c r="B305" s="43">
        <v>45474</v>
      </c>
      <c r="C305" s="10" t="s">
        <v>347</v>
      </c>
      <c r="D305" s="10" t="s">
        <v>31</v>
      </c>
      <c r="E305" s="10" t="s">
        <v>26</v>
      </c>
      <c r="F305" s="10" t="s">
        <v>11</v>
      </c>
      <c r="G305" s="10" t="s">
        <v>5</v>
      </c>
      <c r="H305" s="10" t="s">
        <v>16</v>
      </c>
      <c r="I305" s="45">
        <v>2157</v>
      </c>
      <c r="J305" s="11">
        <v>0.42200000000000004</v>
      </c>
      <c r="K305" s="45">
        <f t="shared" si="29"/>
        <v>1246.7459999999999</v>
      </c>
      <c r="L305" s="10">
        <v>34</v>
      </c>
      <c r="M305" s="10">
        <v>3</v>
      </c>
      <c r="N305" s="10" t="b">
        <v>0</v>
      </c>
      <c r="O305" s="41"/>
      <c r="P305" s="45">
        <f t="shared" si="30"/>
        <v>523.63331999999991</v>
      </c>
      <c r="Q305" s="45">
        <f t="shared" si="31"/>
        <v>723.11267999999995</v>
      </c>
      <c r="R305" s="45">
        <v>0</v>
      </c>
      <c r="S305" s="45">
        <f t="shared" si="32"/>
        <v>0</v>
      </c>
      <c r="T305" s="45">
        <f t="shared" si="33"/>
        <v>0</v>
      </c>
      <c r="U305" s="47">
        <f t="shared" si="34"/>
        <v>723.11267999999995</v>
      </c>
    </row>
    <row r="306" spans="1:21" x14ac:dyDescent="0.3">
      <c r="A306" s="41" t="str">
        <f t="shared" si="28"/>
        <v>PZARTO</v>
      </c>
      <c r="B306" s="43">
        <v>45475</v>
      </c>
      <c r="C306" s="10" t="s">
        <v>348</v>
      </c>
      <c r="D306" s="10" t="s">
        <v>3</v>
      </c>
      <c r="E306" s="10" t="s">
        <v>9</v>
      </c>
      <c r="F306" s="10" t="s">
        <v>4</v>
      </c>
      <c r="G306" s="10" t="s">
        <v>38</v>
      </c>
      <c r="H306" s="10" t="s">
        <v>13</v>
      </c>
      <c r="I306" s="45">
        <v>904</v>
      </c>
      <c r="J306" s="11">
        <v>0.35200000000000004</v>
      </c>
      <c r="K306" s="45">
        <f t="shared" si="29"/>
        <v>585.79199999999992</v>
      </c>
      <c r="L306" s="10">
        <v>15</v>
      </c>
      <c r="M306" s="10">
        <v>2.2999999999999998</v>
      </c>
      <c r="N306" s="10" t="b">
        <v>0</v>
      </c>
      <c r="O306" s="41"/>
      <c r="P306" s="45">
        <f t="shared" si="30"/>
        <v>246.03263999999996</v>
      </c>
      <c r="Q306" s="45">
        <f t="shared" si="31"/>
        <v>339.75935999999996</v>
      </c>
      <c r="R306" s="45">
        <v>0</v>
      </c>
      <c r="S306" s="45">
        <f t="shared" si="32"/>
        <v>0</v>
      </c>
      <c r="T306" s="45">
        <f t="shared" si="33"/>
        <v>0</v>
      </c>
      <c r="U306" s="47">
        <f t="shared" si="34"/>
        <v>339.75935999999996</v>
      </c>
    </row>
    <row r="307" spans="1:21" x14ac:dyDescent="0.3">
      <c r="A307" s="41" t="str">
        <f t="shared" si="28"/>
        <v>PFORSH</v>
      </c>
      <c r="B307" s="43">
        <v>45475</v>
      </c>
      <c r="C307" s="10" t="s">
        <v>349</v>
      </c>
      <c r="D307" s="10" t="s">
        <v>65</v>
      </c>
      <c r="E307" s="10" t="s">
        <v>18</v>
      </c>
      <c r="F307" s="10" t="s">
        <v>54</v>
      </c>
      <c r="G307" s="10" t="s">
        <v>49</v>
      </c>
      <c r="H307" s="10" t="s">
        <v>43</v>
      </c>
      <c r="I307" s="45">
        <v>4055</v>
      </c>
      <c r="J307" s="11">
        <v>0</v>
      </c>
      <c r="K307" s="45">
        <f t="shared" si="29"/>
        <v>4055</v>
      </c>
      <c r="L307" s="10">
        <v>4</v>
      </c>
      <c r="M307" s="10"/>
      <c r="N307" s="10" t="b">
        <v>1</v>
      </c>
      <c r="O307" s="41" t="s">
        <v>50</v>
      </c>
      <c r="P307" s="45">
        <f t="shared" si="30"/>
        <v>1703.1</v>
      </c>
      <c r="Q307" s="45">
        <f t="shared" si="31"/>
        <v>2351.9</v>
      </c>
      <c r="R307" s="45">
        <v>150</v>
      </c>
      <c r="S307" s="45">
        <f t="shared" si="32"/>
        <v>405.5</v>
      </c>
      <c r="T307" s="45">
        <f t="shared" si="33"/>
        <v>4055</v>
      </c>
      <c r="U307" s="47">
        <f t="shared" si="34"/>
        <v>-2258.6</v>
      </c>
    </row>
    <row r="308" spans="1:21" x14ac:dyDescent="0.3">
      <c r="A308" s="41" t="str">
        <f t="shared" si="28"/>
        <v>PGAPAC</v>
      </c>
      <c r="B308" s="43">
        <v>45475</v>
      </c>
      <c r="C308" s="10" t="s">
        <v>350</v>
      </c>
      <c r="D308" s="10" t="s">
        <v>53</v>
      </c>
      <c r="E308" s="10" t="s">
        <v>15</v>
      </c>
      <c r="F308" s="10" t="s">
        <v>54</v>
      </c>
      <c r="G308" s="10" t="s">
        <v>7</v>
      </c>
      <c r="H308" s="10" t="s">
        <v>32</v>
      </c>
      <c r="I308" s="45">
        <v>179</v>
      </c>
      <c r="J308" s="11">
        <v>0</v>
      </c>
      <c r="K308" s="45">
        <f t="shared" si="29"/>
        <v>179</v>
      </c>
      <c r="L308" s="10">
        <v>42</v>
      </c>
      <c r="M308" s="10">
        <v>3.9</v>
      </c>
      <c r="N308" s="10" t="b">
        <v>0</v>
      </c>
      <c r="O308" s="41"/>
      <c r="P308" s="45">
        <f t="shared" si="30"/>
        <v>75.179999999999993</v>
      </c>
      <c r="Q308" s="45">
        <f t="shared" si="31"/>
        <v>103.82000000000001</v>
      </c>
      <c r="R308" s="45">
        <v>0</v>
      </c>
      <c r="S308" s="45">
        <f t="shared" si="32"/>
        <v>0</v>
      </c>
      <c r="T308" s="45">
        <f t="shared" si="33"/>
        <v>0</v>
      </c>
      <c r="U308" s="47">
        <f t="shared" si="34"/>
        <v>103.82000000000001</v>
      </c>
    </row>
    <row r="309" spans="1:21" x14ac:dyDescent="0.3">
      <c r="A309" s="41" t="str">
        <f t="shared" si="28"/>
        <v>PMANBO</v>
      </c>
      <c r="B309" s="43">
        <v>45476</v>
      </c>
      <c r="C309" s="10" t="s">
        <v>351</v>
      </c>
      <c r="D309" s="10" t="s">
        <v>31</v>
      </c>
      <c r="E309" s="10" t="s">
        <v>26</v>
      </c>
      <c r="F309" s="10" t="s">
        <v>54</v>
      </c>
      <c r="G309" s="10" t="s">
        <v>49</v>
      </c>
      <c r="H309" s="10" t="s">
        <v>43</v>
      </c>
      <c r="I309" s="45">
        <v>2085</v>
      </c>
      <c r="J309" s="11">
        <v>0</v>
      </c>
      <c r="K309" s="45">
        <f t="shared" si="29"/>
        <v>2085</v>
      </c>
      <c r="L309" s="10">
        <v>39</v>
      </c>
      <c r="M309" s="10">
        <v>3</v>
      </c>
      <c r="N309" s="10" t="b">
        <v>0</v>
      </c>
      <c r="O309" s="41"/>
      <c r="P309" s="45">
        <f t="shared" si="30"/>
        <v>875.69999999999993</v>
      </c>
      <c r="Q309" s="45">
        <f t="shared" si="31"/>
        <v>1209.3000000000002</v>
      </c>
      <c r="R309" s="45">
        <v>0</v>
      </c>
      <c r="S309" s="45">
        <f t="shared" si="32"/>
        <v>0</v>
      </c>
      <c r="T309" s="45">
        <f t="shared" si="33"/>
        <v>0</v>
      </c>
      <c r="U309" s="47">
        <f t="shared" si="34"/>
        <v>1209.3000000000002</v>
      </c>
    </row>
    <row r="310" spans="1:21" x14ac:dyDescent="0.3">
      <c r="A310" s="41" t="str">
        <f t="shared" si="28"/>
        <v>PMANTO</v>
      </c>
      <c r="B310" s="43">
        <v>45476</v>
      </c>
      <c r="C310" s="10" t="s">
        <v>352</v>
      </c>
      <c r="D310" s="10" t="s">
        <v>31</v>
      </c>
      <c r="E310" s="10" t="s">
        <v>9</v>
      </c>
      <c r="F310" s="10" t="s">
        <v>54</v>
      </c>
      <c r="G310" s="10" t="s">
        <v>27</v>
      </c>
      <c r="H310" s="10" t="s">
        <v>32</v>
      </c>
      <c r="I310" s="45">
        <v>1088</v>
      </c>
      <c r="J310" s="11">
        <v>0</v>
      </c>
      <c r="K310" s="45">
        <f t="shared" si="29"/>
        <v>1088</v>
      </c>
      <c r="L310" s="10">
        <v>34</v>
      </c>
      <c r="M310" s="10">
        <v>2.6</v>
      </c>
      <c r="N310" s="10" t="b">
        <v>0</v>
      </c>
      <c r="O310" s="41"/>
      <c r="P310" s="45">
        <f t="shared" si="30"/>
        <v>456.96</v>
      </c>
      <c r="Q310" s="45">
        <f t="shared" si="31"/>
        <v>631.04</v>
      </c>
      <c r="R310" s="45">
        <v>0</v>
      </c>
      <c r="S310" s="45">
        <f t="shared" si="32"/>
        <v>0</v>
      </c>
      <c r="T310" s="45">
        <f t="shared" si="33"/>
        <v>0</v>
      </c>
      <c r="U310" s="47">
        <f t="shared" si="34"/>
        <v>631.04</v>
      </c>
    </row>
    <row r="311" spans="1:21" x14ac:dyDescent="0.3">
      <c r="A311" s="41" t="str">
        <f t="shared" si="28"/>
        <v>PMANOU</v>
      </c>
      <c r="B311" s="43">
        <v>45476</v>
      </c>
      <c r="C311" s="10" t="s">
        <v>353</v>
      </c>
      <c r="D311" s="10" t="s">
        <v>31</v>
      </c>
      <c r="E311" s="10" t="s">
        <v>2</v>
      </c>
      <c r="F311" s="10" t="s">
        <v>4</v>
      </c>
      <c r="G311" s="10" t="s">
        <v>12</v>
      </c>
      <c r="H311" s="10" t="s">
        <v>58</v>
      </c>
      <c r="I311" s="45">
        <v>3067</v>
      </c>
      <c r="J311" s="11">
        <v>0</v>
      </c>
      <c r="K311" s="45">
        <f t="shared" si="29"/>
        <v>3067</v>
      </c>
      <c r="L311" s="10">
        <v>7</v>
      </c>
      <c r="M311" s="10">
        <v>2.9</v>
      </c>
      <c r="N311" s="10" t="b">
        <v>0</v>
      </c>
      <c r="O311" s="41"/>
      <c r="P311" s="45">
        <f t="shared" si="30"/>
        <v>1288.1399999999999</v>
      </c>
      <c r="Q311" s="45">
        <f t="shared" si="31"/>
        <v>1778.8600000000001</v>
      </c>
      <c r="R311" s="45">
        <v>0</v>
      </c>
      <c r="S311" s="45">
        <f t="shared" si="32"/>
        <v>0</v>
      </c>
      <c r="T311" s="45">
        <f t="shared" si="33"/>
        <v>0</v>
      </c>
      <c r="U311" s="47">
        <f t="shared" si="34"/>
        <v>1778.8600000000001</v>
      </c>
    </row>
    <row r="312" spans="1:21" x14ac:dyDescent="0.3">
      <c r="A312" s="41" t="str">
        <f t="shared" si="28"/>
        <v>PH&amp;MBO</v>
      </c>
      <c r="B312" s="43">
        <v>45476</v>
      </c>
      <c r="C312" s="10" t="s">
        <v>354</v>
      </c>
      <c r="D312" s="10" t="s">
        <v>37</v>
      </c>
      <c r="E312" s="10" t="s">
        <v>26</v>
      </c>
      <c r="F312" s="10" t="s">
        <v>11</v>
      </c>
      <c r="G312" s="10" t="s">
        <v>12</v>
      </c>
      <c r="H312" s="10" t="s">
        <v>58</v>
      </c>
      <c r="I312" s="45">
        <v>2802</v>
      </c>
      <c r="J312" s="11">
        <v>9.0999999999999998E-2</v>
      </c>
      <c r="K312" s="45">
        <f t="shared" si="29"/>
        <v>2547.018</v>
      </c>
      <c r="L312" s="10">
        <v>10</v>
      </c>
      <c r="M312" s="10">
        <v>2.8</v>
      </c>
      <c r="N312" s="10" t="b">
        <v>1</v>
      </c>
      <c r="O312" s="41" t="s">
        <v>33</v>
      </c>
      <c r="P312" s="45">
        <f t="shared" si="30"/>
        <v>1069.74756</v>
      </c>
      <c r="Q312" s="45">
        <f t="shared" si="31"/>
        <v>1477.27044</v>
      </c>
      <c r="R312" s="45">
        <v>150</v>
      </c>
      <c r="S312" s="45">
        <f t="shared" si="32"/>
        <v>254.70180000000002</v>
      </c>
      <c r="T312" s="45">
        <f t="shared" si="33"/>
        <v>2547.018</v>
      </c>
      <c r="U312" s="47">
        <f t="shared" si="34"/>
        <v>-1474.4493600000001</v>
      </c>
    </row>
    <row r="313" spans="1:21" x14ac:dyDescent="0.3">
      <c r="A313" s="41" t="str">
        <f t="shared" si="28"/>
        <v>PFORDR</v>
      </c>
      <c r="B313" s="43">
        <v>45477</v>
      </c>
      <c r="C313" s="10" t="s">
        <v>355</v>
      </c>
      <c r="D313" s="10" t="s">
        <v>65</v>
      </c>
      <c r="E313" s="10" t="s">
        <v>30</v>
      </c>
      <c r="F313" s="10" t="s">
        <v>11</v>
      </c>
      <c r="G313" s="10" t="s">
        <v>38</v>
      </c>
      <c r="H313" s="10" t="s">
        <v>88</v>
      </c>
      <c r="I313" s="45">
        <v>2427</v>
      </c>
      <c r="J313" s="11">
        <v>0</v>
      </c>
      <c r="K313" s="45">
        <f t="shared" si="29"/>
        <v>2427</v>
      </c>
      <c r="L313" s="10">
        <v>25</v>
      </c>
      <c r="M313" s="10">
        <v>2.5</v>
      </c>
      <c r="N313" s="10" t="b">
        <v>0</v>
      </c>
      <c r="O313" s="41"/>
      <c r="P313" s="45">
        <f t="shared" si="30"/>
        <v>1019.3399999999999</v>
      </c>
      <c r="Q313" s="45">
        <f t="shared" si="31"/>
        <v>1407.66</v>
      </c>
      <c r="R313" s="45">
        <v>0</v>
      </c>
      <c r="S313" s="45">
        <f t="shared" si="32"/>
        <v>0</v>
      </c>
      <c r="T313" s="45">
        <f t="shared" si="33"/>
        <v>0</v>
      </c>
      <c r="U313" s="47">
        <f t="shared" si="34"/>
        <v>1407.66</v>
      </c>
    </row>
    <row r="314" spans="1:21" x14ac:dyDescent="0.3">
      <c r="A314" s="41" t="str">
        <f t="shared" si="28"/>
        <v>PBANDR</v>
      </c>
      <c r="B314" s="43">
        <v>45477</v>
      </c>
      <c r="C314" s="10" t="s">
        <v>356</v>
      </c>
      <c r="D314" s="10" t="s">
        <v>21</v>
      </c>
      <c r="E314" s="10" t="s">
        <v>30</v>
      </c>
      <c r="F314" s="10" t="s">
        <v>11</v>
      </c>
      <c r="G314" s="10" t="s">
        <v>5</v>
      </c>
      <c r="H314" s="10" t="s">
        <v>32</v>
      </c>
      <c r="I314" s="45">
        <v>2284</v>
      </c>
      <c r="J314" s="11">
        <v>0</v>
      </c>
      <c r="K314" s="45">
        <f t="shared" si="29"/>
        <v>2284</v>
      </c>
      <c r="L314" s="10">
        <v>11</v>
      </c>
      <c r="M314" s="10">
        <v>3.3</v>
      </c>
      <c r="N314" s="10" t="b">
        <v>1</v>
      </c>
      <c r="O314" s="41" t="s">
        <v>33</v>
      </c>
      <c r="P314" s="45">
        <f t="shared" si="30"/>
        <v>959.28</v>
      </c>
      <c r="Q314" s="45">
        <f t="shared" si="31"/>
        <v>1324.72</v>
      </c>
      <c r="R314" s="45">
        <v>150</v>
      </c>
      <c r="S314" s="45">
        <f t="shared" si="32"/>
        <v>228.4</v>
      </c>
      <c r="T314" s="45">
        <f t="shared" si="33"/>
        <v>2284</v>
      </c>
      <c r="U314" s="47">
        <f t="shared" si="34"/>
        <v>-1337.6799999999998</v>
      </c>
    </row>
    <row r="315" spans="1:21" x14ac:dyDescent="0.3">
      <c r="A315" s="41" t="str">
        <f t="shared" si="28"/>
        <v>PZARTO</v>
      </c>
      <c r="B315" s="43">
        <v>45477</v>
      </c>
      <c r="C315" s="10" t="s">
        <v>357</v>
      </c>
      <c r="D315" s="10" t="s">
        <v>3</v>
      </c>
      <c r="E315" s="10" t="s">
        <v>9</v>
      </c>
      <c r="F315" s="10" t="s">
        <v>11</v>
      </c>
      <c r="G315" s="10" t="s">
        <v>38</v>
      </c>
      <c r="H315" s="10" t="s">
        <v>47</v>
      </c>
      <c r="I315" s="45">
        <v>1290</v>
      </c>
      <c r="J315" s="11">
        <v>0.57399999999999995</v>
      </c>
      <c r="K315" s="45">
        <f t="shared" si="29"/>
        <v>549.54000000000008</v>
      </c>
      <c r="L315" s="10">
        <v>24</v>
      </c>
      <c r="M315" s="10">
        <v>1.3</v>
      </c>
      <c r="N315" s="10" t="b">
        <v>1</v>
      </c>
      <c r="O315" s="41" t="s">
        <v>80</v>
      </c>
      <c r="P315" s="45">
        <f t="shared" si="30"/>
        <v>230.80680000000001</v>
      </c>
      <c r="Q315" s="45">
        <f t="shared" si="31"/>
        <v>318.73320000000007</v>
      </c>
      <c r="R315" s="45">
        <v>150</v>
      </c>
      <c r="S315" s="45">
        <f t="shared" si="32"/>
        <v>54.954000000000008</v>
      </c>
      <c r="T315" s="45">
        <f t="shared" si="33"/>
        <v>549.54000000000008</v>
      </c>
      <c r="U315" s="47">
        <f t="shared" si="34"/>
        <v>-435.76080000000002</v>
      </c>
    </row>
    <row r="316" spans="1:21" x14ac:dyDescent="0.3">
      <c r="A316" s="41" t="str">
        <f t="shared" si="28"/>
        <v>PANNOU</v>
      </c>
      <c r="B316" s="43">
        <v>45478</v>
      </c>
      <c r="C316" s="10" t="s">
        <v>358</v>
      </c>
      <c r="D316" s="10" t="s">
        <v>42</v>
      </c>
      <c r="E316" s="10" t="s">
        <v>2</v>
      </c>
      <c r="F316" s="10" t="s">
        <v>54</v>
      </c>
      <c r="G316" s="10" t="s">
        <v>46</v>
      </c>
      <c r="H316" s="10" t="s">
        <v>6</v>
      </c>
      <c r="I316" s="45">
        <v>3909</v>
      </c>
      <c r="J316" s="11">
        <v>0</v>
      </c>
      <c r="K316" s="45">
        <f t="shared" si="29"/>
        <v>3909</v>
      </c>
      <c r="L316" s="10">
        <v>7</v>
      </c>
      <c r="M316" s="10">
        <v>3.1</v>
      </c>
      <c r="N316" s="10" t="b">
        <v>0</v>
      </c>
      <c r="O316" s="41"/>
      <c r="P316" s="45">
        <f t="shared" si="30"/>
        <v>1641.78</v>
      </c>
      <c r="Q316" s="45">
        <f t="shared" si="31"/>
        <v>2267.2200000000003</v>
      </c>
      <c r="R316" s="45">
        <v>0</v>
      </c>
      <c r="S316" s="45">
        <f t="shared" si="32"/>
        <v>0</v>
      </c>
      <c r="T316" s="45">
        <f t="shared" si="33"/>
        <v>0</v>
      </c>
      <c r="U316" s="47">
        <f t="shared" si="34"/>
        <v>2267.2200000000003</v>
      </c>
    </row>
    <row r="317" spans="1:21" x14ac:dyDescent="0.3">
      <c r="A317" s="41" t="str">
        <f t="shared" si="28"/>
        <v>PMANDR</v>
      </c>
      <c r="B317" s="43">
        <v>45478</v>
      </c>
      <c r="C317" s="10" t="s">
        <v>359</v>
      </c>
      <c r="D317" s="10" t="s">
        <v>31</v>
      </c>
      <c r="E317" s="10" t="s">
        <v>30</v>
      </c>
      <c r="F317" s="10" t="s">
        <v>4</v>
      </c>
      <c r="G317" s="10" t="s">
        <v>46</v>
      </c>
      <c r="H317" s="10" t="s">
        <v>32</v>
      </c>
      <c r="I317" s="45">
        <v>2549</v>
      </c>
      <c r="J317" s="11">
        <v>7.4999999999999997E-2</v>
      </c>
      <c r="K317" s="45">
        <f t="shared" si="29"/>
        <v>2357.8250000000003</v>
      </c>
      <c r="L317" s="10">
        <v>20</v>
      </c>
      <c r="M317" s="10">
        <v>4.5</v>
      </c>
      <c r="N317" s="10" t="b">
        <v>0</v>
      </c>
      <c r="O317" s="41"/>
      <c r="P317" s="45">
        <f t="shared" si="30"/>
        <v>990.28650000000005</v>
      </c>
      <c r="Q317" s="45">
        <f t="shared" si="31"/>
        <v>1367.5385000000001</v>
      </c>
      <c r="R317" s="45">
        <v>0</v>
      </c>
      <c r="S317" s="45">
        <f t="shared" si="32"/>
        <v>0</v>
      </c>
      <c r="T317" s="45">
        <f t="shared" si="33"/>
        <v>0</v>
      </c>
      <c r="U317" s="47">
        <f t="shared" si="34"/>
        <v>1367.5385000000001</v>
      </c>
    </row>
    <row r="318" spans="1:21" x14ac:dyDescent="0.3">
      <c r="A318" s="41" t="str">
        <f t="shared" si="28"/>
        <v>PZARTO</v>
      </c>
      <c r="B318" s="43">
        <v>45478</v>
      </c>
      <c r="C318" s="10" t="s">
        <v>360</v>
      </c>
      <c r="D318" s="10" t="s">
        <v>3</v>
      </c>
      <c r="E318" s="10" t="s">
        <v>9</v>
      </c>
      <c r="F318" s="10" t="s">
        <v>23</v>
      </c>
      <c r="G318" s="10" t="s">
        <v>46</v>
      </c>
      <c r="H318" s="10" t="s">
        <v>16</v>
      </c>
      <c r="I318" s="45">
        <v>1079</v>
      </c>
      <c r="J318" s="11">
        <v>0.26100000000000001</v>
      </c>
      <c r="K318" s="45">
        <f t="shared" si="29"/>
        <v>797.38099999999997</v>
      </c>
      <c r="L318" s="10">
        <v>32</v>
      </c>
      <c r="M318" s="10">
        <v>1.5</v>
      </c>
      <c r="N318" s="10" t="b">
        <v>0</v>
      </c>
      <c r="O318" s="41"/>
      <c r="P318" s="45">
        <f t="shared" si="30"/>
        <v>334.90001999999998</v>
      </c>
      <c r="Q318" s="45">
        <f t="shared" si="31"/>
        <v>462.48097999999999</v>
      </c>
      <c r="R318" s="45">
        <v>0</v>
      </c>
      <c r="S318" s="45">
        <f t="shared" si="32"/>
        <v>0</v>
      </c>
      <c r="T318" s="45">
        <f t="shared" si="33"/>
        <v>0</v>
      </c>
      <c r="U318" s="47">
        <f t="shared" si="34"/>
        <v>462.48097999999999</v>
      </c>
    </row>
    <row r="319" spans="1:21" x14ac:dyDescent="0.3">
      <c r="A319" s="41" t="str">
        <f t="shared" si="28"/>
        <v>PH&amp;MDR</v>
      </c>
      <c r="B319" s="43">
        <v>45478</v>
      </c>
      <c r="C319" s="10" t="s">
        <v>361</v>
      </c>
      <c r="D319" s="10" t="s">
        <v>37</v>
      </c>
      <c r="E319" s="10" t="s">
        <v>30</v>
      </c>
      <c r="F319" s="10" t="s">
        <v>54</v>
      </c>
      <c r="G319" s="10" t="s">
        <v>12</v>
      </c>
      <c r="H319" s="10" t="s">
        <v>58</v>
      </c>
      <c r="I319" s="45">
        <v>2887</v>
      </c>
      <c r="J319" s="11">
        <v>0</v>
      </c>
      <c r="K319" s="45">
        <f t="shared" si="29"/>
        <v>2887</v>
      </c>
      <c r="L319" s="10">
        <v>47</v>
      </c>
      <c r="M319" s="10">
        <v>3.9</v>
      </c>
      <c r="N319" s="10" t="b">
        <v>0</v>
      </c>
      <c r="O319" s="41"/>
      <c r="P319" s="45">
        <f t="shared" si="30"/>
        <v>1212.54</v>
      </c>
      <c r="Q319" s="45">
        <f t="shared" si="31"/>
        <v>1674.46</v>
      </c>
      <c r="R319" s="45">
        <v>0</v>
      </c>
      <c r="S319" s="45">
        <f t="shared" si="32"/>
        <v>0</v>
      </c>
      <c r="T319" s="45">
        <f t="shared" si="33"/>
        <v>0</v>
      </c>
      <c r="U319" s="47">
        <f t="shared" si="34"/>
        <v>1674.46</v>
      </c>
    </row>
    <row r="320" spans="1:21" x14ac:dyDescent="0.3">
      <c r="A320" s="41" t="str">
        <f t="shared" si="28"/>
        <v>PUNIAC</v>
      </c>
      <c r="B320" s="43">
        <v>45478</v>
      </c>
      <c r="C320" s="10" t="s">
        <v>362</v>
      </c>
      <c r="D320" s="10" t="s">
        <v>10</v>
      </c>
      <c r="E320" s="10" t="s">
        <v>15</v>
      </c>
      <c r="F320" s="10" t="s">
        <v>23</v>
      </c>
      <c r="G320" s="10" t="s">
        <v>7</v>
      </c>
      <c r="H320" s="10" t="s">
        <v>7</v>
      </c>
      <c r="I320" s="45">
        <v>456</v>
      </c>
      <c r="J320" s="11">
        <v>0</v>
      </c>
      <c r="K320" s="45">
        <f t="shared" si="29"/>
        <v>456</v>
      </c>
      <c r="L320" s="10">
        <v>15</v>
      </c>
      <c r="M320" s="10">
        <v>3.8</v>
      </c>
      <c r="N320" s="10" t="b">
        <v>1</v>
      </c>
      <c r="O320" s="41" t="s">
        <v>50</v>
      </c>
      <c r="P320" s="45">
        <f t="shared" si="30"/>
        <v>191.51999999999998</v>
      </c>
      <c r="Q320" s="45">
        <f t="shared" si="31"/>
        <v>264.48</v>
      </c>
      <c r="R320" s="45">
        <v>150</v>
      </c>
      <c r="S320" s="45">
        <f t="shared" si="32"/>
        <v>45.6</v>
      </c>
      <c r="T320" s="45">
        <f t="shared" si="33"/>
        <v>456</v>
      </c>
      <c r="U320" s="47">
        <f t="shared" si="34"/>
        <v>-387.12</v>
      </c>
    </row>
    <row r="321" spans="1:21" x14ac:dyDescent="0.3">
      <c r="A321" s="41" t="str">
        <f t="shared" si="28"/>
        <v>PUNISH</v>
      </c>
      <c r="B321" s="43">
        <v>45479</v>
      </c>
      <c r="C321" s="10" t="s">
        <v>363</v>
      </c>
      <c r="D321" s="10" t="s">
        <v>10</v>
      </c>
      <c r="E321" s="10" t="s">
        <v>18</v>
      </c>
      <c r="F321" s="10" t="s">
        <v>4</v>
      </c>
      <c r="G321" s="10" t="s">
        <v>27</v>
      </c>
      <c r="H321" s="10" t="s">
        <v>47</v>
      </c>
      <c r="I321" s="45">
        <v>3563</v>
      </c>
      <c r="J321" s="11">
        <v>0</v>
      </c>
      <c r="K321" s="45">
        <f t="shared" si="29"/>
        <v>3563</v>
      </c>
      <c r="L321" s="10">
        <v>24</v>
      </c>
      <c r="M321" s="10">
        <v>4.2</v>
      </c>
      <c r="N321" s="10" t="b">
        <v>0</v>
      </c>
      <c r="O321" s="41"/>
      <c r="P321" s="45">
        <f t="shared" si="30"/>
        <v>1496.46</v>
      </c>
      <c r="Q321" s="45">
        <f t="shared" si="31"/>
        <v>2066.54</v>
      </c>
      <c r="R321" s="45">
        <v>0</v>
      </c>
      <c r="S321" s="45">
        <f t="shared" si="32"/>
        <v>0</v>
      </c>
      <c r="T321" s="45">
        <f t="shared" si="33"/>
        <v>0</v>
      </c>
      <c r="U321" s="47">
        <f t="shared" si="34"/>
        <v>2066.54</v>
      </c>
    </row>
    <row r="322" spans="1:21" x14ac:dyDescent="0.3">
      <c r="A322" s="41" t="str">
        <f t="shared" ref="A322:A385" si="35">UPPER("P"&amp;LEFT(D322,3)&amp;LEFT(E322,2))</f>
        <v>PMANBO</v>
      </c>
      <c r="B322" s="43">
        <v>45479</v>
      </c>
      <c r="C322" s="10" t="s">
        <v>364</v>
      </c>
      <c r="D322" s="10" t="s">
        <v>31</v>
      </c>
      <c r="E322" s="10" t="s">
        <v>26</v>
      </c>
      <c r="F322" s="10" t="s">
        <v>23</v>
      </c>
      <c r="G322" s="10" t="s">
        <v>27</v>
      </c>
      <c r="H322" s="10" t="s">
        <v>47</v>
      </c>
      <c r="I322" s="45">
        <v>2587</v>
      </c>
      <c r="J322" s="11">
        <v>0.16200000000000001</v>
      </c>
      <c r="K322" s="45">
        <f t="shared" si="29"/>
        <v>2167.9059999999999</v>
      </c>
      <c r="L322" s="10">
        <v>13</v>
      </c>
      <c r="M322" s="10">
        <v>2.2999999999999998</v>
      </c>
      <c r="N322" s="10" t="b">
        <v>0</v>
      </c>
      <c r="O322" s="41"/>
      <c r="P322" s="45">
        <f t="shared" si="30"/>
        <v>910.52051999999992</v>
      </c>
      <c r="Q322" s="45">
        <f t="shared" si="31"/>
        <v>1257.3854799999999</v>
      </c>
      <c r="R322" s="45">
        <v>0</v>
      </c>
      <c r="S322" s="45">
        <f t="shared" si="32"/>
        <v>0</v>
      </c>
      <c r="T322" s="45">
        <f t="shared" si="33"/>
        <v>0</v>
      </c>
      <c r="U322" s="47">
        <f t="shared" si="34"/>
        <v>1257.3854799999999</v>
      </c>
    </row>
    <row r="323" spans="1:21" x14ac:dyDescent="0.3">
      <c r="A323" s="41" t="str">
        <f t="shared" si="35"/>
        <v>PUNIDR</v>
      </c>
      <c r="B323" s="43">
        <v>45479</v>
      </c>
      <c r="C323" s="10" t="s">
        <v>365</v>
      </c>
      <c r="D323" s="10" t="s">
        <v>10</v>
      </c>
      <c r="E323" s="10" t="s">
        <v>30</v>
      </c>
      <c r="F323" s="10" t="s">
        <v>11</v>
      </c>
      <c r="G323" s="10" t="s">
        <v>38</v>
      </c>
      <c r="H323" s="10" t="s">
        <v>32</v>
      </c>
      <c r="I323" s="45">
        <v>2622</v>
      </c>
      <c r="J323" s="11">
        <v>0.10800000000000001</v>
      </c>
      <c r="K323" s="45">
        <f t="shared" ref="K323:K386" si="36">I323*(1-J323)</f>
        <v>2338.8240000000001</v>
      </c>
      <c r="L323" s="10">
        <v>27</v>
      </c>
      <c r="M323" s="10">
        <v>3.3</v>
      </c>
      <c r="N323" s="10" t="b">
        <v>0</v>
      </c>
      <c r="O323" s="41"/>
      <c r="P323" s="45">
        <f t="shared" ref="P323:P386" si="37">K323*0.42</f>
        <v>982.30607999999995</v>
      </c>
      <c r="Q323" s="45">
        <f t="shared" ref="Q323:Q386" si="38">K323-P323</f>
        <v>1356.5179200000002</v>
      </c>
      <c r="R323" s="45">
        <v>0</v>
      </c>
      <c r="S323" s="45">
        <f t="shared" ref="S323:S386" si="39">IF(N323=TRUE,K323*0.1,0)</f>
        <v>0</v>
      </c>
      <c r="T323" s="45">
        <f t="shared" ref="T323:T386" si="40">IF(N323=TRUE,K323,0)</f>
        <v>0</v>
      </c>
      <c r="U323" s="47">
        <f t="shared" ref="U323:U386" si="41">Q323-R323-S323-T323</f>
        <v>1356.5179200000002</v>
      </c>
    </row>
    <row r="324" spans="1:21" x14ac:dyDescent="0.3">
      <c r="A324" s="41" t="str">
        <f t="shared" si="35"/>
        <v>PH&amp;MBO</v>
      </c>
      <c r="B324" s="43">
        <v>45480</v>
      </c>
      <c r="C324" s="10" t="s">
        <v>366</v>
      </c>
      <c r="D324" s="10" t="s">
        <v>37</v>
      </c>
      <c r="E324" s="10" t="s">
        <v>26</v>
      </c>
      <c r="F324" s="10" t="s">
        <v>4</v>
      </c>
      <c r="G324" s="10" t="s">
        <v>7</v>
      </c>
      <c r="H324" s="10" t="s">
        <v>43</v>
      </c>
      <c r="I324" s="45">
        <v>2723</v>
      </c>
      <c r="J324" s="11">
        <v>0</v>
      </c>
      <c r="K324" s="45">
        <f t="shared" si="36"/>
        <v>2723</v>
      </c>
      <c r="L324" s="10">
        <v>37</v>
      </c>
      <c r="M324" s="10">
        <v>4.9000000000000004</v>
      </c>
      <c r="N324" s="10" t="b">
        <v>0</v>
      </c>
      <c r="O324" s="41"/>
      <c r="P324" s="45">
        <f t="shared" si="37"/>
        <v>1143.6599999999999</v>
      </c>
      <c r="Q324" s="45">
        <f t="shared" si="38"/>
        <v>1579.3400000000001</v>
      </c>
      <c r="R324" s="45">
        <v>0</v>
      </c>
      <c r="S324" s="45">
        <f t="shared" si="39"/>
        <v>0</v>
      </c>
      <c r="T324" s="45">
        <f t="shared" si="40"/>
        <v>0</v>
      </c>
      <c r="U324" s="47">
        <f t="shared" si="41"/>
        <v>1579.3400000000001</v>
      </c>
    </row>
    <row r="325" spans="1:21" x14ac:dyDescent="0.3">
      <c r="A325" s="41" t="str">
        <f t="shared" si="35"/>
        <v>PMANDR</v>
      </c>
      <c r="B325" s="43">
        <v>45480</v>
      </c>
      <c r="C325" s="10" t="s">
        <v>367</v>
      </c>
      <c r="D325" s="10" t="s">
        <v>31</v>
      </c>
      <c r="E325" s="10" t="s">
        <v>30</v>
      </c>
      <c r="F325" s="10" t="s">
        <v>23</v>
      </c>
      <c r="G325" s="10" t="s">
        <v>5</v>
      </c>
      <c r="H325" s="10" t="s">
        <v>7</v>
      </c>
      <c r="I325" s="45">
        <v>2838</v>
      </c>
      <c r="J325" s="11">
        <v>0.36799999999999999</v>
      </c>
      <c r="K325" s="45">
        <f t="shared" si="36"/>
        <v>1793.616</v>
      </c>
      <c r="L325" s="10">
        <v>16</v>
      </c>
      <c r="M325" s="10">
        <v>2.5</v>
      </c>
      <c r="N325" s="10" t="b">
        <v>1</v>
      </c>
      <c r="O325" s="41" t="s">
        <v>44</v>
      </c>
      <c r="P325" s="45">
        <f t="shared" si="37"/>
        <v>753.31871999999998</v>
      </c>
      <c r="Q325" s="45">
        <f t="shared" si="38"/>
        <v>1040.29728</v>
      </c>
      <c r="R325" s="45">
        <v>150</v>
      </c>
      <c r="S325" s="45">
        <f t="shared" si="39"/>
        <v>179.36160000000001</v>
      </c>
      <c r="T325" s="45">
        <f t="shared" si="40"/>
        <v>1793.616</v>
      </c>
      <c r="U325" s="47">
        <f t="shared" si="41"/>
        <v>-1082.6803199999999</v>
      </c>
    </row>
    <row r="326" spans="1:21" x14ac:dyDescent="0.3">
      <c r="A326" s="41" t="str">
        <f t="shared" si="35"/>
        <v>PBANOU</v>
      </c>
      <c r="B326" s="43">
        <v>45480</v>
      </c>
      <c r="C326" s="10" t="s">
        <v>368</v>
      </c>
      <c r="D326" s="10" t="s">
        <v>21</v>
      </c>
      <c r="E326" s="10" t="s">
        <v>2</v>
      </c>
      <c r="F326" s="10" t="s">
        <v>54</v>
      </c>
      <c r="G326" s="10" t="s">
        <v>49</v>
      </c>
      <c r="H326" s="10" t="s">
        <v>56</v>
      </c>
      <c r="I326" s="45">
        <v>3242</v>
      </c>
      <c r="J326" s="11">
        <v>0.502</v>
      </c>
      <c r="K326" s="45">
        <f t="shared" si="36"/>
        <v>1614.5160000000001</v>
      </c>
      <c r="L326" s="10">
        <v>21</v>
      </c>
      <c r="M326" s="10">
        <v>3</v>
      </c>
      <c r="N326" s="10" t="b">
        <v>0</v>
      </c>
      <c r="O326" s="41"/>
      <c r="P326" s="45">
        <f t="shared" si="37"/>
        <v>678.09672</v>
      </c>
      <c r="Q326" s="45">
        <f t="shared" si="38"/>
        <v>936.41928000000007</v>
      </c>
      <c r="R326" s="45">
        <v>0</v>
      </c>
      <c r="S326" s="45">
        <f t="shared" si="39"/>
        <v>0</v>
      </c>
      <c r="T326" s="45">
        <f t="shared" si="40"/>
        <v>0</v>
      </c>
      <c r="U326" s="47">
        <f t="shared" si="41"/>
        <v>936.41928000000007</v>
      </c>
    </row>
    <row r="327" spans="1:21" x14ac:dyDescent="0.3">
      <c r="A327" s="41" t="str">
        <f t="shared" si="35"/>
        <v>PFORDR</v>
      </c>
      <c r="B327" s="43">
        <v>45480</v>
      </c>
      <c r="C327" s="10" t="s">
        <v>369</v>
      </c>
      <c r="D327" s="10" t="s">
        <v>65</v>
      </c>
      <c r="E327" s="10" t="s">
        <v>30</v>
      </c>
      <c r="F327" s="10" t="s">
        <v>23</v>
      </c>
      <c r="G327" s="10" t="s">
        <v>49</v>
      </c>
      <c r="H327" s="10" t="s">
        <v>35</v>
      </c>
      <c r="I327" s="45">
        <v>2551</v>
      </c>
      <c r="J327" s="11">
        <v>8.8000000000000009E-2</v>
      </c>
      <c r="K327" s="45">
        <f t="shared" si="36"/>
        <v>2326.5120000000002</v>
      </c>
      <c r="L327" s="10">
        <v>43</v>
      </c>
      <c r="M327" s="10">
        <v>4.5</v>
      </c>
      <c r="N327" s="10" t="b">
        <v>0</v>
      </c>
      <c r="O327" s="41"/>
      <c r="P327" s="45">
        <f t="shared" si="37"/>
        <v>977.13504</v>
      </c>
      <c r="Q327" s="45">
        <f t="shared" si="38"/>
        <v>1349.3769600000001</v>
      </c>
      <c r="R327" s="45">
        <v>0</v>
      </c>
      <c r="S327" s="45">
        <f t="shared" si="39"/>
        <v>0</v>
      </c>
      <c r="T327" s="45">
        <f t="shared" si="40"/>
        <v>0</v>
      </c>
      <c r="U327" s="47">
        <f t="shared" si="41"/>
        <v>1349.3769600000001</v>
      </c>
    </row>
    <row r="328" spans="1:21" x14ac:dyDescent="0.3">
      <c r="A328" s="41" t="str">
        <f t="shared" si="35"/>
        <v>PFORBO</v>
      </c>
      <c r="B328" s="43">
        <v>45481</v>
      </c>
      <c r="C328" s="10" t="s">
        <v>370</v>
      </c>
      <c r="D328" s="10" t="s">
        <v>65</v>
      </c>
      <c r="E328" s="10" t="s">
        <v>26</v>
      </c>
      <c r="F328" s="10" t="s">
        <v>11</v>
      </c>
      <c r="G328" s="10" t="s">
        <v>27</v>
      </c>
      <c r="H328" s="10" t="s">
        <v>16</v>
      </c>
      <c r="I328" s="45">
        <v>2773</v>
      </c>
      <c r="J328" s="11">
        <v>0.46500000000000002</v>
      </c>
      <c r="K328" s="45">
        <f t="shared" si="36"/>
        <v>1483.5549999999998</v>
      </c>
      <c r="L328" s="10">
        <v>17</v>
      </c>
      <c r="M328" s="10"/>
      <c r="N328" s="10" t="b">
        <v>0</v>
      </c>
      <c r="O328" s="41"/>
      <c r="P328" s="45">
        <f t="shared" si="37"/>
        <v>623.09309999999994</v>
      </c>
      <c r="Q328" s="45">
        <f t="shared" si="38"/>
        <v>860.4618999999999</v>
      </c>
      <c r="R328" s="45">
        <v>0</v>
      </c>
      <c r="S328" s="45">
        <f t="shared" si="39"/>
        <v>0</v>
      </c>
      <c r="T328" s="45">
        <f t="shared" si="40"/>
        <v>0</v>
      </c>
      <c r="U328" s="47">
        <f t="shared" si="41"/>
        <v>860.4618999999999</v>
      </c>
    </row>
    <row r="329" spans="1:21" x14ac:dyDescent="0.3">
      <c r="A329" s="41" t="str">
        <f t="shared" si="35"/>
        <v>PGAPAC</v>
      </c>
      <c r="B329" s="43">
        <v>45481</v>
      </c>
      <c r="C329" s="10" t="s">
        <v>371</v>
      </c>
      <c r="D329" s="10" t="s">
        <v>53</v>
      </c>
      <c r="E329" s="10" t="s">
        <v>15</v>
      </c>
      <c r="F329" s="10" t="s">
        <v>4</v>
      </c>
      <c r="G329" s="10" t="s">
        <v>7</v>
      </c>
      <c r="H329" s="10" t="s">
        <v>16</v>
      </c>
      <c r="I329" s="45">
        <v>468</v>
      </c>
      <c r="J329" s="11">
        <v>0.44700000000000001</v>
      </c>
      <c r="K329" s="45">
        <f t="shared" si="36"/>
        <v>258.80399999999997</v>
      </c>
      <c r="L329" s="10">
        <v>34</v>
      </c>
      <c r="M329" s="10">
        <v>1.4</v>
      </c>
      <c r="N329" s="10" t="b">
        <v>0</v>
      </c>
      <c r="O329" s="41"/>
      <c r="P329" s="45">
        <f t="shared" si="37"/>
        <v>108.69767999999999</v>
      </c>
      <c r="Q329" s="45">
        <f t="shared" si="38"/>
        <v>150.10631999999998</v>
      </c>
      <c r="R329" s="45">
        <v>0</v>
      </c>
      <c r="S329" s="45">
        <f t="shared" si="39"/>
        <v>0</v>
      </c>
      <c r="T329" s="45">
        <f t="shared" si="40"/>
        <v>0</v>
      </c>
      <c r="U329" s="47">
        <f t="shared" si="41"/>
        <v>150.10631999999998</v>
      </c>
    </row>
    <row r="330" spans="1:21" x14ac:dyDescent="0.3">
      <c r="A330" s="41" t="str">
        <f t="shared" si="35"/>
        <v>PUNIOU</v>
      </c>
      <c r="B330" s="43">
        <v>45481</v>
      </c>
      <c r="C330" s="10" t="s">
        <v>372</v>
      </c>
      <c r="D330" s="10" t="s">
        <v>10</v>
      </c>
      <c r="E330" s="10" t="s">
        <v>2</v>
      </c>
      <c r="F330" s="10" t="s">
        <v>54</v>
      </c>
      <c r="G330" s="10" t="s">
        <v>46</v>
      </c>
      <c r="H330" s="10" t="s">
        <v>28</v>
      </c>
      <c r="I330" s="45">
        <v>4240</v>
      </c>
      <c r="J330" s="11">
        <v>0.29499999999999998</v>
      </c>
      <c r="K330" s="45">
        <f t="shared" si="36"/>
        <v>2989.2000000000003</v>
      </c>
      <c r="L330" s="10">
        <v>43</v>
      </c>
      <c r="M330" s="10">
        <v>1.2</v>
      </c>
      <c r="N330" s="10" t="b">
        <v>0</v>
      </c>
      <c r="O330" s="41"/>
      <c r="P330" s="45">
        <f t="shared" si="37"/>
        <v>1255.4640000000002</v>
      </c>
      <c r="Q330" s="45">
        <f t="shared" si="38"/>
        <v>1733.7360000000001</v>
      </c>
      <c r="R330" s="45">
        <v>0</v>
      </c>
      <c r="S330" s="45">
        <f t="shared" si="39"/>
        <v>0</v>
      </c>
      <c r="T330" s="45">
        <f t="shared" si="40"/>
        <v>0</v>
      </c>
      <c r="U330" s="47">
        <f t="shared" si="41"/>
        <v>1733.7360000000001</v>
      </c>
    </row>
    <row r="331" spans="1:21" x14ac:dyDescent="0.3">
      <c r="A331" s="41" t="str">
        <f t="shared" si="35"/>
        <v>PGAPAC</v>
      </c>
      <c r="B331" s="43">
        <v>45481</v>
      </c>
      <c r="C331" s="10" t="s">
        <v>373</v>
      </c>
      <c r="D331" s="10" t="s">
        <v>53</v>
      </c>
      <c r="E331" s="10" t="s">
        <v>15</v>
      </c>
      <c r="F331" s="10" t="s">
        <v>4</v>
      </c>
      <c r="G331" s="10" t="s">
        <v>7</v>
      </c>
      <c r="H331" s="10" t="s">
        <v>47</v>
      </c>
      <c r="I331" s="45">
        <v>166</v>
      </c>
      <c r="J331" s="11">
        <v>0</v>
      </c>
      <c r="K331" s="45">
        <f t="shared" si="36"/>
        <v>166</v>
      </c>
      <c r="L331" s="10">
        <v>21</v>
      </c>
      <c r="M331" s="10">
        <v>4.3</v>
      </c>
      <c r="N331" s="10" t="b">
        <v>0</v>
      </c>
      <c r="O331" s="41"/>
      <c r="P331" s="45">
        <f t="shared" si="37"/>
        <v>69.72</v>
      </c>
      <c r="Q331" s="45">
        <f t="shared" si="38"/>
        <v>96.28</v>
      </c>
      <c r="R331" s="45">
        <v>0</v>
      </c>
      <c r="S331" s="45">
        <f t="shared" si="39"/>
        <v>0</v>
      </c>
      <c r="T331" s="45">
        <f t="shared" si="40"/>
        <v>0</v>
      </c>
      <c r="U331" s="47">
        <f t="shared" si="41"/>
        <v>96.28</v>
      </c>
    </row>
    <row r="332" spans="1:21" x14ac:dyDescent="0.3">
      <c r="A332" s="41" t="str">
        <f t="shared" si="35"/>
        <v>PGAPOU</v>
      </c>
      <c r="B332" s="43">
        <v>45482</v>
      </c>
      <c r="C332" s="10" t="s">
        <v>374</v>
      </c>
      <c r="D332" s="10" t="s">
        <v>53</v>
      </c>
      <c r="E332" s="10" t="s">
        <v>2</v>
      </c>
      <c r="F332" s="10" t="s">
        <v>54</v>
      </c>
      <c r="G332" s="10" t="s">
        <v>12</v>
      </c>
      <c r="H332" s="10" t="s">
        <v>43</v>
      </c>
      <c r="I332" s="45">
        <v>3744</v>
      </c>
      <c r="J332" s="11">
        <v>0</v>
      </c>
      <c r="K332" s="45">
        <f t="shared" si="36"/>
        <v>3744</v>
      </c>
      <c r="L332" s="10">
        <v>31</v>
      </c>
      <c r="M332" s="10">
        <v>1.3</v>
      </c>
      <c r="N332" s="10" t="b">
        <v>0</v>
      </c>
      <c r="O332" s="41"/>
      <c r="P332" s="45">
        <f t="shared" si="37"/>
        <v>1572.48</v>
      </c>
      <c r="Q332" s="45">
        <f t="shared" si="38"/>
        <v>2171.52</v>
      </c>
      <c r="R332" s="45">
        <v>0</v>
      </c>
      <c r="S332" s="45">
        <f t="shared" si="39"/>
        <v>0</v>
      </c>
      <c r="T332" s="45">
        <f t="shared" si="40"/>
        <v>0</v>
      </c>
      <c r="U332" s="47">
        <f t="shared" si="41"/>
        <v>2171.52</v>
      </c>
    </row>
    <row r="333" spans="1:21" x14ac:dyDescent="0.3">
      <c r="A333" s="41" t="str">
        <f t="shared" si="35"/>
        <v>PFORDR</v>
      </c>
      <c r="B333" s="43">
        <v>45482</v>
      </c>
      <c r="C333" s="10" t="s">
        <v>375</v>
      </c>
      <c r="D333" s="10" t="s">
        <v>65</v>
      </c>
      <c r="E333" s="10" t="s">
        <v>30</v>
      </c>
      <c r="F333" s="10" t="s">
        <v>23</v>
      </c>
      <c r="G333" s="10" t="s">
        <v>46</v>
      </c>
      <c r="H333" s="10" t="s">
        <v>56</v>
      </c>
      <c r="I333" s="45">
        <v>1871</v>
      </c>
      <c r="J333" s="11">
        <v>0.52100000000000002</v>
      </c>
      <c r="K333" s="45">
        <f t="shared" si="36"/>
        <v>896.20899999999995</v>
      </c>
      <c r="L333" s="10">
        <v>7</v>
      </c>
      <c r="M333" s="10">
        <v>1.2</v>
      </c>
      <c r="N333" s="10" t="b">
        <v>0</v>
      </c>
      <c r="O333" s="41"/>
      <c r="P333" s="45">
        <f t="shared" si="37"/>
        <v>376.40777999999995</v>
      </c>
      <c r="Q333" s="45">
        <f t="shared" si="38"/>
        <v>519.80122000000006</v>
      </c>
      <c r="R333" s="45">
        <v>0</v>
      </c>
      <c r="S333" s="45">
        <f t="shared" si="39"/>
        <v>0</v>
      </c>
      <c r="T333" s="45">
        <f t="shared" si="40"/>
        <v>0</v>
      </c>
      <c r="U333" s="47">
        <f t="shared" si="41"/>
        <v>519.80122000000006</v>
      </c>
    </row>
    <row r="334" spans="1:21" x14ac:dyDescent="0.3">
      <c r="A334" s="41" t="str">
        <f t="shared" si="35"/>
        <v>PMANBO</v>
      </c>
      <c r="B334" s="43">
        <v>45482</v>
      </c>
      <c r="C334" s="10" t="s">
        <v>376</v>
      </c>
      <c r="D334" s="10" t="s">
        <v>31</v>
      </c>
      <c r="E334" s="10" t="s">
        <v>26</v>
      </c>
      <c r="F334" s="10" t="s">
        <v>54</v>
      </c>
      <c r="G334" s="10" t="s">
        <v>7</v>
      </c>
      <c r="H334" s="10" t="s">
        <v>16</v>
      </c>
      <c r="I334" s="45">
        <v>2149</v>
      </c>
      <c r="J334" s="11">
        <v>0</v>
      </c>
      <c r="K334" s="45">
        <f t="shared" si="36"/>
        <v>2149</v>
      </c>
      <c r="L334" s="10">
        <v>50</v>
      </c>
      <c r="M334" s="10">
        <v>3.6</v>
      </c>
      <c r="N334" s="10" t="b">
        <v>0</v>
      </c>
      <c r="O334" s="41"/>
      <c r="P334" s="45">
        <f t="shared" si="37"/>
        <v>902.57999999999993</v>
      </c>
      <c r="Q334" s="45">
        <f t="shared" si="38"/>
        <v>1246.42</v>
      </c>
      <c r="R334" s="45">
        <v>0</v>
      </c>
      <c r="S334" s="45">
        <f t="shared" si="39"/>
        <v>0</v>
      </c>
      <c r="T334" s="45">
        <f t="shared" si="40"/>
        <v>0</v>
      </c>
      <c r="U334" s="47">
        <f t="shared" si="41"/>
        <v>1246.42</v>
      </c>
    </row>
    <row r="335" spans="1:21" x14ac:dyDescent="0.3">
      <c r="A335" s="41" t="str">
        <f t="shared" si="35"/>
        <v>PZARAC</v>
      </c>
      <c r="B335" s="43">
        <v>45483</v>
      </c>
      <c r="C335" s="10" t="s">
        <v>377</v>
      </c>
      <c r="D335" s="10" t="s">
        <v>3</v>
      </c>
      <c r="E335" s="10" t="s">
        <v>15</v>
      </c>
      <c r="F335" s="10" t="s">
        <v>4</v>
      </c>
      <c r="G335" s="10" t="s">
        <v>7</v>
      </c>
      <c r="H335" s="10" t="s">
        <v>56</v>
      </c>
      <c r="I335" s="45">
        <v>407</v>
      </c>
      <c r="J335" s="11">
        <v>0</v>
      </c>
      <c r="K335" s="45">
        <f t="shared" si="36"/>
        <v>407</v>
      </c>
      <c r="L335" s="10">
        <v>46</v>
      </c>
      <c r="M335" s="10"/>
      <c r="N335" s="10" t="b">
        <v>0</v>
      </c>
      <c r="O335" s="41"/>
      <c r="P335" s="45">
        <f t="shared" si="37"/>
        <v>170.94</v>
      </c>
      <c r="Q335" s="45">
        <f t="shared" si="38"/>
        <v>236.06</v>
      </c>
      <c r="R335" s="45">
        <v>0</v>
      </c>
      <c r="S335" s="45">
        <f t="shared" si="39"/>
        <v>0</v>
      </c>
      <c r="T335" s="45">
        <f t="shared" si="40"/>
        <v>0</v>
      </c>
      <c r="U335" s="47">
        <f t="shared" si="41"/>
        <v>236.06</v>
      </c>
    </row>
    <row r="336" spans="1:21" x14ac:dyDescent="0.3">
      <c r="A336" s="41" t="str">
        <f t="shared" si="35"/>
        <v>PMANBO</v>
      </c>
      <c r="B336" s="43">
        <v>45483</v>
      </c>
      <c r="C336" s="10" t="s">
        <v>378</v>
      </c>
      <c r="D336" s="10" t="s">
        <v>31</v>
      </c>
      <c r="E336" s="10" t="s">
        <v>26</v>
      </c>
      <c r="F336" s="10" t="s">
        <v>23</v>
      </c>
      <c r="G336" s="10" t="s">
        <v>7</v>
      </c>
      <c r="H336" s="10" t="s">
        <v>13</v>
      </c>
      <c r="I336" s="45">
        <v>2503</v>
      </c>
      <c r="J336" s="11">
        <v>0</v>
      </c>
      <c r="K336" s="45">
        <f t="shared" si="36"/>
        <v>2503</v>
      </c>
      <c r="L336" s="10">
        <v>1</v>
      </c>
      <c r="M336" s="10">
        <v>1.4</v>
      </c>
      <c r="N336" s="10" t="b">
        <v>0</v>
      </c>
      <c r="O336" s="41"/>
      <c r="P336" s="45">
        <f t="shared" si="37"/>
        <v>1051.26</v>
      </c>
      <c r="Q336" s="45">
        <f t="shared" si="38"/>
        <v>1451.74</v>
      </c>
      <c r="R336" s="45">
        <v>0</v>
      </c>
      <c r="S336" s="45">
        <f t="shared" si="39"/>
        <v>0</v>
      </c>
      <c r="T336" s="45">
        <f t="shared" si="40"/>
        <v>0</v>
      </c>
      <c r="U336" s="47">
        <f t="shared" si="41"/>
        <v>1451.74</v>
      </c>
    </row>
    <row r="337" spans="1:21" x14ac:dyDescent="0.3">
      <c r="A337" s="41" t="str">
        <f t="shared" si="35"/>
        <v>PMANSH</v>
      </c>
      <c r="B337" s="43">
        <v>45483</v>
      </c>
      <c r="C337" s="10" t="s">
        <v>379</v>
      </c>
      <c r="D337" s="10" t="s">
        <v>31</v>
      </c>
      <c r="E337" s="10" t="s">
        <v>18</v>
      </c>
      <c r="F337" s="10" t="s">
        <v>11</v>
      </c>
      <c r="G337" s="10" t="s">
        <v>27</v>
      </c>
      <c r="H337" s="10" t="s">
        <v>16</v>
      </c>
      <c r="I337" s="45">
        <v>4396</v>
      </c>
      <c r="J337" s="11">
        <v>0</v>
      </c>
      <c r="K337" s="45">
        <f t="shared" si="36"/>
        <v>4396</v>
      </c>
      <c r="L337" s="10">
        <v>11</v>
      </c>
      <c r="M337" s="10">
        <v>4.3</v>
      </c>
      <c r="N337" s="10" t="b">
        <v>1</v>
      </c>
      <c r="O337" s="41" t="s">
        <v>33</v>
      </c>
      <c r="P337" s="45">
        <f t="shared" si="37"/>
        <v>1846.32</v>
      </c>
      <c r="Q337" s="45">
        <f t="shared" si="38"/>
        <v>2549.6800000000003</v>
      </c>
      <c r="R337" s="45">
        <v>150</v>
      </c>
      <c r="S337" s="45">
        <f t="shared" si="39"/>
        <v>439.6</v>
      </c>
      <c r="T337" s="45">
        <f t="shared" si="40"/>
        <v>4396</v>
      </c>
      <c r="U337" s="47">
        <f t="shared" si="41"/>
        <v>-2435.9199999999996</v>
      </c>
    </row>
    <row r="338" spans="1:21" x14ac:dyDescent="0.3">
      <c r="A338" s="41" t="str">
        <f t="shared" si="35"/>
        <v>PZARBO</v>
      </c>
      <c r="B338" s="43">
        <v>45483</v>
      </c>
      <c r="C338" s="10" t="s">
        <v>380</v>
      </c>
      <c r="D338" s="10" t="s">
        <v>3</v>
      </c>
      <c r="E338" s="10" t="s">
        <v>26</v>
      </c>
      <c r="F338" s="10" t="s">
        <v>23</v>
      </c>
      <c r="G338" s="10" t="s">
        <v>38</v>
      </c>
      <c r="H338" s="10" t="s">
        <v>28</v>
      </c>
      <c r="I338" s="45">
        <v>2446</v>
      </c>
      <c r="J338" s="11">
        <v>0.111</v>
      </c>
      <c r="K338" s="45">
        <f t="shared" si="36"/>
        <v>2174.4940000000001</v>
      </c>
      <c r="L338" s="10">
        <v>25</v>
      </c>
      <c r="M338" s="10">
        <v>2.4</v>
      </c>
      <c r="N338" s="10" t="b">
        <v>1</v>
      </c>
      <c r="O338" s="41" t="s">
        <v>19</v>
      </c>
      <c r="P338" s="45">
        <f t="shared" si="37"/>
        <v>913.28748000000007</v>
      </c>
      <c r="Q338" s="45">
        <f t="shared" si="38"/>
        <v>1261.2065200000002</v>
      </c>
      <c r="R338" s="45">
        <v>150</v>
      </c>
      <c r="S338" s="45">
        <f t="shared" si="39"/>
        <v>217.44940000000003</v>
      </c>
      <c r="T338" s="45">
        <f t="shared" si="40"/>
        <v>2174.4940000000001</v>
      </c>
      <c r="U338" s="47">
        <f t="shared" si="41"/>
        <v>-1280.7368799999999</v>
      </c>
    </row>
    <row r="339" spans="1:21" x14ac:dyDescent="0.3">
      <c r="A339" s="41" t="str">
        <f t="shared" si="35"/>
        <v>PH&amp;MOU</v>
      </c>
      <c r="B339" s="43">
        <v>45484</v>
      </c>
      <c r="C339" s="10" t="s">
        <v>381</v>
      </c>
      <c r="D339" s="10" t="s">
        <v>37</v>
      </c>
      <c r="E339" s="10" t="s">
        <v>2</v>
      </c>
      <c r="F339" s="10" t="s">
        <v>54</v>
      </c>
      <c r="G339" s="10" t="s">
        <v>49</v>
      </c>
      <c r="H339" s="10" t="s">
        <v>13</v>
      </c>
      <c r="I339" s="45">
        <v>4079</v>
      </c>
      <c r="J339" s="11">
        <v>0.36899999999999999</v>
      </c>
      <c r="K339" s="45">
        <f t="shared" si="36"/>
        <v>2573.8490000000002</v>
      </c>
      <c r="L339" s="10">
        <v>33</v>
      </c>
      <c r="M339" s="10">
        <v>1.5</v>
      </c>
      <c r="N339" s="10" t="b">
        <v>0</v>
      </c>
      <c r="O339" s="41"/>
      <c r="P339" s="45">
        <f t="shared" si="37"/>
        <v>1081.01658</v>
      </c>
      <c r="Q339" s="45">
        <f t="shared" si="38"/>
        <v>1492.8324200000002</v>
      </c>
      <c r="R339" s="45">
        <v>0</v>
      </c>
      <c r="S339" s="45">
        <f t="shared" si="39"/>
        <v>0</v>
      </c>
      <c r="T339" s="45">
        <f t="shared" si="40"/>
        <v>0</v>
      </c>
      <c r="U339" s="47">
        <f t="shared" si="41"/>
        <v>1492.8324200000002</v>
      </c>
    </row>
    <row r="340" spans="1:21" x14ac:dyDescent="0.3">
      <c r="A340" s="41" t="str">
        <f t="shared" si="35"/>
        <v>PZARBO</v>
      </c>
      <c r="B340" s="43">
        <v>45484</v>
      </c>
      <c r="C340" s="10" t="s">
        <v>382</v>
      </c>
      <c r="D340" s="10" t="s">
        <v>3</v>
      </c>
      <c r="E340" s="10" t="s">
        <v>26</v>
      </c>
      <c r="F340" s="10" t="s">
        <v>11</v>
      </c>
      <c r="G340" s="10" t="s">
        <v>46</v>
      </c>
      <c r="H340" s="10" t="s">
        <v>88</v>
      </c>
      <c r="I340" s="45">
        <v>2323</v>
      </c>
      <c r="J340" s="11">
        <v>0</v>
      </c>
      <c r="K340" s="45">
        <f t="shared" si="36"/>
        <v>2323</v>
      </c>
      <c r="L340" s="10">
        <v>0</v>
      </c>
      <c r="M340" s="10">
        <v>1.5</v>
      </c>
      <c r="N340" s="10" t="b">
        <v>0</v>
      </c>
      <c r="O340" s="41"/>
      <c r="P340" s="45">
        <f t="shared" si="37"/>
        <v>975.66</v>
      </c>
      <c r="Q340" s="45">
        <f t="shared" si="38"/>
        <v>1347.3400000000001</v>
      </c>
      <c r="R340" s="45">
        <v>0</v>
      </c>
      <c r="S340" s="45">
        <f t="shared" si="39"/>
        <v>0</v>
      </c>
      <c r="T340" s="45">
        <f t="shared" si="40"/>
        <v>0</v>
      </c>
      <c r="U340" s="47">
        <f t="shared" si="41"/>
        <v>1347.3400000000001</v>
      </c>
    </row>
    <row r="341" spans="1:21" x14ac:dyDescent="0.3">
      <c r="A341" s="41" t="str">
        <f t="shared" si="35"/>
        <v>PANNSH</v>
      </c>
      <c r="B341" s="43">
        <v>45484</v>
      </c>
      <c r="C341" s="10" t="s">
        <v>383</v>
      </c>
      <c r="D341" s="10" t="s">
        <v>42</v>
      </c>
      <c r="E341" s="10" t="s">
        <v>18</v>
      </c>
      <c r="F341" s="10" t="s">
        <v>4</v>
      </c>
      <c r="G341" s="10" t="s">
        <v>5</v>
      </c>
      <c r="H341" s="10" t="s">
        <v>32</v>
      </c>
      <c r="I341" s="45">
        <v>3522</v>
      </c>
      <c r="J341" s="11">
        <v>0.40600000000000003</v>
      </c>
      <c r="K341" s="45">
        <f t="shared" si="36"/>
        <v>2092.0679999999998</v>
      </c>
      <c r="L341" s="10">
        <v>43</v>
      </c>
      <c r="M341" s="10">
        <v>2.5</v>
      </c>
      <c r="N341" s="10" t="b">
        <v>0</v>
      </c>
      <c r="O341" s="41"/>
      <c r="P341" s="45">
        <f t="shared" si="37"/>
        <v>878.66855999999984</v>
      </c>
      <c r="Q341" s="45">
        <f t="shared" si="38"/>
        <v>1213.3994399999999</v>
      </c>
      <c r="R341" s="45">
        <v>0</v>
      </c>
      <c r="S341" s="45">
        <f t="shared" si="39"/>
        <v>0</v>
      </c>
      <c r="T341" s="45">
        <f t="shared" si="40"/>
        <v>0</v>
      </c>
      <c r="U341" s="47">
        <f t="shared" si="41"/>
        <v>1213.3994399999999</v>
      </c>
    </row>
    <row r="342" spans="1:21" x14ac:dyDescent="0.3">
      <c r="A342" s="41" t="str">
        <f t="shared" si="35"/>
        <v>PMANBO</v>
      </c>
      <c r="B342" s="43">
        <v>45485</v>
      </c>
      <c r="C342" s="10" t="s">
        <v>384</v>
      </c>
      <c r="D342" s="10" t="s">
        <v>31</v>
      </c>
      <c r="E342" s="10" t="s">
        <v>26</v>
      </c>
      <c r="F342" s="10" t="s">
        <v>54</v>
      </c>
      <c r="G342" s="10" t="s">
        <v>27</v>
      </c>
      <c r="H342" s="10" t="s">
        <v>16</v>
      </c>
      <c r="I342" s="45">
        <v>2796</v>
      </c>
      <c r="J342" s="11">
        <v>0.40700000000000003</v>
      </c>
      <c r="K342" s="45">
        <f t="shared" si="36"/>
        <v>1658.028</v>
      </c>
      <c r="L342" s="10">
        <v>23</v>
      </c>
      <c r="M342" s="10">
        <v>1.2</v>
      </c>
      <c r="N342" s="10" t="b">
        <v>0</v>
      </c>
      <c r="O342" s="41"/>
      <c r="P342" s="45">
        <f t="shared" si="37"/>
        <v>696.37175999999999</v>
      </c>
      <c r="Q342" s="45">
        <f t="shared" si="38"/>
        <v>961.65624000000003</v>
      </c>
      <c r="R342" s="45">
        <v>0</v>
      </c>
      <c r="S342" s="45">
        <f t="shared" si="39"/>
        <v>0</v>
      </c>
      <c r="T342" s="45">
        <f t="shared" si="40"/>
        <v>0</v>
      </c>
      <c r="U342" s="47">
        <f t="shared" si="41"/>
        <v>961.65624000000003</v>
      </c>
    </row>
    <row r="343" spans="1:21" x14ac:dyDescent="0.3">
      <c r="A343" s="41" t="str">
        <f t="shared" si="35"/>
        <v>PANNBO</v>
      </c>
      <c r="B343" s="43">
        <v>45485</v>
      </c>
      <c r="C343" s="10" t="s">
        <v>385</v>
      </c>
      <c r="D343" s="10" t="s">
        <v>42</v>
      </c>
      <c r="E343" s="10" t="s">
        <v>26</v>
      </c>
      <c r="F343" s="10" t="s">
        <v>4</v>
      </c>
      <c r="G343" s="10" t="s">
        <v>49</v>
      </c>
      <c r="H343" s="10" t="s">
        <v>43</v>
      </c>
      <c r="I343" s="45">
        <v>2624</v>
      </c>
      <c r="J343" s="11">
        <v>0</v>
      </c>
      <c r="K343" s="45">
        <f t="shared" si="36"/>
        <v>2624</v>
      </c>
      <c r="L343" s="10">
        <v>47</v>
      </c>
      <c r="M343" s="10">
        <v>4.7</v>
      </c>
      <c r="N343" s="10" t="b">
        <v>0</v>
      </c>
      <c r="O343" s="41"/>
      <c r="P343" s="45">
        <f t="shared" si="37"/>
        <v>1102.08</v>
      </c>
      <c r="Q343" s="45">
        <f t="shared" si="38"/>
        <v>1521.92</v>
      </c>
      <c r="R343" s="45">
        <v>0</v>
      </c>
      <c r="S343" s="45">
        <f t="shared" si="39"/>
        <v>0</v>
      </c>
      <c r="T343" s="45">
        <f t="shared" si="40"/>
        <v>0</v>
      </c>
      <c r="U343" s="47">
        <f t="shared" si="41"/>
        <v>1521.92</v>
      </c>
    </row>
    <row r="344" spans="1:21" x14ac:dyDescent="0.3">
      <c r="A344" s="41" t="str">
        <f t="shared" si="35"/>
        <v>PMANSH</v>
      </c>
      <c r="B344" s="43">
        <v>45485</v>
      </c>
      <c r="C344" s="10" t="s">
        <v>386</v>
      </c>
      <c r="D344" s="10" t="s">
        <v>31</v>
      </c>
      <c r="E344" s="10" t="s">
        <v>18</v>
      </c>
      <c r="F344" s="10" t="s">
        <v>23</v>
      </c>
      <c r="G344" s="10" t="s">
        <v>49</v>
      </c>
      <c r="H344" s="10" t="s">
        <v>43</v>
      </c>
      <c r="I344" s="45">
        <v>3679</v>
      </c>
      <c r="J344" s="11">
        <v>0</v>
      </c>
      <c r="K344" s="45">
        <f t="shared" si="36"/>
        <v>3679</v>
      </c>
      <c r="L344" s="10">
        <v>12</v>
      </c>
      <c r="M344" s="10">
        <v>2.4</v>
      </c>
      <c r="N344" s="10" t="b">
        <v>0</v>
      </c>
      <c r="O344" s="41"/>
      <c r="P344" s="45">
        <f t="shared" si="37"/>
        <v>1545.1799999999998</v>
      </c>
      <c r="Q344" s="45">
        <f t="shared" si="38"/>
        <v>2133.8200000000002</v>
      </c>
      <c r="R344" s="45">
        <v>0</v>
      </c>
      <c r="S344" s="45">
        <f t="shared" si="39"/>
        <v>0</v>
      </c>
      <c r="T344" s="45">
        <f t="shared" si="40"/>
        <v>0</v>
      </c>
      <c r="U344" s="47">
        <f t="shared" si="41"/>
        <v>2133.8200000000002</v>
      </c>
    </row>
    <row r="345" spans="1:21" x14ac:dyDescent="0.3">
      <c r="A345" s="41" t="str">
        <f t="shared" si="35"/>
        <v>PBANSH</v>
      </c>
      <c r="B345" s="43">
        <v>45485</v>
      </c>
      <c r="C345" s="10" t="s">
        <v>387</v>
      </c>
      <c r="D345" s="10" t="s">
        <v>21</v>
      </c>
      <c r="E345" s="10" t="s">
        <v>18</v>
      </c>
      <c r="F345" s="10" t="s">
        <v>11</v>
      </c>
      <c r="G345" s="10" t="s">
        <v>27</v>
      </c>
      <c r="H345" s="10" t="s">
        <v>28</v>
      </c>
      <c r="I345" s="45">
        <v>3464</v>
      </c>
      <c r="J345" s="11">
        <v>0.54</v>
      </c>
      <c r="K345" s="45">
        <f t="shared" si="36"/>
        <v>1593.4399999999998</v>
      </c>
      <c r="L345" s="10">
        <v>17</v>
      </c>
      <c r="M345" s="10">
        <v>4</v>
      </c>
      <c r="N345" s="10" t="b">
        <v>1</v>
      </c>
      <c r="O345" s="41" t="s">
        <v>33</v>
      </c>
      <c r="P345" s="45">
        <f t="shared" si="37"/>
        <v>669.24479999999994</v>
      </c>
      <c r="Q345" s="45">
        <f t="shared" si="38"/>
        <v>924.19519999999989</v>
      </c>
      <c r="R345" s="45">
        <v>150</v>
      </c>
      <c r="S345" s="45">
        <f t="shared" si="39"/>
        <v>159.34399999999999</v>
      </c>
      <c r="T345" s="45">
        <f t="shared" si="40"/>
        <v>1593.4399999999998</v>
      </c>
      <c r="U345" s="47">
        <f t="shared" si="41"/>
        <v>-978.58879999999999</v>
      </c>
    </row>
    <row r="346" spans="1:21" x14ac:dyDescent="0.3">
      <c r="A346" s="41" t="str">
        <f t="shared" si="35"/>
        <v>PZARAC</v>
      </c>
      <c r="B346" s="43">
        <v>45485</v>
      </c>
      <c r="C346" s="10" t="s">
        <v>388</v>
      </c>
      <c r="D346" s="10" t="s">
        <v>3</v>
      </c>
      <c r="E346" s="10" t="s">
        <v>15</v>
      </c>
      <c r="F346" s="10" t="s">
        <v>54</v>
      </c>
      <c r="G346" s="10" t="s">
        <v>7</v>
      </c>
      <c r="H346" s="10" t="s">
        <v>58</v>
      </c>
      <c r="I346" s="45">
        <v>162</v>
      </c>
      <c r="J346" s="11">
        <v>9.0000000000000011E-3</v>
      </c>
      <c r="K346" s="45">
        <f t="shared" si="36"/>
        <v>160.542</v>
      </c>
      <c r="L346" s="10">
        <v>25</v>
      </c>
      <c r="M346" s="10">
        <v>1.2</v>
      </c>
      <c r="N346" s="10" t="b">
        <v>0</v>
      </c>
      <c r="O346" s="41"/>
      <c r="P346" s="45">
        <f t="shared" si="37"/>
        <v>67.427639999999997</v>
      </c>
      <c r="Q346" s="45">
        <f t="shared" si="38"/>
        <v>93.114360000000005</v>
      </c>
      <c r="R346" s="45">
        <v>0</v>
      </c>
      <c r="S346" s="45">
        <f t="shared" si="39"/>
        <v>0</v>
      </c>
      <c r="T346" s="45">
        <f t="shared" si="40"/>
        <v>0</v>
      </c>
      <c r="U346" s="47">
        <f t="shared" si="41"/>
        <v>93.114360000000005</v>
      </c>
    </row>
    <row r="347" spans="1:21" x14ac:dyDescent="0.3">
      <c r="A347" s="41" t="str">
        <f t="shared" si="35"/>
        <v>PH&amp;MTO</v>
      </c>
      <c r="B347" s="43">
        <v>45486</v>
      </c>
      <c r="C347" s="10" t="s">
        <v>389</v>
      </c>
      <c r="D347" s="10" t="s">
        <v>37</v>
      </c>
      <c r="E347" s="10" t="s">
        <v>9</v>
      </c>
      <c r="F347" s="10" t="s">
        <v>54</v>
      </c>
      <c r="G347" s="10" t="s">
        <v>12</v>
      </c>
      <c r="H347" s="10" t="s">
        <v>32</v>
      </c>
      <c r="I347" s="45">
        <v>1597</v>
      </c>
      <c r="J347" s="11">
        <v>0</v>
      </c>
      <c r="K347" s="45">
        <f t="shared" si="36"/>
        <v>1597</v>
      </c>
      <c r="L347" s="10">
        <v>47</v>
      </c>
      <c r="M347" s="10">
        <v>4</v>
      </c>
      <c r="N347" s="10" t="b">
        <v>0</v>
      </c>
      <c r="O347" s="41"/>
      <c r="P347" s="45">
        <f t="shared" si="37"/>
        <v>670.74</v>
      </c>
      <c r="Q347" s="45">
        <f t="shared" si="38"/>
        <v>926.26</v>
      </c>
      <c r="R347" s="45">
        <v>0</v>
      </c>
      <c r="S347" s="45">
        <f t="shared" si="39"/>
        <v>0</v>
      </c>
      <c r="T347" s="45">
        <f t="shared" si="40"/>
        <v>0</v>
      </c>
      <c r="U347" s="47">
        <f t="shared" si="41"/>
        <v>926.26</v>
      </c>
    </row>
    <row r="348" spans="1:21" x14ac:dyDescent="0.3">
      <c r="A348" s="41" t="str">
        <f t="shared" si="35"/>
        <v>PMANBO</v>
      </c>
      <c r="B348" s="43">
        <v>45486</v>
      </c>
      <c r="C348" s="10" t="s">
        <v>390</v>
      </c>
      <c r="D348" s="10" t="s">
        <v>31</v>
      </c>
      <c r="E348" s="10" t="s">
        <v>26</v>
      </c>
      <c r="F348" s="10" t="s">
        <v>4</v>
      </c>
      <c r="G348" s="10" t="s">
        <v>46</v>
      </c>
      <c r="H348" s="10" t="s">
        <v>35</v>
      </c>
      <c r="I348" s="45">
        <v>2409</v>
      </c>
      <c r="J348" s="11">
        <v>4.2000000000000003E-2</v>
      </c>
      <c r="K348" s="45">
        <f t="shared" si="36"/>
        <v>2307.8220000000001</v>
      </c>
      <c r="L348" s="10">
        <v>0</v>
      </c>
      <c r="M348" s="10"/>
      <c r="N348" s="10" t="b">
        <v>0</v>
      </c>
      <c r="O348" s="41"/>
      <c r="P348" s="45">
        <f t="shared" si="37"/>
        <v>969.28524000000004</v>
      </c>
      <c r="Q348" s="45">
        <f t="shared" si="38"/>
        <v>1338.53676</v>
      </c>
      <c r="R348" s="45">
        <v>0</v>
      </c>
      <c r="S348" s="45">
        <f t="shared" si="39"/>
        <v>0</v>
      </c>
      <c r="T348" s="45">
        <f t="shared" si="40"/>
        <v>0</v>
      </c>
      <c r="U348" s="47">
        <f t="shared" si="41"/>
        <v>1338.53676</v>
      </c>
    </row>
    <row r="349" spans="1:21" x14ac:dyDescent="0.3">
      <c r="A349" s="41" t="str">
        <f t="shared" si="35"/>
        <v>PUNITO</v>
      </c>
      <c r="B349" s="43">
        <v>45486</v>
      </c>
      <c r="C349" s="10" t="s">
        <v>391</v>
      </c>
      <c r="D349" s="10" t="s">
        <v>10</v>
      </c>
      <c r="E349" s="10" t="s">
        <v>9</v>
      </c>
      <c r="F349" s="10" t="s">
        <v>54</v>
      </c>
      <c r="G349" s="10" t="s">
        <v>38</v>
      </c>
      <c r="H349" s="10" t="s">
        <v>28</v>
      </c>
      <c r="I349" s="45">
        <v>1713</v>
      </c>
      <c r="J349" s="11">
        <v>0</v>
      </c>
      <c r="K349" s="45">
        <f t="shared" si="36"/>
        <v>1713</v>
      </c>
      <c r="L349" s="10">
        <v>47</v>
      </c>
      <c r="M349" s="10">
        <v>3.8</v>
      </c>
      <c r="N349" s="10" t="b">
        <v>0</v>
      </c>
      <c r="O349" s="41"/>
      <c r="P349" s="45">
        <f t="shared" si="37"/>
        <v>719.45999999999992</v>
      </c>
      <c r="Q349" s="45">
        <f t="shared" si="38"/>
        <v>993.54000000000008</v>
      </c>
      <c r="R349" s="45">
        <v>0</v>
      </c>
      <c r="S349" s="45">
        <f t="shared" si="39"/>
        <v>0</v>
      </c>
      <c r="T349" s="45">
        <f t="shared" si="40"/>
        <v>0</v>
      </c>
      <c r="U349" s="47">
        <f t="shared" si="41"/>
        <v>993.54000000000008</v>
      </c>
    </row>
    <row r="350" spans="1:21" x14ac:dyDescent="0.3">
      <c r="A350" s="41" t="str">
        <f t="shared" si="35"/>
        <v>PGAPAC</v>
      </c>
      <c r="B350" s="43">
        <v>45487</v>
      </c>
      <c r="C350" s="10" t="s">
        <v>392</v>
      </c>
      <c r="D350" s="10" t="s">
        <v>53</v>
      </c>
      <c r="E350" s="10" t="s">
        <v>15</v>
      </c>
      <c r="F350" s="10" t="s">
        <v>54</v>
      </c>
      <c r="G350" s="10" t="s">
        <v>7</v>
      </c>
      <c r="H350" s="10" t="s">
        <v>58</v>
      </c>
      <c r="I350" s="45">
        <v>475</v>
      </c>
      <c r="J350" s="11">
        <v>0.29199999999999998</v>
      </c>
      <c r="K350" s="45">
        <f t="shared" si="36"/>
        <v>336.29999999999995</v>
      </c>
      <c r="L350" s="10">
        <v>35</v>
      </c>
      <c r="M350" s="10">
        <v>2</v>
      </c>
      <c r="N350" s="10" t="b">
        <v>0</v>
      </c>
      <c r="O350" s="41"/>
      <c r="P350" s="45">
        <f t="shared" si="37"/>
        <v>141.24599999999998</v>
      </c>
      <c r="Q350" s="45">
        <f t="shared" si="38"/>
        <v>195.05399999999997</v>
      </c>
      <c r="R350" s="45">
        <v>0</v>
      </c>
      <c r="S350" s="45">
        <f t="shared" si="39"/>
        <v>0</v>
      </c>
      <c r="T350" s="45">
        <f t="shared" si="40"/>
        <v>0</v>
      </c>
      <c r="U350" s="47">
        <f t="shared" si="41"/>
        <v>195.05399999999997</v>
      </c>
    </row>
    <row r="351" spans="1:21" x14ac:dyDescent="0.3">
      <c r="A351" s="41" t="str">
        <f t="shared" si="35"/>
        <v>PZARDR</v>
      </c>
      <c r="B351" s="43">
        <v>45487</v>
      </c>
      <c r="C351" s="10" t="s">
        <v>393</v>
      </c>
      <c r="D351" s="10" t="s">
        <v>3</v>
      </c>
      <c r="E351" s="10" t="s">
        <v>30</v>
      </c>
      <c r="F351" s="10" t="s">
        <v>4</v>
      </c>
      <c r="G351" s="10" t="s">
        <v>46</v>
      </c>
      <c r="H351" s="10" t="s">
        <v>56</v>
      </c>
      <c r="I351" s="45">
        <v>2016</v>
      </c>
      <c r="J351" s="11">
        <v>0.46700000000000003</v>
      </c>
      <c r="K351" s="45">
        <f t="shared" si="36"/>
        <v>1074.5279999999998</v>
      </c>
      <c r="L351" s="10">
        <v>30</v>
      </c>
      <c r="M351" s="10"/>
      <c r="N351" s="10" t="b">
        <v>1</v>
      </c>
      <c r="O351" s="41" t="s">
        <v>33</v>
      </c>
      <c r="P351" s="45">
        <f t="shared" si="37"/>
        <v>451.30175999999989</v>
      </c>
      <c r="Q351" s="45">
        <f t="shared" si="38"/>
        <v>623.22623999999996</v>
      </c>
      <c r="R351" s="45">
        <v>150</v>
      </c>
      <c r="S351" s="45">
        <f t="shared" si="39"/>
        <v>107.45279999999998</v>
      </c>
      <c r="T351" s="45">
        <f t="shared" si="40"/>
        <v>1074.5279999999998</v>
      </c>
      <c r="U351" s="47">
        <f t="shared" si="41"/>
        <v>-708.75455999999986</v>
      </c>
    </row>
    <row r="352" spans="1:21" x14ac:dyDescent="0.3">
      <c r="A352" s="41" t="str">
        <f t="shared" si="35"/>
        <v>PFORAC</v>
      </c>
      <c r="B352" s="43">
        <v>45487</v>
      </c>
      <c r="C352" s="10" t="s">
        <v>394</v>
      </c>
      <c r="D352" s="10" t="s">
        <v>65</v>
      </c>
      <c r="E352" s="10" t="s">
        <v>15</v>
      </c>
      <c r="F352" s="10" t="s">
        <v>54</v>
      </c>
      <c r="G352" s="10" t="s">
        <v>7</v>
      </c>
      <c r="H352" s="10" t="s">
        <v>88</v>
      </c>
      <c r="I352" s="45">
        <v>480</v>
      </c>
      <c r="J352" s="11">
        <v>0.16399999999999998</v>
      </c>
      <c r="K352" s="45">
        <f t="shared" si="36"/>
        <v>401.28000000000003</v>
      </c>
      <c r="L352" s="10">
        <v>33</v>
      </c>
      <c r="M352" s="10">
        <v>1.7</v>
      </c>
      <c r="N352" s="10" t="b">
        <v>0</v>
      </c>
      <c r="O352" s="41"/>
      <c r="P352" s="45">
        <f t="shared" si="37"/>
        <v>168.5376</v>
      </c>
      <c r="Q352" s="45">
        <f t="shared" si="38"/>
        <v>232.74240000000003</v>
      </c>
      <c r="R352" s="45">
        <v>0</v>
      </c>
      <c r="S352" s="45">
        <f t="shared" si="39"/>
        <v>0</v>
      </c>
      <c r="T352" s="45">
        <f t="shared" si="40"/>
        <v>0</v>
      </c>
      <c r="U352" s="47">
        <f t="shared" si="41"/>
        <v>232.74240000000003</v>
      </c>
    </row>
    <row r="353" spans="1:21" x14ac:dyDescent="0.3">
      <c r="A353" s="41" t="str">
        <f t="shared" si="35"/>
        <v>PH&amp;MBO</v>
      </c>
      <c r="B353" s="43">
        <v>45487</v>
      </c>
      <c r="C353" s="10" t="s">
        <v>395</v>
      </c>
      <c r="D353" s="10" t="s">
        <v>37</v>
      </c>
      <c r="E353" s="10" t="s">
        <v>26</v>
      </c>
      <c r="F353" s="10" t="s">
        <v>54</v>
      </c>
      <c r="G353" s="10" t="s">
        <v>5</v>
      </c>
      <c r="H353" s="10" t="s">
        <v>88</v>
      </c>
      <c r="I353" s="45">
        <v>2268</v>
      </c>
      <c r="J353" s="11">
        <v>0</v>
      </c>
      <c r="K353" s="45">
        <f t="shared" si="36"/>
        <v>2268</v>
      </c>
      <c r="L353" s="10">
        <v>8</v>
      </c>
      <c r="M353" s="10">
        <v>2.7</v>
      </c>
      <c r="N353" s="10" t="b">
        <v>0</v>
      </c>
      <c r="O353" s="41"/>
      <c r="P353" s="45">
        <f t="shared" si="37"/>
        <v>952.56</v>
      </c>
      <c r="Q353" s="45">
        <f t="shared" si="38"/>
        <v>1315.44</v>
      </c>
      <c r="R353" s="45">
        <v>0</v>
      </c>
      <c r="S353" s="45">
        <f t="shared" si="39"/>
        <v>0</v>
      </c>
      <c r="T353" s="45">
        <f t="shared" si="40"/>
        <v>0</v>
      </c>
      <c r="U353" s="47">
        <f t="shared" si="41"/>
        <v>1315.44</v>
      </c>
    </row>
    <row r="354" spans="1:21" x14ac:dyDescent="0.3">
      <c r="A354" s="41" t="str">
        <f t="shared" si="35"/>
        <v>PBANDR</v>
      </c>
      <c r="B354" s="43">
        <v>45488</v>
      </c>
      <c r="C354" s="10" t="s">
        <v>396</v>
      </c>
      <c r="D354" s="10" t="s">
        <v>21</v>
      </c>
      <c r="E354" s="10" t="s">
        <v>30</v>
      </c>
      <c r="F354" s="10" t="s">
        <v>4</v>
      </c>
      <c r="G354" s="10" t="s">
        <v>46</v>
      </c>
      <c r="H354" s="10" t="s">
        <v>16</v>
      </c>
      <c r="I354" s="45">
        <v>1813</v>
      </c>
      <c r="J354" s="11">
        <v>0</v>
      </c>
      <c r="K354" s="45">
        <f t="shared" si="36"/>
        <v>1813</v>
      </c>
      <c r="L354" s="10">
        <v>24</v>
      </c>
      <c r="M354" s="10">
        <v>2.5</v>
      </c>
      <c r="N354" s="10" t="b">
        <v>0</v>
      </c>
      <c r="O354" s="41"/>
      <c r="P354" s="45">
        <f t="shared" si="37"/>
        <v>761.45999999999992</v>
      </c>
      <c r="Q354" s="45">
        <f t="shared" si="38"/>
        <v>1051.54</v>
      </c>
      <c r="R354" s="45">
        <v>0</v>
      </c>
      <c r="S354" s="45">
        <f t="shared" si="39"/>
        <v>0</v>
      </c>
      <c r="T354" s="45">
        <f t="shared" si="40"/>
        <v>0</v>
      </c>
      <c r="U354" s="47">
        <f t="shared" si="41"/>
        <v>1051.54</v>
      </c>
    </row>
    <row r="355" spans="1:21" x14ac:dyDescent="0.3">
      <c r="A355" s="41" t="str">
        <f t="shared" si="35"/>
        <v>PUNIAC</v>
      </c>
      <c r="B355" s="43">
        <v>45488</v>
      </c>
      <c r="C355" s="10" t="s">
        <v>397</v>
      </c>
      <c r="D355" s="10" t="s">
        <v>10</v>
      </c>
      <c r="E355" s="10" t="s">
        <v>15</v>
      </c>
      <c r="F355" s="10" t="s">
        <v>23</v>
      </c>
      <c r="G355" s="10" t="s">
        <v>7</v>
      </c>
      <c r="H355" s="10" t="s">
        <v>16</v>
      </c>
      <c r="I355" s="45">
        <v>287</v>
      </c>
      <c r="J355" s="11">
        <v>0</v>
      </c>
      <c r="K355" s="45">
        <f t="shared" si="36"/>
        <v>287</v>
      </c>
      <c r="L355" s="10">
        <v>21</v>
      </c>
      <c r="M355" s="10"/>
      <c r="N355" s="10" t="b">
        <v>1</v>
      </c>
      <c r="O355" s="41" t="s">
        <v>44</v>
      </c>
      <c r="P355" s="45">
        <f t="shared" si="37"/>
        <v>120.53999999999999</v>
      </c>
      <c r="Q355" s="45">
        <f t="shared" si="38"/>
        <v>166.46</v>
      </c>
      <c r="R355" s="45">
        <v>150</v>
      </c>
      <c r="S355" s="45">
        <f t="shared" si="39"/>
        <v>28.700000000000003</v>
      </c>
      <c r="T355" s="45">
        <f t="shared" si="40"/>
        <v>287</v>
      </c>
      <c r="U355" s="47">
        <f t="shared" si="41"/>
        <v>-299.24</v>
      </c>
    </row>
    <row r="356" spans="1:21" x14ac:dyDescent="0.3">
      <c r="A356" s="41" t="str">
        <f t="shared" si="35"/>
        <v>PFORDR</v>
      </c>
      <c r="B356" s="43">
        <v>45488</v>
      </c>
      <c r="C356" s="10" t="s">
        <v>398</v>
      </c>
      <c r="D356" s="10" t="s">
        <v>65</v>
      </c>
      <c r="E356" s="10" t="s">
        <v>30</v>
      </c>
      <c r="F356" s="10" t="s">
        <v>54</v>
      </c>
      <c r="G356" s="10" t="s">
        <v>12</v>
      </c>
      <c r="H356" s="10" t="s">
        <v>6</v>
      </c>
      <c r="I356" s="45">
        <v>1848</v>
      </c>
      <c r="J356" s="11">
        <v>0</v>
      </c>
      <c r="K356" s="45">
        <f t="shared" si="36"/>
        <v>1848</v>
      </c>
      <c r="L356" s="10">
        <v>28</v>
      </c>
      <c r="M356" s="10">
        <v>1.7</v>
      </c>
      <c r="N356" s="10" t="b">
        <v>0</v>
      </c>
      <c r="O356" s="41"/>
      <c r="P356" s="45">
        <f t="shared" si="37"/>
        <v>776.16</v>
      </c>
      <c r="Q356" s="45">
        <f t="shared" si="38"/>
        <v>1071.8400000000001</v>
      </c>
      <c r="R356" s="45">
        <v>0</v>
      </c>
      <c r="S356" s="45">
        <f t="shared" si="39"/>
        <v>0</v>
      </c>
      <c r="T356" s="45">
        <f t="shared" si="40"/>
        <v>0</v>
      </c>
      <c r="U356" s="47">
        <f t="shared" si="41"/>
        <v>1071.8400000000001</v>
      </c>
    </row>
    <row r="357" spans="1:21" x14ac:dyDescent="0.3">
      <c r="A357" s="41" t="str">
        <f t="shared" si="35"/>
        <v>PBANSH</v>
      </c>
      <c r="B357" s="43">
        <v>45489</v>
      </c>
      <c r="C357" s="10" t="s">
        <v>399</v>
      </c>
      <c r="D357" s="10" t="s">
        <v>21</v>
      </c>
      <c r="E357" s="10" t="s">
        <v>18</v>
      </c>
      <c r="F357" s="10" t="s">
        <v>54</v>
      </c>
      <c r="G357" s="10" t="s">
        <v>5</v>
      </c>
      <c r="H357" s="10" t="s">
        <v>7</v>
      </c>
      <c r="I357" s="45">
        <v>3193</v>
      </c>
      <c r="J357" s="11">
        <v>0</v>
      </c>
      <c r="K357" s="45">
        <f t="shared" si="36"/>
        <v>3193</v>
      </c>
      <c r="L357" s="10">
        <v>21</v>
      </c>
      <c r="M357" s="10">
        <v>2.5</v>
      </c>
      <c r="N357" s="10" t="b">
        <v>0</v>
      </c>
      <c r="O357" s="41"/>
      <c r="P357" s="45">
        <f t="shared" si="37"/>
        <v>1341.06</v>
      </c>
      <c r="Q357" s="45">
        <f t="shared" si="38"/>
        <v>1851.94</v>
      </c>
      <c r="R357" s="45">
        <v>0</v>
      </c>
      <c r="S357" s="45">
        <f t="shared" si="39"/>
        <v>0</v>
      </c>
      <c r="T357" s="45">
        <f t="shared" si="40"/>
        <v>0</v>
      </c>
      <c r="U357" s="47">
        <f t="shared" si="41"/>
        <v>1851.94</v>
      </c>
    </row>
    <row r="358" spans="1:21" x14ac:dyDescent="0.3">
      <c r="A358" s="41" t="str">
        <f t="shared" si="35"/>
        <v>PMANAC</v>
      </c>
      <c r="B358" s="43">
        <v>45489</v>
      </c>
      <c r="C358" s="10" t="s">
        <v>400</v>
      </c>
      <c r="D358" s="10" t="s">
        <v>31</v>
      </c>
      <c r="E358" s="10" t="s">
        <v>15</v>
      </c>
      <c r="F358" s="10" t="s">
        <v>23</v>
      </c>
      <c r="G358" s="10" t="s">
        <v>7</v>
      </c>
      <c r="H358" s="10" t="s">
        <v>56</v>
      </c>
      <c r="I358" s="45">
        <v>269</v>
      </c>
      <c r="J358" s="11">
        <v>0</v>
      </c>
      <c r="K358" s="45">
        <f t="shared" si="36"/>
        <v>269</v>
      </c>
      <c r="L358" s="10">
        <v>29</v>
      </c>
      <c r="M358" s="10">
        <v>1.9</v>
      </c>
      <c r="N358" s="10" t="b">
        <v>0</v>
      </c>
      <c r="O358" s="41"/>
      <c r="P358" s="45">
        <f t="shared" si="37"/>
        <v>112.97999999999999</v>
      </c>
      <c r="Q358" s="45">
        <f t="shared" si="38"/>
        <v>156.02000000000001</v>
      </c>
      <c r="R358" s="45">
        <v>0</v>
      </c>
      <c r="S358" s="45">
        <f t="shared" si="39"/>
        <v>0</v>
      </c>
      <c r="T358" s="45">
        <f t="shared" si="40"/>
        <v>0</v>
      </c>
      <c r="U358" s="47">
        <f t="shared" si="41"/>
        <v>156.02000000000001</v>
      </c>
    </row>
    <row r="359" spans="1:21" x14ac:dyDescent="0.3">
      <c r="A359" s="41" t="str">
        <f t="shared" si="35"/>
        <v>PFORAC</v>
      </c>
      <c r="B359" s="43">
        <v>45489</v>
      </c>
      <c r="C359" s="10" t="s">
        <v>401</v>
      </c>
      <c r="D359" s="10" t="s">
        <v>65</v>
      </c>
      <c r="E359" s="10" t="s">
        <v>15</v>
      </c>
      <c r="F359" s="10" t="s">
        <v>11</v>
      </c>
      <c r="G359" s="10" t="s">
        <v>7</v>
      </c>
      <c r="H359" s="10" t="s">
        <v>13</v>
      </c>
      <c r="I359" s="45">
        <v>371</v>
      </c>
      <c r="J359" s="11">
        <v>0.29399999999999998</v>
      </c>
      <c r="K359" s="45">
        <f t="shared" si="36"/>
        <v>261.92599999999999</v>
      </c>
      <c r="L359" s="10">
        <v>4</v>
      </c>
      <c r="M359" s="10">
        <v>3.5</v>
      </c>
      <c r="N359" s="10" t="b">
        <v>0</v>
      </c>
      <c r="O359" s="41"/>
      <c r="P359" s="45">
        <f t="shared" si="37"/>
        <v>110.00891999999999</v>
      </c>
      <c r="Q359" s="45">
        <f t="shared" si="38"/>
        <v>151.91708</v>
      </c>
      <c r="R359" s="45">
        <v>0</v>
      </c>
      <c r="S359" s="45">
        <f t="shared" si="39"/>
        <v>0</v>
      </c>
      <c r="T359" s="45">
        <f t="shared" si="40"/>
        <v>0</v>
      </c>
      <c r="U359" s="47">
        <f t="shared" si="41"/>
        <v>151.91708</v>
      </c>
    </row>
    <row r="360" spans="1:21" x14ac:dyDescent="0.3">
      <c r="A360" s="41" t="str">
        <f t="shared" si="35"/>
        <v>PFORDR</v>
      </c>
      <c r="B360" s="43">
        <v>45489</v>
      </c>
      <c r="C360" s="10" t="s">
        <v>402</v>
      </c>
      <c r="D360" s="10" t="s">
        <v>65</v>
      </c>
      <c r="E360" s="10" t="s">
        <v>30</v>
      </c>
      <c r="F360" s="10" t="s">
        <v>54</v>
      </c>
      <c r="G360" s="10" t="s">
        <v>12</v>
      </c>
      <c r="H360" s="10" t="s">
        <v>6</v>
      </c>
      <c r="I360" s="45">
        <v>2233</v>
      </c>
      <c r="J360" s="11">
        <v>0.56499999999999995</v>
      </c>
      <c r="K360" s="45">
        <f t="shared" si="36"/>
        <v>971.35500000000013</v>
      </c>
      <c r="L360" s="10">
        <v>15</v>
      </c>
      <c r="M360" s="10">
        <v>3</v>
      </c>
      <c r="N360" s="10" t="b">
        <v>0</v>
      </c>
      <c r="O360" s="41"/>
      <c r="P360" s="45">
        <f t="shared" si="37"/>
        <v>407.96910000000003</v>
      </c>
      <c r="Q360" s="45">
        <f t="shared" si="38"/>
        <v>563.38590000000011</v>
      </c>
      <c r="R360" s="45">
        <v>0</v>
      </c>
      <c r="S360" s="45">
        <f t="shared" si="39"/>
        <v>0</v>
      </c>
      <c r="T360" s="45">
        <f t="shared" si="40"/>
        <v>0</v>
      </c>
      <c r="U360" s="47">
        <f t="shared" si="41"/>
        <v>563.38590000000011</v>
      </c>
    </row>
    <row r="361" spans="1:21" x14ac:dyDescent="0.3">
      <c r="A361" s="41" t="str">
        <f t="shared" si="35"/>
        <v>PH&amp;MTO</v>
      </c>
      <c r="B361" s="43">
        <v>45489</v>
      </c>
      <c r="C361" s="10" t="s">
        <v>403</v>
      </c>
      <c r="D361" s="10" t="s">
        <v>37</v>
      </c>
      <c r="E361" s="10" t="s">
        <v>9</v>
      </c>
      <c r="F361" s="10" t="s">
        <v>4</v>
      </c>
      <c r="G361" s="10" t="s">
        <v>12</v>
      </c>
      <c r="H361" s="10" t="s">
        <v>58</v>
      </c>
      <c r="I361" s="45">
        <v>950</v>
      </c>
      <c r="J361" s="11">
        <v>0</v>
      </c>
      <c r="K361" s="45">
        <f t="shared" si="36"/>
        <v>950</v>
      </c>
      <c r="L361" s="10">
        <v>13</v>
      </c>
      <c r="M361" s="10">
        <v>4.0999999999999996</v>
      </c>
      <c r="N361" s="10" t="b">
        <v>0</v>
      </c>
      <c r="O361" s="41"/>
      <c r="P361" s="45">
        <f t="shared" si="37"/>
        <v>399</v>
      </c>
      <c r="Q361" s="45">
        <f t="shared" si="38"/>
        <v>551</v>
      </c>
      <c r="R361" s="45">
        <v>0</v>
      </c>
      <c r="S361" s="45">
        <f t="shared" si="39"/>
        <v>0</v>
      </c>
      <c r="T361" s="45">
        <f t="shared" si="40"/>
        <v>0</v>
      </c>
      <c r="U361" s="47">
        <f t="shared" si="41"/>
        <v>551</v>
      </c>
    </row>
    <row r="362" spans="1:21" x14ac:dyDescent="0.3">
      <c r="A362" s="41" t="str">
        <f t="shared" si="35"/>
        <v>PGAPTO</v>
      </c>
      <c r="B362" s="43">
        <v>45490</v>
      </c>
      <c r="C362" s="10" t="s">
        <v>404</v>
      </c>
      <c r="D362" s="10" t="s">
        <v>53</v>
      </c>
      <c r="E362" s="10" t="s">
        <v>9</v>
      </c>
      <c r="F362" s="10" t="s">
        <v>11</v>
      </c>
      <c r="G362" s="10" t="s">
        <v>46</v>
      </c>
      <c r="H362" s="10" t="s">
        <v>58</v>
      </c>
      <c r="I362" s="45">
        <v>1411</v>
      </c>
      <c r="J362" s="11">
        <v>0</v>
      </c>
      <c r="K362" s="45">
        <f t="shared" si="36"/>
        <v>1411</v>
      </c>
      <c r="L362" s="10">
        <v>42</v>
      </c>
      <c r="M362" s="10">
        <v>2</v>
      </c>
      <c r="N362" s="10" t="b">
        <v>1</v>
      </c>
      <c r="O362" s="41" t="s">
        <v>44</v>
      </c>
      <c r="P362" s="45">
        <f t="shared" si="37"/>
        <v>592.62</v>
      </c>
      <c r="Q362" s="45">
        <f t="shared" si="38"/>
        <v>818.38</v>
      </c>
      <c r="R362" s="45">
        <v>150</v>
      </c>
      <c r="S362" s="45">
        <f t="shared" si="39"/>
        <v>141.1</v>
      </c>
      <c r="T362" s="45">
        <f t="shared" si="40"/>
        <v>1411</v>
      </c>
      <c r="U362" s="47">
        <f t="shared" si="41"/>
        <v>-883.72</v>
      </c>
    </row>
    <row r="363" spans="1:21" x14ac:dyDescent="0.3">
      <c r="A363" s="41" t="str">
        <f t="shared" si="35"/>
        <v>PGAPBO</v>
      </c>
      <c r="B363" s="43">
        <v>45490</v>
      </c>
      <c r="C363" s="10" t="s">
        <v>405</v>
      </c>
      <c r="D363" s="10" t="s">
        <v>53</v>
      </c>
      <c r="E363" s="10" t="s">
        <v>26</v>
      </c>
      <c r="F363" s="10" t="s">
        <v>4</v>
      </c>
      <c r="G363" s="10" t="s">
        <v>38</v>
      </c>
      <c r="H363" s="10" t="s">
        <v>47</v>
      </c>
      <c r="I363" s="45">
        <v>2172</v>
      </c>
      <c r="J363" s="11">
        <v>0</v>
      </c>
      <c r="K363" s="45">
        <f t="shared" si="36"/>
        <v>2172</v>
      </c>
      <c r="L363" s="10">
        <v>42</v>
      </c>
      <c r="M363" s="10">
        <v>4.5</v>
      </c>
      <c r="N363" s="10" t="b">
        <v>1</v>
      </c>
      <c r="O363" s="41" t="s">
        <v>50</v>
      </c>
      <c r="P363" s="45">
        <f t="shared" si="37"/>
        <v>912.24</v>
      </c>
      <c r="Q363" s="45">
        <f t="shared" si="38"/>
        <v>1259.76</v>
      </c>
      <c r="R363" s="45">
        <v>150</v>
      </c>
      <c r="S363" s="45">
        <f t="shared" si="39"/>
        <v>217.20000000000002</v>
      </c>
      <c r="T363" s="45">
        <f t="shared" si="40"/>
        <v>2172</v>
      </c>
      <c r="U363" s="47">
        <f t="shared" si="41"/>
        <v>-1279.44</v>
      </c>
    </row>
    <row r="364" spans="1:21" x14ac:dyDescent="0.3">
      <c r="A364" s="41" t="str">
        <f t="shared" si="35"/>
        <v>PMANSH</v>
      </c>
      <c r="B364" s="43">
        <v>45490</v>
      </c>
      <c r="C364" s="10" t="s">
        <v>406</v>
      </c>
      <c r="D364" s="10" t="s">
        <v>31</v>
      </c>
      <c r="E364" s="10" t="s">
        <v>18</v>
      </c>
      <c r="F364" s="10" t="s">
        <v>11</v>
      </c>
      <c r="G364" s="10" t="s">
        <v>12</v>
      </c>
      <c r="H364" s="10" t="s">
        <v>43</v>
      </c>
      <c r="I364" s="45">
        <v>3231</v>
      </c>
      <c r="J364" s="11">
        <v>0.39799999999999996</v>
      </c>
      <c r="K364" s="45">
        <f t="shared" si="36"/>
        <v>1945.0620000000004</v>
      </c>
      <c r="L364" s="10">
        <v>5</v>
      </c>
      <c r="M364" s="10">
        <v>3.4</v>
      </c>
      <c r="N364" s="10" t="b">
        <v>0</v>
      </c>
      <c r="O364" s="41"/>
      <c r="P364" s="45">
        <f t="shared" si="37"/>
        <v>816.92604000000017</v>
      </c>
      <c r="Q364" s="45">
        <f t="shared" si="38"/>
        <v>1128.1359600000001</v>
      </c>
      <c r="R364" s="45">
        <v>0</v>
      </c>
      <c r="S364" s="45">
        <f t="shared" si="39"/>
        <v>0</v>
      </c>
      <c r="T364" s="45">
        <f t="shared" si="40"/>
        <v>0</v>
      </c>
      <c r="U364" s="47">
        <f t="shared" si="41"/>
        <v>1128.1359600000001</v>
      </c>
    </row>
    <row r="365" spans="1:21" x14ac:dyDescent="0.3">
      <c r="A365" s="41" t="str">
        <f t="shared" si="35"/>
        <v>PUNIOU</v>
      </c>
      <c r="B365" s="43">
        <v>45491</v>
      </c>
      <c r="C365" s="10" t="s">
        <v>407</v>
      </c>
      <c r="D365" s="10" t="s">
        <v>10</v>
      </c>
      <c r="E365" s="10" t="s">
        <v>2</v>
      </c>
      <c r="F365" s="10" t="s">
        <v>23</v>
      </c>
      <c r="G365" s="10" t="s">
        <v>27</v>
      </c>
      <c r="H365" s="10" t="s">
        <v>47</v>
      </c>
      <c r="I365" s="45">
        <v>3582</v>
      </c>
      <c r="J365" s="11">
        <v>0</v>
      </c>
      <c r="K365" s="45">
        <f t="shared" si="36"/>
        <v>3582</v>
      </c>
      <c r="L365" s="10">
        <v>28</v>
      </c>
      <c r="M365" s="10">
        <v>2.7</v>
      </c>
      <c r="N365" s="10" t="b">
        <v>0</v>
      </c>
      <c r="O365" s="41"/>
      <c r="P365" s="45">
        <f t="shared" si="37"/>
        <v>1504.44</v>
      </c>
      <c r="Q365" s="45">
        <f t="shared" si="38"/>
        <v>2077.56</v>
      </c>
      <c r="R365" s="45">
        <v>0</v>
      </c>
      <c r="S365" s="45">
        <f t="shared" si="39"/>
        <v>0</v>
      </c>
      <c r="T365" s="45">
        <f t="shared" si="40"/>
        <v>0</v>
      </c>
      <c r="U365" s="47">
        <f t="shared" si="41"/>
        <v>2077.56</v>
      </c>
    </row>
    <row r="366" spans="1:21" x14ac:dyDescent="0.3">
      <c r="A366" s="41" t="str">
        <f t="shared" si="35"/>
        <v>PBANBO</v>
      </c>
      <c r="B366" s="43">
        <v>45491</v>
      </c>
      <c r="C366" s="10" t="s">
        <v>408</v>
      </c>
      <c r="D366" s="10" t="s">
        <v>21</v>
      </c>
      <c r="E366" s="10" t="s">
        <v>26</v>
      </c>
      <c r="F366" s="10" t="s">
        <v>54</v>
      </c>
      <c r="G366" s="10" t="s">
        <v>27</v>
      </c>
      <c r="H366" s="10" t="s">
        <v>43</v>
      </c>
      <c r="I366" s="45">
        <v>2764</v>
      </c>
      <c r="J366" s="11">
        <v>0.28699999999999998</v>
      </c>
      <c r="K366" s="45">
        <f t="shared" si="36"/>
        <v>1970.7320000000002</v>
      </c>
      <c r="L366" s="10">
        <v>23</v>
      </c>
      <c r="M366" s="10">
        <v>3.1</v>
      </c>
      <c r="N366" s="10" t="b">
        <v>0</v>
      </c>
      <c r="O366" s="41"/>
      <c r="P366" s="45">
        <f t="shared" si="37"/>
        <v>827.70744000000002</v>
      </c>
      <c r="Q366" s="45">
        <f t="shared" si="38"/>
        <v>1143.0245600000003</v>
      </c>
      <c r="R366" s="45">
        <v>0</v>
      </c>
      <c r="S366" s="45">
        <f t="shared" si="39"/>
        <v>0</v>
      </c>
      <c r="T366" s="45">
        <f t="shared" si="40"/>
        <v>0</v>
      </c>
      <c r="U366" s="47">
        <f t="shared" si="41"/>
        <v>1143.0245600000003</v>
      </c>
    </row>
    <row r="367" spans="1:21" x14ac:dyDescent="0.3">
      <c r="A367" s="41" t="str">
        <f t="shared" si="35"/>
        <v>PUNIAC</v>
      </c>
      <c r="B367" s="43">
        <v>45491</v>
      </c>
      <c r="C367" s="10" t="s">
        <v>409</v>
      </c>
      <c r="D367" s="10" t="s">
        <v>10</v>
      </c>
      <c r="E367" s="10" t="s">
        <v>15</v>
      </c>
      <c r="F367" s="10" t="s">
        <v>23</v>
      </c>
      <c r="G367" s="10" t="s">
        <v>7</v>
      </c>
      <c r="H367" s="10" t="s">
        <v>35</v>
      </c>
      <c r="I367" s="45">
        <v>386</v>
      </c>
      <c r="J367" s="11">
        <v>0</v>
      </c>
      <c r="K367" s="45">
        <f t="shared" si="36"/>
        <v>386</v>
      </c>
      <c r="L367" s="10">
        <v>18</v>
      </c>
      <c r="M367" s="10">
        <v>3.2</v>
      </c>
      <c r="N367" s="10" t="b">
        <v>0</v>
      </c>
      <c r="O367" s="41"/>
      <c r="P367" s="45">
        <f t="shared" si="37"/>
        <v>162.12</v>
      </c>
      <c r="Q367" s="45">
        <f t="shared" si="38"/>
        <v>223.88</v>
      </c>
      <c r="R367" s="45">
        <v>0</v>
      </c>
      <c r="S367" s="45">
        <f t="shared" si="39"/>
        <v>0</v>
      </c>
      <c r="T367" s="45">
        <f t="shared" si="40"/>
        <v>0</v>
      </c>
      <c r="U367" s="47">
        <f t="shared" si="41"/>
        <v>223.88</v>
      </c>
    </row>
    <row r="368" spans="1:21" x14ac:dyDescent="0.3">
      <c r="A368" s="41" t="str">
        <f t="shared" si="35"/>
        <v>PBANOU</v>
      </c>
      <c r="B368" s="43">
        <v>45491</v>
      </c>
      <c r="C368" s="10" t="s">
        <v>410</v>
      </c>
      <c r="D368" s="10" t="s">
        <v>21</v>
      </c>
      <c r="E368" s="10" t="s">
        <v>2</v>
      </c>
      <c r="F368" s="10" t="s">
        <v>4</v>
      </c>
      <c r="G368" s="10" t="s">
        <v>12</v>
      </c>
      <c r="H368" s="10" t="s">
        <v>43</v>
      </c>
      <c r="I368" s="45">
        <v>3228</v>
      </c>
      <c r="J368" s="11">
        <v>0</v>
      </c>
      <c r="K368" s="45">
        <f t="shared" si="36"/>
        <v>3228</v>
      </c>
      <c r="L368" s="10">
        <v>34</v>
      </c>
      <c r="M368" s="10">
        <v>1.8</v>
      </c>
      <c r="N368" s="10" t="b">
        <v>1</v>
      </c>
      <c r="O368" s="41" t="s">
        <v>33</v>
      </c>
      <c r="P368" s="45">
        <f t="shared" si="37"/>
        <v>1355.76</v>
      </c>
      <c r="Q368" s="45">
        <f t="shared" si="38"/>
        <v>1872.24</v>
      </c>
      <c r="R368" s="45">
        <v>150</v>
      </c>
      <c r="S368" s="45">
        <f t="shared" si="39"/>
        <v>322.8</v>
      </c>
      <c r="T368" s="45">
        <f t="shared" si="40"/>
        <v>3228</v>
      </c>
      <c r="U368" s="47">
        <f t="shared" si="41"/>
        <v>-1828.56</v>
      </c>
    </row>
    <row r="369" spans="1:21" x14ac:dyDescent="0.3">
      <c r="A369" s="41" t="str">
        <f t="shared" si="35"/>
        <v>PANNTO</v>
      </c>
      <c r="B369" s="43">
        <v>45492</v>
      </c>
      <c r="C369" s="10" t="s">
        <v>411</v>
      </c>
      <c r="D369" s="10" t="s">
        <v>42</v>
      </c>
      <c r="E369" s="10" t="s">
        <v>9</v>
      </c>
      <c r="F369" s="10" t="s">
        <v>23</v>
      </c>
      <c r="G369" s="10" t="s">
        <v>12</v>
      </c>
      <c r="H369" s="10" t="s">
        <v>43</v>
      </c>
      <c r="I369" s="45">
        <v>1544</v>
      </c>
      <c r="J369" s="11">
        <v>0</v>
      </c>
      <c r="K369" s="45">
        <f t="shared" si="36"/>
        <v>1544</v>
      </c>
      <c r="L369" s="10">
        <v>16</v>
      </c>
      <c r="M369" s="10"/>
      <c r="N369" s="10" t="b">
        <v>0</v>
      </c>
      <c r="O369" s="41"/>
      <c r="P369" s="45">
        <f t="shared" si="37"/>
        <v>648.48</v>
      </c>
      <c r="Q369" s="45">
        <f t="shared" si="38"/>
        <v>895.52</v>
      </c>
      <c r="R369" s="45">
        <v>0</v>
      </c>
      <c r="S369" s="45">
        <f t="shared" si="39"/>
        <v>0</v>
      </c>
      <c r="T369" s="45">
        <f t="shared" si="40"/>
        <v>0</v>
      </c>
      <c r="U369" s="47">
        <f t="shared" si="41"/>
        <v>895.52</v>
      </c>
    </row>
    <row r="370" spans="1:21" x14ac:dyDescent="0.3">
      <c r="A370" s="41" t="str">
        <f t="shared" si="35"/>
        <v>PGAPBO</v>
      </c>
      <c r="B370" s="43">
        <v>45492</v>
      </c>
      <c r="C370" s="10" t="s">
        <v>412</v>
      </c>
      <c r="D370" s="10" t="s">
        <v>53</v>
      </c>
      <c r="E370" s="10" t="s">
        <v>26</v>
      </c>
      <c r="F370" s="10" t="s">
        <v>23</v>
      </c>
      <c r="G370" s="10" t="s">
        <v>5</v>
      </c>
      <c r="H370" s="10" t="s">
        <v>47</v>
      </c>
      <c r="I370" s="45">
        <v>2545</v>
      </c>
      <c r="J370" s="11">
        <v>0.35200000000000004</v>
      </c>
      <c r="K370" s="45">
        <f t="shared" si="36"/>
        <v>1649.1599999999999</v>
      </c>
      <c r="L370" s="10">
        <v>14</v>
      </c>
      <c r="M370" s="10">
        <v>2.2999999999999998</v>
      </c>
      <c r="N370" s="10" t="b">
        <v>0</v>
      </c>
      <c r="O370" s="41"/>
      <c r="P370" s="45">
        <f t="shared" si="37"/>
        <v>692.64719999999988</v>
      </c>
      <c r="Q370" s="45">
        <f t="shared" si="38"/>
        <v>956.51279999999997</v>
      </c>
      <c r="R370" s="45">
        <v>0</v>
      </c>
      <c r="S370" s="45">
        <f t="shared" si="39"/>
        <v>0</v>
      </c>
      <c r="T370" s="45">
        <f t="shared" si="40"/>
        <v>0</v>
      </c>
      <c r="U370" s="47">
        <f t="shared" si="41"/>
        <v>956.51279999999997</v>
      </c>
    </row>
    <row r="371" spans="1:21" x14ac:dyDescent="0.3">
      <c r="A371" s="41" t="str">
        <f t="shared" si="35"/>
        <v>PH&amp;MAC</v>
      </c>
      <c r="B371" s="43">
        <v>45492</v>
      </c>
      <c r="C371" s="10" t="s">
        <v>413</v>
      </c>
      <c r="D371" s="10" t="s">
        <v>37</v>
      </c>
      <c r="E371" s="10" t="s">
        <v>15</v>
      </c>
      <c r="F371" s="10" t="s">
        <v>23</v>
      </c>
      <c r="G371" s="10" t="s">
        <v>7</v>
      </c>
      <c r="H371" s="10" t="s">
        <v>6</v>
      </c>
      <c r="I371" s="45">
        <v>472</v>
      </c>
      <c r="J371" s="11">
        <v>0.376</v>
      </c>
      <c r="K371" s="45">
        <f t="shared" si="36"/>
        <v>294.52800000000002</v>
      </c>
      <c r="L371" s="10">
        <v>49</v>
      </c>
      <c r="M371" s="10">
        <v>4</v>
      </c>
      <c r="N371" s="10" t="b">
        <v>0</v>
      </c>
      <c r="O371" s="41"/>
      <c r="P371" s="45">
        <f t="shared" si="37"/>
        <v>123.70176000000001</v>
      </c>
      <c r="Q371" s="45">
        <f t="shared" si="38"/>
        <v>170.82624000000001</v>
      </c>
      <c r="R371" s="45">
        <v>0</v>
      </c>
      <c r="S371" s="45">
        <f t="shared" si="39"/>
        <v>0</v>
      </c>
      <c r="T371" s="45">
        <f t="shared" si="40"/>
        <v>0</v>
      </c>
      <c r="U371" s="47">
        <f t="shared" si="41"/>
        <v>170.82624000000001</v>
      </c>
    </row>
    <row r="372" spans="1:21" x14ac:dyDescent="0.3">
      <c r="A372" s="41" t="str">
        <f t="shared" si="35"/>
        <v>PBANOU</v>
      </c>
      <c r="B372" s="43">
        <v>45493</v>
      </c>
      <c r="C372" s="10" t="s">
        <v>414</v>
      </c>
      <c r="D372" s="10" t="s">
        <v>21</v>
      </c>
      <c r="E372" s="10" t="s">
        <v>2</v>
      </c>
      <c r="F372" s="10" t="s">
        <v>11</v>
      </c>
      <c r="G372" s="10" t="s">
        <v>38</v>
      </c>
      <c r="H372" s="10" t="s">
        <v>35</v>
      </c>
      <c r="I372" s="45">
        <v>3890</v>
      </c>
      <c r="J372" s="11">
        <v>0.20199999999999999</v>
      </c>
      <c r="K372" s="45">
        <f t="shared" si="36"/>
        <v>3104.2200000000003</v>
      </c>
      <c r="L372" s="10">
        <v>17</v>
      </c>
      <c r="M372" s="10"/>
      <c r="N372" s="10" t="b">
        <v>0</v>
      </c>
      <c r="O372" s="41"/>
      <c r="P372" s="45">
        <f t="shared" si="37"/>
        <v>1303.7724000000001</v>
      </c>
      <c r="Q372" s="45">
        <f t="shared" si="38"/>
        <v>1800.4476000000002</v>
      </c>
      <c r="R372" s="45">
        <v>0</v>
      </c>
      <c r="S372" s="45">
        <f t="shared" si="39"/>
        <v>0</v>
      </c>
      <c r="T372" s="45">
        <f t="shared" si="40"/>
        <v>0</v>
      </c>
      <c r="U372" s="47">
        <f t="shared" si="41"/>
        <v>1800.4476000000002</v>
      </c>
    </row>
    <row r="373" spans="1:21" x14ac:dyDescent="0.3">
      <c r="A373" s="41" t="str">
        <f t="shared" si="35"/>
        <v>PZAROU</v>
      </c>
      <c r="B373" s="43">
        <v>45493</v>
      </c>
      <c r="C373" s="10" t="s">
        <v>415</v>
      </c>
      <c r="D373" s="10" t="s">
        <v>3</v>
      </c>
      <c r="E373" s="10" t="s">
        <v>2</v>
      </c>
      <c r="F373" s="10" t="s">
        <v>4</v>
      </c>
      <c r="G373" s="10" t="s">
        <v>5</v>
      </c>
      <c r="H373" s="10" t="s">
        <v>16</v>
      </c>
      <c r="I373" s="45">
        <v>3987</v>
      </c>
      <c r="J373" s="11">
        <v>0</v>
      </c>
      <c r="K373" s="45">
        <f t="shared" si="36"/>
        <v>3987</v>
      </c>
      <c r="L373" s="10">
        <v>33</v>
      </c>
      <c r="M373" s="10"/>
      <c r="N373" s="10" t="b">
        <v>0</v>
      </c>
      <c r="O373" s="41"/>
      <c r="P373" s="45">
        <f t="shared" si="37"/>
        <v>1674.54</v>
      </c>
      <c r="Q373" s="45">
        <f t="shared" si="38"/>
        <v>2312.46</v>
      </c>
      <c r="R373" s="45">
        <v>0</v>
      </c>
      <c r="S373" s="45">
        <f t="shared" si="39"/>
        <v>0</v>
      </c>
      <c r="T373" s="45">
        <f t="shared" si="40"/>
        <v>0</v>
      </c>
      <c r="U373" s="47">
        <f t="shared" si="41"/>
        <v>2312.46</v>
      </c>
    </row>
    <row r="374" spans="1:21" x14ac:dyDescent="0.3">
      <c r="A374" s="41" t="str">
        <f t="shared" si="35"/>
        <v>PFORSH</v>
      </c>
      <c r="B374" s="43">
        <v>45493</v>
      </c>
      <c r="C374" s="10" t="s">
        <v>416</v>
      </c>
      <c r="D374" s="10" t="s">
        <v>65</v>
      </c>
      <c r="E374" s="10" t="s">
        <v>18</v>
      </c>
      <c r="F374" s="10" t="s">
        <v>54</v>
      </c>
      <c r="G374" s="10" t="s">
        <v>38</v>
      </c>
      <c r="H374" s="10" t="s">
        <v>58</v>
      </c>
      <c r="I374" s="45">
        <v>3871</v>
      </c>
      <c r="J374" s="11">
        <v>0</v>
      </c>
      <c r="K374" s="45">
        <f t="shared" si="36"/>
        <v>3871</v>
      </c>
      <c r="L374" s="10">
        <v>48</v>
      </c>
      <c r="M374" s="10">
        <v>3.9</v>
      </c>
      <c r="N374" s="10" t="b">
        <v>0</v>
      </c>
      <c r="O374" s="41"/>
      <c r="P374" s="45">
        <f t="shared" si="37"/>
        <v>1625.82</v>
      </c>
      <c r="Q374" s="45">
        <f t="shared" si="38"/>
        <v>2245.1800000000003</v>
      </c>
      <c r="R374" s="45">
        <v>0</v>
      </c>
      <c r="S374" s="45">
        <f t="shared" si="39"/>
        <v>0</v>
      </c>
      <c r="T374" s="45">
        <f t="shared" si="40"/>
        <v>0</v>
      </c>
      <c r="U374" s="47">
        <f t="shared" si="41"/>
        <v>2245.1800000000003</v>
      </c>
    </row>
    <row r="375" spans="1:21" x14ac:dyDescent="0.3">
      <c r="A375" s="41" t="str">
        <f t="shared" si="35"/>
        <v>PZARSH</v>
      </c>
      <c r="B375" s="43">
        <v>45493</v>
      </c>
      <c r="C375" s="10" t="s">
        <v>417</v>
      </c>
      <c r="D375" s="10" t="s">
        <v>3</v>
      </c>
      <c r="E375" s="10" t="s">
        <v>18</v>
      </c>
      <c r="F375" s="10" t="s">
        <v>11</v>
      </c>
      <c r="G375" s="10" t="s">
        <v>27</v>
      </c>
      <c r="H375" s="10" t="s">
        <v>88</v>
      </c>
      <c r="I375" s="45">
        <v>3786</v>
      </c>
      <c r="J375" s="11">
        <v>0.55299999999999994</v>
      </c>
      <c r="K375" s="45">
        <f t="shared" si="36"/>
        <v>1692.3420000000003</v>
      </c>
      <c r="L375" s="10">
        <v>5</v>
      </c>
      <c r="M375" s="10">
        <v>4.4000000000000004</v>
      </c>
      <c r="N375" s="10" t="b">
        <v>0</v>
      </c>
      <c r="O375" s="41"/>
      <c r="P375" s="45">
        <f t="shared" si="37"/>
        <v>710.7836400000001</v>
      </c>
      <c r="Q375" s="45">
        <f t="shared" si="38"/>
        <v>981.55836000000022</v>
      </c>
      <c r="R375" s="45">
        <v>0</v>
      </c>
      <c r="S375" s="45">
        <f t="shared" si="39"/>
        <v>0</v>
      </c>
      <c r="T375" s="45">
        <f t="shared" si="40"/>
        <v>0</v>
      </c>
      <c r="U375" s="47">
        <f t="shared" si="41"/>
        <v>981.55836000000022</v>
      </c>
    </row>
    <row r="376" spans="1:21" x14ac:dyDescent="0.3">
      <c r="A376" s="41" t="str">
        <f t="shared" si="35"/>
        <v>PUNITO</v>
      </c>
      <c r="B376" s="43">
        <v>45494</v>
      </c>
      <c r="C376" s="10" t="s">
        <v>418</v>
      </c>
      <c r="D376" s="10" t="s">
        <v>10</v>
      </c>
      <c r="E376" s="10" t="s">
        <v>9</v>
      </c>
      <c r="F376" s="10" t="s">
        <v>4</v>
      </c>
      <c r="G376" s="10" t="s">
        <v>5</v>
      </c>
      <c r="H376" s="10" t="s">
        <v>6</v>
      </c>
      <c r="I376" s="45">
        <v>1029</v>
      </c>
      <c r="J376" s="11">
        <v>0</v>
      </c>
      <c r="K376" s="45">
        <f t="shared" si="36"/>
        <v>1029</v>
      </c>
      <c r="L376" s="10">
        <v>9</v>
      </c>
      <c r="M376" s="10">
        <v>4</v>
      </c>
      <c r="N376" s="10" t="b">
        <v>0</v>
      </c>
      <c r="O376" s="41"/>
      <c r="P376" s="45">
        <f t="shared" si="37"/>
        <v>432.18</v>
      </c>
      <c r="Q376" s="45">
        <f t="shared" si="38"/>
        <v>596.81999999999994</v>
      </c>
      <c r="R376" s="45">
        <v>0</v>
      </c>
      <c r="S376" s="45">
        <f t="shared" si="39"/>
        <v>0</v>
      </c>
      <c r="T376" s="45">
        <f t="shared" si="40"/>
        <v>0</v>
      </c>
      <c r="U376" s="47">
        <f t="shared" si="41"/>
        <v>596.81999999999994</v>
      </c>
    </row>
    <row r="377" spans="1:21" x14ac:dyDescent="0.3">
      <c r="A377" s="41" t="str">
        <f t="shared" si="35"/>
        <v>PFORTO</v>
      </c>
      <c r="B377" s="43">
        <v>45494</v>
      </c>
      <c r="C377" s="10" t="s">
        <v>419</v>
      </c>
      <c r="D377" s="10" t="s">
        <v>65</v>
      </c>
      <c r="E377" s="10" t="s">
        <v>9</v>
      </c>
      <c r="F377" s="10" t="s">
        <v>11</v>
      </c>
      <c r="G377" s="10" t="s">
        <v>5</v>
      </c>
      <c r="H377" s="10" t="s">
        <v>32</v>
      </c>
      <c r="I377" s="45">
        <v>1535</v>
      </c>
      <c r="J377" s="11">
        <v>9.5000000000000001E-2</v>
      </c>
      <c r="K377" s="45">
        <f t="shared" si="36"/>
        <v>1389.175</v>
      </c>
      <c r="L377" s="10">
        <v>34</v>
      </c>
      <c r="M377" s="10">
        <v>1.1000000000000001</v>
      </c>
      <c r="N377" s="10" t="b">
        <v>0</v>
      </c>
      <c r="O377" s="41"/>
      <c r="P377" s="45">
        <f t="shared" si="37"/>
        <v>583.45349999999996</v>
      </c>
      <c r="Q377" s="45">
        <f t="shared" si="38"/>
        <v>805.72149999999999</v>
      </c>
      <c r="R377" s="45">
        <v>0</v>
      </c>
      <c r="S377" s="45">
        <f t="shared" si="39"/>
        <v>0</v>
      </c>
      <c r="T377" s="45">
        <f t="shared" si="40"/>
        <v>0</v>
      </c>
      <c r="U377" s="47">
        <f t="shared" si="41"/>
        <v>805.72149999999999</v>
      </c>
    </row>
    <row r="378" spans="1:21" x14ac:dyDescent="0.3">
      <c r="A378" s="41" t="str">
        <f t="shared" si="35"/>
        <v>PGAPOU</v>
      </c>
      <c r="B378" s="43">
        <v>45494</v>
      </c>
      <c r="C378" s="10" t="s">
        <v>420</v>
      </c>
      <c r="D378" s="10" t="s">
        <v>53</v>
      </c>
      <c r="E378" s="10" t="s">
        <v>2</v>
      </c>
      <c r="F378" s="10" t="s">
        <v>23</v>
      </c>
      <c r="G378" s="10" t="s">
        <v>46</v>
      </c>
      <c r="H378" s="10" t="s">
        <v>6</v>
      </c>
      <c r="I378" s="45">
        <v>3394</v>
      </c>
      <c r="J378" s="11">
        <v>0</v>
      </c>
      <c r="K378" s="45">
        <f t="shared" si="36"/>
        <v>3394</v>
      </c>
      <c r="L378" s="10">
        <v>36</v>
      </c>
      <c r="M378" s="10">
        <v>1.2</v>
      </c>
      <c r="N378" s="10" t="b">
        <v>0</v>
      </c>
      <c r="O378" s="41"/>
      <c r="P378" s="45">
        <f t="shared" si="37"/>
        <v>1425.48</v>
      </c>
      <c r="Q378" s="45">
        <f t="shared" si="38"/>
        <v>1968.52</v>
      </c>
      <c r="R378" s="45">
        <v>0</v>
      </c>
      <c r="S378" s="45">
        <f t="shared" si="39"/>
        <v>0</v>
      </c>
      <c r="T378" s="45">
        <f t="shared" si="40"/>
        <v>0</v>
      </c>
      <c r="U378" s="47">
        <f t="shared" si="41"/>
        <v>1968.52</v>
      </c>
    </row>
    <row r="379" spans="1:21" x14ac:dyDescent="0.3">
      <c r="A379" s="41" t="str">
        <f t="shared" si="35"/>
        <v>PGAPAC</v>
      </c>
      <c r="B379" s="43">
        <v>45494</v>
      </c>
      <c r="C379" s="10" t="s">
        <v>421</v>
      </c>
      <c r="D379" s="10" t="s">
        <v>53</v>
      </c>
      <c r="E379" s="10" t="s">
        <v>15</v>
      </c>
      <c r="F379" s="10" t="s">
        <v>23</v>
      </c>
      <c r="G379" s="10" t="s">
        <v>7</v>
      </c>
      <c r="H379" s="10" t="s">
        <v>58</v>
      </c>
      <c r="I379" s="45">
        <v>347</v>
      </c>
      <c r="J379" s="11">
        <v>0</v>
      </c>
      <c r="K379" s="45">
        <f t="shared" si="36"/>
        <v>347</v>
      </c>
      <c r="L379" s="10">
        <v>17</v>
      </c>
      <c r="M379" s="10"/>
      <c r="N379" s="10" t="b">
        <v>0</v>
      </c>
      <c r="O379" s="41"/>
      <c r="P379" s="45">
        <f t="shared" si="37"/>
        <v>145.73999999999998</v>
      </c>
      <c r="Q379" s="45">
        <f t="shared" si="38"/>
        <v>201.26000000000002</v>
      </c>
      <c r="R379" s="45">
        <v>0</v>
      </c>
      <c r="S379" s="45">
        <f t="shared" si="39"/>
        <v>0</v>
      </c>
      <c r="T379" s="45">
        <f t="shared" si="40"/>
        <v>0</v>
      </c>
      <c r="U379" s="47">
        <f t="shared" si="41"/>
        <v>201.26000000000002</v>
      </c>
    </row>
    <row r="380" spans="1:21" x14ac:dyDescent="0.3">
      <c r="A380" s="41" t="str">
        <f t="shared" si="35"/>
        <v>PFORBO</v>
      </c>
      <c r="B380" s="43">
        <v>45495</v>
      </c>
      <c r="C380" s="10" t="s">
        <v>422</v>
      </c>
      <c r="D380" s="10" t="s">
        <v>65</v>
      </c>
      <c r="E380" s="10" t="s">
        <v>26</v>
      </c>
      <c r="F380" s="10" t="s">
        <v>11</v>
      </c>
      <c r="G380" s="10" t="s">
        <v>46</v>
      </c>
      <c r="H380" s="10" t="s">
        <v>16</v>
      </c>
      <c r="I380" s="45">
        <v>2600</v>
      </c>
      <c r="J380" s="11">
        <v>0.45799999999999996</v>
      </c>
      <c r="K380" s="45">
        <f t="shared" si="36"/>
        <v>1409.2</v>
      </c>
      <c r="L380" s="10">
        <v>6</v>
      </c>
      <c r="M380" s="10">
        <v>2.7</v>
      </c>
      <c r="N380" s="10" t="b">
        <v>0</v>
      </c>
      <c r="O380" s="41"/>
      <c r="P380" s="45">
        <f t="shared" si="37"/>
        <v>591.86400000000003</v>
      </c>
      <c r="Q380" s="45">
        <f t="shared" si="38"/>
        <v>817.33600000000001</v>
      </c>
      <c r="R380" s="45">
        <v>0</v>
      </c>
      <c r="S380" s="45">
        <f t="shared" si="39"/>
        <v>0</v>
      </c>
      <c r="T380" s="45">
        <f t="shared" si="40"/>
        <v>0</v>
      </c>
      <c r="U380" s="47">
        <f t="shared" si="41"/>
        <v>817.33600000000001</v>
      </c>
    </row>
    <row r="381" spans="1:21" x14ac:dyDescent="0.3">
      <c r="A381" s="41" t="str">
        <f t="shared" si="35"/>
        <v>PMANAC</v>
      </c>
      <c r="B381" s="43">
        <v>45495</v>
      </c>
      <c r="C381" s="10" t="s">
        <v>423</v>
      </c>
      <c r="D381" s="10" t="s">
        <v>31</v>
      </c>
      <c r="E381" s="10" t="s">
        <v>15</v>
      </c>
      <c r="F381" s="10" t="s">
        <v>54</v>
      </c>
      <c r="G381" s="10" t="s">
        <v>7</v>
      </c>
      <c r="H381" s="10" t="s">
        <v>88</v>
      </c>
      <c r="I381" s="45">
        <v>246</v>
      </c>
      <c r="J381" s="11">
        <v>0</v>
      </c>
      <c r="K381" s="45">
        <f t="shared" si="36"/>
        <v>246</v>
      </c>
      <c r="L381" s="10">
        <v>43</v>
      </c>
      <c r="M381" s="10">
        <v>2.4</v>
      </c>
      <c r="N381" s="10" t="b">
        <v>1</v>
      </c>
      <c r="O381" s="41" t="s">
        <v>44</v>
      </c>
      <c r="P381" s="45">
        <f t="shared" si="37"/>
        <v>103.32</v>
      </c>
      <c r="Q381" s="45">
        <f t="shared" si="38"/>
        <v>142.68</v>
      </c>
      <c r="R381" s="45">
        <v>150</v>
      </c>
      <c r="S381" s="45">
        <f t="shared" si="39"/>
        <v>24.6</v>
      </c>
      <c r="T381" s="45">
        <f t="shared" si="40"/>
        <v>246</v>
      </c>
      <c r="U381" s="47">
        <f t="shared" si="41"/>
        <v>-277.92</v>
      </c>
    </row>
    <row r="382" spans="1:21" x14ac:dyDescent="0.3">
      <c r="A382" s="41" t="str">
        <f t="shared" si="35"/>
        <v>PMANAC</v>
      </c>
      <c r="B382" s="43">
        <v>45495</v>
      </c>
      <c r="C382" s="10" t="s">
        <v>424</v>
      </c>
      <c r="D382" s="10" t="s">
        <v>31</v>
      </c>
      <c r="E382" s="10" t="s">
        <v>15</v>
      </c>
      <c r="F382" s="10" t="s">
        <v>23</v>
      </c>
      <c r="G382" s="10" t="s">
        <v>7</v>
      </c>
      <c r="H382" s="10" t="s">
        <v>13</v>
      </c>
      <c r="I382" s="45">
        <v>425</v>
      </c>
      <c r="J382" s="11">
        <v>0</v>
      </c>
      <c r="K382" s="45">
        <f t="shared" si="36"/>
        <v>425</v>
      </c>
      <c r="L382" s="10">
        <v>16</v>
      </c>
      <c r="M382" s="10">
        <v>1.3</v>
      </c>
      <c r="N382" s="10" t="b">
        <v>0</v>
      </c>
      <c r="O382" s="41"/>
      <c r="P382" s="45">
        <f t="shared" si="37"/>
        <v>178.5</v>
      </c>
      <c r="Q382" s="45">
        <f t="shared" si="38"/>
        <v>246.5</v>
      </c>
      <c r="R382" s="45">
        <v>0</v>
      </c>
      <c r="S382" s="45">
        <f t="shared" si="39"/>
        <v>0</v>
      </c>
      <c r="T382" s="45">
        <f t="shared" si="40"/>
        <v>0</v>
      </c>
      <c r="U382" s="47">
        <f t="shared" si="41"/>
        <v>246.5</v>
      </c>
    </row>
    <row r="383" spans="1:21" x14ac:dyDescent="0.3">
      <c r="A383" s="41" t="str">
        <f t="shared" si="35"/>
        <v>PH&amp;MTO</v>
      </c>
      <c r="B383" s="43">
        <v>45495</v>
      </c>
      <c r="C383" s="10" t="s">
        <v>425</v>
      </c>
      <c r="D383" s="10" t="s">
        <v>37</v>
      </c>
      <c r="E383" s="10" t="s">
        <v>9</v>
      </c>
      <c r="F383" s="10" t="s">
        <v>4</v>
      </c>
      <c r="G383" s="10" t="s">
        <v>46</v>
      </c>
      <c r="H383" s="10" t="s">
        <v>56</v>
      </c>
      <c r="I383" s="45">
        <v>1607</v>
      </c>
      <c r="J383" s="11">
        <v>0.27800000000000002</v>
      </c>
      <c r="K383" s="45">
        <f t="shared" si="36"/>
        <v>1160.2539999999999</v>
      </c>
      <c r="L383" s="10">
        <v>12</v>
      </c>
      <c r="M383" s="10">
        <v>1.7</v>
      </c>
      <c r="N383" s="10" t="b">
        <v>0</v>
      </c>
      <c r="O383" s="41"/>
      <c r="P383" s="45">
        <f t="shared" si="37"/>
        <v>487.30667999999991</v>
      </c>
      <c r="Q383" s="45">
        <f t="shared" si="38"/>
        <v>672.94731999999999</v>
      </c>
      <c r="R383" s="45">
        <v>0</v>
      </c>
      <c r="S383" s="45">
        <f t="shared" si="39"/>
        <v>0</v>
      </c>
      <c r="T383" s="45">
        <f t="shared" si="40"/>
        <v>0</v>
      </c>
      <c r="U383" s="47">
        <f t="shared" si="41"/>
        <v>672.94731999999999</v>
      </c>
    </row>
    <row r="384" spans="1:21" x14ac:dyDescent="0.3">
      <c r="A384" s="41" t="str">
        <f t="shared" si="35"/>
        <v>PH&amp;MOU</v>
      </c>
      <c r="B384" s="43">
        <v>45496</v>
      </c>
      <c r="C384" s="10" t="s">
        <v>426</v>
      </c>
      <c r="D384" s="10" t="s">
        <v>37</v>
      </c>
      <c r="E384" s="10" t="s">
        <v>2</v>
      </c>
      <c r="F384" s="10" t="s">
        <v>54</v>
      </c>
      <c r="G384" s="10" t="s">
        <v>49</v>
      </c>
      <c r="H384" s="10" t="s">
        <v>16</v>
      </c>
      <c r="I384" s="45">
        <v>3624</v>
      </c>
      <c r="J384" s="11">
        <v>1.3999999999999999E-2</v>
      </c>
      <c r="K384" s="45">
        <f t="shared" si="36"/>
        <v>3573.2640000000001</v>
      </c>
      <c r="L384" s="10">
        <v>7</v>
      </c>
      <c r="M384" s="10">
        <v>2.8</v>
      </c>
      <c r="N384" s="10" t="b">
        <v>0</v>
      </c>
      <c r="O384" s="41"/>
      <c r="P384" s="45">
        <f t="shared" si="37"/>
        <v>1500.77088</v>
      </c>
      <c r="Q384" s="45">
        <f t="shared" si="38"/>
        <v>2072.4931200000001</v>
      </c>
      <c r="R384" s="45">
        <v>0</v>
      </c>
      <c r="S384" s="45">
        <f t="shared" si="39"/>
        <v>0</v>
      </c>
      <c r="T384" s="45">
        <f t="shared" si="40"/>
        <v>0</v>
      </c>
      <c r="U384" s="47">
        <f t="shared" si="41"/>
        <v>2072.4931200000001</v>
      </c>
    </row>
    <row r="385" spans="1:21" x14ac:dyDescent="0.3">
      <c r="A385" s="41" t="str">
        <f t="shared" si="35"/>
        <v>PBANAC</v>
      </c>
      <c r="B385" s="43">
        <v>45496</v>
      </c>
      <c r="C385" s="10" t="s">
        <v>427</v>
      </c>
      <c r="D385" s="10" t="s">
        <v>21</v>
      </c>
      <c r="E385" s="10" t="s">
        <v>15</v>
      </c>
      <c r="F385" s="10" t="s">
        <v>54</v>
      </c>
      <c r="G385" s="10" t="s">
        <v>7</v>
      </c>
      <c r="H385" s="10" t="s">
        <v>28</v>
      </c>
      <c r="I385" s="45">
        <v>286</v>
      </c>
      <c r="J385" s="11">
        <v>0</v>
      </c>
      <c r="K385" s="45">
        <f t="shared" si="36"/>
        <v>286</v>
      </c>
      <c r="L385" s="10">
        <v>6</v>
      </c>
      <c r="M385" s="10">
        <v>2.1</v>
      </c>
      <c r="N385" s="10" t="b">
        <v>0</v>
      </c>
      <c r="O385" s="41"/>
      <c r="P385" s="45">
        <f t="shared" si="37"/>
        <v>120.11999999999999</v>
      </c>
      <c r="Q385" s="45">
        <f t="shared" si="38"/>
        <v>165.88</v>
      </c>
      <c r="R385" s="45">
        <v>0</v>
      </c>
      <c r="S385" s="45">
        <f t="shared" si="39"/>
        <v>0</v>
      </c>
      <c r="T385" s="45">
        <f t="shared" si="40"/>
        <v>0</v>
      </c>
      <c r="U385" s="47">
        <f t="shared" si="41"/>
        <v>165.88</v>
      </c>
    </row>
    <row r="386" spans="1:21" x14ac:dyDescent="0.3">
      <c r="A386" s="41" t="str">
        <f t="shared" ref="A386:A449" si="42">UPPER("P"&amp;LEFT(D386,3)&amp;LEFT(E386,2))</f>
        <v>PGAPOU</v>
      </c>
      <c r="B386" s="43">
        <v>45496</v>
      </c>
      <c r="C386" s="10" t="s">
        <v>428</v>
      </c>
      <c r="D386" s="10" t="s">
        <v>53</v>
      </c>
      <c r="E386" s="10" t="s">
        <v>2</v>
      </c>
      <c r="F386" s="10" t="s">
        <v>11</v>
      </c>
      <c r="G386" s="10" t="s">
        <v>49</v>
      </c>
      <c r="H386" s="10" t="s">
        <v>56</v>
      </c>
      <c r="I386" s="45">
        <v>3139</v>
      </c>
      <c r="J386" s="11">
        <v>0</v>
      </c>
      <c r="K386" s="45">
        <f t="shared" si="36"/>
        <v>3139</v>
      </c>
      <c r="L386" s="10">
        <v>27</v>
      </c>
      <c r="M386" s="10">
        <v>3.6</v>
      </c>
      <c r="N386" s="10" t="b">
        <v>0</v>
      </c>
      <c r="O386" s="41"/>
      <c r="P386" s="45">
        <f t="shared" si="37"/>
        <v>1318.3799999999999</v>
      </c>
      <c r="Q386" s="45">
        <f t="shared" si="38"/>
        <v>1820.6200000000001</v>
      </c>
      <c r="R386" s="45">
        <v>0</v>
      </c>
      <c r="S386" s="45">
        <f t="shared" si="39"/>
        <v>0</v>
      </c>
      <c r="T386" s="45">
        <f t="shared" si="40"/>
        <v>0</v>
      </c>
      <c r="U386" s="47">
        <f t="shared" si="41"/>
        <v>1820.6200000000001</v>
      </c>
    </row>
    <row r="387" spans="1:21" x14ac:dyDescent="0.3">
      <c r="A387" s="41" t="str">
        <f t="shared" si="42"/>
        <v>PBANDR</v>
      </c>
      <c r="B387" s="43">
        <v>45497</v>
      </c>
      <c r="C387" s="10" t="s">
        <v>429</v>
      </c>
      <c r="D387" s="10" t="s">
        <v>21</v>
      </c>
      <c r="E387" s="10" t="s">
        <v>30</v>
      </c>
      <c r="F387" s="10" t="s">
        <v>4</v>
      </c>
      <c r="G387" s="10" t="s">
        <v>7</v>
      </c>
      <c r="H387" s="10" t="s">
        <v>88</v>
      </c>
      <c r="I387" s="45">
        <v>2058</v>
      </c>
      <c r="J387" s="11">
        <v>0.496</v>
      </c>
      <c r="K387" s="45">
        <f t="shared" ref="K387:K450" si="43">I387*(1-J387)</f>
        <v>1037.232</v>
      </c>
      <c r="L387" s="10">
        <v>48</v>
      </c>
      <c r="M387" s="10">
        <v>4.5</v>
      </c>
      <c r="N387" s="10" t="b">
        <v>0</v>
      </c>
      <c r="O387" s="41"/>
      <c r="P387" s="45">
        <f t="shared" ref="P387:P450" si="44">K387*0.42</f>
        <v>435.63743999999997</v>
      </c>
      <c r="Q387" s="45">
        <f t="shared" ref="Q387:Q450" si="45">K387-P387</f>
        <v>601.59456</v>
      </c>
      <c r="R387" s="45">
        <v>0</v>
      </c>
      <c r="S387" s="45">
        <f t="shared" ref="S387:S450" si="46">IF(N387=TRUE,K387*0.1,0)</f>
        <v>0</v>
      </c>
      <c r="T387" s="45">
        <f t="shared" ref="T387:T450" si="47">IF(N387=TRUE,K387,0)</f>
        <v>0</v>
      </c>
      <c r="U387" s="47">
        <f t="shared" ref="U387:U450" si="48">Q387-R387-S387-T387</f>
        <v>601.59456</v>
      </c>
    </row>
    <row r="388" spans="1:21" x14ac:dyDescent="0.3">
      <c r="A388" s="41" t="str">
        <f t="shared" si="42"/>
        <v>PUNITO</v>
      </c>
      <c r="B388" s="43">
        <v>45497</v>
      </c>
      <c r="C388" s="10" t="s">
        <v>430</v>
      </c>
      <c r="D388" s="10" t="s">
        <v>10</v>
      </c>
      <c r="E388" s="10" t="s">
        <v>9</v>
      </c>
      <c r="F388" s="10" t="s">
        <v>11</v>
      </c>
      <c r="G388" s="10" t="s">
        <v>12</v>
      </c>
      <c r="H388" s="10" t="s">
        <v>43</v>
      </c>
      <c r="I388" s="45">
        <v>1226</v>
      </c>
      <c r="J388" s="11">
        <v>0</v>
      </c>
      <c r="K388" s="45">
        <f t="shared" si="43"/>
        <v>1226</v>
      </c>
      <c r="L388" s="10">
        <v>42</v>
      </c>
      <c r="M388" s="10">
        <v>4.3</v>
      </c>
      <c r="N388" s="10" t="b">
        <v>0</v>
      </c>
      <c r="O388" s="41"/>
      <c r="P388" s="45">
        <f t="shared" si="44"/>
        <v>514.91999999999996</v>
      </c>
      <c r="Q388" s="45">
        <f t="shared" si="45"/>
        <v>711.08</v>
      </c>
      <c r="R388" s="45">
        <v>0</v>
      </c>
      <c r="S388" s="45">
        <f t="shared" si="46"/>
        <v>0</v>
      </c>
      <c r="T388" s="45">
        <f t="shared" si="47"/>
        <v>0</v>
      </c>
      <c r="U388" s="47">
        <f t="shared" si="48"/>
        <v>711.08</v>
      </c>
    </row>
    <row r="389" spans="1:21" x14ac:dyDescent="0.3">
      <c r="A389" s="41" t="str">
        <f t="shared" si="42"/>
        <v>PH&amp;MAC</v>
      </c>
      <c r="B389" s="43">
        <v>45497</v>
      </c>
      <c r="C389" s="10" t="s">
        <v>431</v>
      </c>
      <c r="D389" s="10" t="s">
        <v>37</v>
      </c>
      <c r="E389" s="10" t="s">
        <v>15</v>
      </c>
      <c r="F389" s="10" t="s">
        <v>23</v>
      </c>
      <c r="G389" s="10" t="s">
        <v>7</v>
      </c>
      <c r="H389" s="10" t="s">
        <v>16</v>
      </c>
      <c r="I389" s="45">
        <v>256</v>
      </c>
      <c r="J389" s="11">
        <v>0</v>
      </c>
      <c r="K389" s="45">
        <f t="shared" si="43"/>
        <v>256</v>
      </c>
      <c r="L389" s="10">
        <v>6</v>
      </c>
      <c r="M389" s="10">
        <v>4.4000000000000004</v>
      </c>
      <c r="N389" s="10" t="b">
        <v>0</v>
      </c>
      <c r="O389" s="41"/>
      <c r="P389" s="45">
        <f t="shared" si="44"/>
        <v>107.52</v>
      </c>
      <c r="Q389" s="45">
        <f t="shared" si="45"/>
        <v>148.48000000000002</v>
      </c>
      <c r="R389" s="45">
        <v>0</v>
      </c>
      <c r="S389" s="45">
        <f t="shared" si="46"/>
        <v>0</v>
      </c>
      <c r="T389" s="45">
        <f t="shared" si="47"/>
        <v>0</v>
      </c>
      <c r="U389" s="47">
        <f t="shared" si="48"/>
        <v>148.48000000000002</v>
      </c>
    </row>
    <row r="390" spans="1:21" x14ac:dyDescent="0.3">
      <c r="A390" s="41" t="str">
        <f t="shared" si="42"/>
        <v>PBANAC</v>
      </c>
      <c r="B390" s="43">
        <v>45497</v>
      </c>
      <c r="C390" s="10" t="s">
        <v>432</v>
      </c>
      <c r="D390" s="10" t="s">
        <v>21</v>
      </c>
      <c r="E390" s="10" t="s">
        <v>15</v>
      </c>
      <c r="F390" s="10" t="s">
        <v>4</v>
      </c>
      <c r="G390" s="10" t="s">
        <v>7</v>
      </c>
      <c r="H390" s="10" t="s">
        <v>32</v>
      </c>
      <c r="I390" s="45">
        <v>156</v>
      </c>
      <c r="J390" s="11">
        <v>0</v>
      </c>
      <c r="K390" s="45">
        <f t="shared" si="43"/>
        <v>156</v>
      </c>
      <c r="L390" s="10">
        <v>30</v>
      </c>
      <c r="M390" s="10">
        <v>2.8</v>
      </c>
      <c r="N390" s="10" t="b">
        <v>0</v>
      </c>
      <c r="O390" s="41"/>
      <c r="P390" s="45">
        <f t="shared" si="44"/>
        <v>65.52</v>
      </c>
      <c r="Q390" s="45">
        <f t="shared" si="45"/>
        <v>90.48</v>
      </c>
      <c r="R390" s="45">
        <v>0</v>
      </c>
      <c r="S390" s="45">
        <f t="shared" si="46"/>
        <v>0</v>
      </c>
      <c r="T390" s="45">
        <f t="shared" si="47"/>
        <v>0</v>
      </c>
      <c r="U390" s="47">
        <f t="shared" si="48"/>
        <v>90.48</v>
      </c>
    </row>
    <row r="391" spans="1:21" x14ac:dyDescent="0.3">
      <c r="A391" s="41" t="str">
        <f t="shared" si="42"/>
        <v>PFORSH</v>
      </c>
      <c r="B391" s="43">
        <v>45498</v>
      </c>
      <c r="C391" s="10" t="s">
        <v>433</v>
      </c>
      <c r="D391" s="10" t="s">
        <v>65</v>
      </c>
      <c r="E391" s="10" t="s">
        <v>18</v>
      </c>
      <c r="F391" s="10" t="s">
        <v>54</v>
      </c>
      <c r="G391" s="10" t="s">
        <v>12</v>
      </c>
      <c r="H391" s="10" t="s">
        <v>13</v>
      </c>
      <c r="I391" s="45">
        <v>3138</v>
      </c>
      <c r="J391" s="11">
        <v>0.24299999999999999</v>
      </c>
      <c r="K391" s="45">
        <f t="shared" si="43"/>
        <v>2375.4659999999999</v>
      </c>
      <c r="L391" s="10">
        <v>37</v>
      </c>
      <c r="M391" s="10">
        <v>1.7</v>
      </c>
      <c r="N391" s="10" t="b">
        <v>1</v>
      </c>
      <c r="O391" s="41" t="s">
        <v>44</v>
      </c>
      <c r="P391" s="45">
        <f t="shared" si="44"/>
        <v>997.69571999999994</v>
      </c>
      <c r="Q391" s="45">
        <f t="shared" si="45"/>
        <v>1377.77028</v>
      </c>
      <c r="R391" s="45">
        <v>150</v>
      </c>
      <c r="S391" s="45">
        <f t="shared" si="46"/>
        <v>237.54660000000001</v>
      </c>
      <c r="T391" s="45">
        <f t="shared" si="47"/>
        <v>2375.4659999999999</v>
      </c>
      <c r="U391" s="47">
        <f t="shared" si="48"/>
        <v>-1385.2423199999998</v>
      </c>
    </row>
    <row r="392" spans="1:21" x14ac:dyDescent="0.3">
      <c r="A392" s="41" t="str">
        <f t="shared" si="42"/>
        <v>PGAPDR</v>
      </c>
      <c r="B392" s="43">
        <v>45498</v>
      </c>
      <c r="C392" s="10" t="s">
        <v>434</v>
      </c>
      <c r="D392" s="10" t="s">
        <v>53</v>
      </c>
      <c r="E392" s="10" t="s">
        <v>30</v>
      </c>
      <c r="F392" s="10" t="s">
        <v>23</v>
      </c>
      <c r="G392" s="10" t="s">
        <v>5</v>
      </c>
      <c r="H392" s="10" t="s">
        <v>7</v>
      </c>
      <c r="I392" s="45">
        <v>2726</v>
      </c>
      <c r="J392" s="11">
        <v>0</v>
      </c>
      <c r="K392" s="45">
        <f t="shared" si="43"/>
        <v>2726</v>
      </c>
      <c r="L392" s="10">
        <v>19</v>
      </c>
      <c r="M392" s="10">
        <v>3.4</v>
      </c>
      <c r="N392" s="10" t="b">
        <v>0</v>
      </c>
      <c r="O392" s="41"/>
      <c r="P392" s="45">
        <f t="shared" si="44"/>
        <v>1144.9199999999998</v>
      </c>
      <c r="Q392" s="45">
        <f t="shared" si="45"/>
        <v>1581.0800000000002</v>
      </c>
      <c r="R392" s="45">
        <v>0</v>
      </c>
      <c r="S392" s="45">
        <f t="shared" si="46"/>
        <v>0</v>
      </c>
      <c r="T392" s="45">
        <f t="shared" si="47"/>
        <v>0</v>
      </c>
      <c r="U392" s="47">
        <f t="shared" si="48"/>
        <v>1581.0800000000002</v>
      </c>
    </row>
    <row r="393" spans="1:21" x14ac:dyDescent="0.3">
      <c r="A393" s="41" t="str">
        <f t="shared" si="42"/>
        <v>PMANTO</v>
      </c>
      <c r="B393" s="43">
        <v>45498</v>
      </c>
      <c r="C393" s="10" t="s">
        <v>435</v>
      </c>
      <c r="D393" s="10" t="s">
        <v>31</v>
      </c>
      <c r="E393" s="10" t="s">
        <v>9</v>
      </c>
      <c r="F393" s="10" t="s">
        <v>11</v>
      </c>
      <c r="G393" s="10" t="s">
        <v>46</v>
      </c>
      <c r="H393" s="10" t="s">
        <v>32</v>
      </c>
      <c r="I393" s="45">
        <v>1393</v>
      </c>
      <c r="J393" s="11">
        <v>0</v>
      </c>
      <c r="K393" s="45">
        <f t="shared" si="43"/>
        <v>1393</v>
      </c>
      <c r="L393" s="10">
        <v>36</v>
      </c>
      <c r="M393" s="10">
        <v>3.5</v>
      </c>
      <c r="N393" s="10" t="b">
        <v>0</v>
      </c>
      <c r="O393" s="41"/>
      <c r="P393" s="45">
        <f t="shared" si="44"/>
        <v>585.05999999999995</v>
      </c>
      <c r="Q393" s="45">
        <f t="shared" si="45"/>
        <v>807.94</v>
      </c>
      <c r="R393" s="45">
        <v>0</v>
      </c>
      <c r="S393" s="45">
        <f t="shared" si="46"/>
        <v>0</v>
      </c>
      <c r="T393" s="45">
        <f t="shared" si="47"/>
        <v>0</v>
      </c>
      <c r="U393" s="47">
        <f t="shared" si="48"/>
        <v>807.94</v>
      </c>
    </row>
    <row r="394" spans="1:21" x14ac:dyDescent="0.3">
      <c r="A394" s="41" t="str">
        <f t="shared" si="42"/>
        <v>PUNIDR</v>
      </c>
      <c r="B394" s="43">
        <v>45498</v>
      </c>
      <c r="C394" s="10" t="s">
        <v>436</v>
      </c>
      <c r="D394" s="10" t="s">
        <v>10</v>
      </c>
      <c r="E394" s="10" t="s">
        <v>30</v>
      </c>
      <c r="F394" s="10" t="s">
        <v>23</v>
      </c>
      <c r="G394" s="10" t="s">
        <v>46</v>
      </c>
      <c r="H394" s="10" t="s">
        <v>47</v>
      </c>
      <c r="I394" s="45">
        <v>1971</v>
      </c>
      <c r="J394" s="11">
        <v>0.35399999999999998</v>
      </c>
      <c r="K394" s="45">
        <f t="shared" si="43"/>
        <v>1273.2660000000001</v>
      </c>
      <c r="L394" s="10">
        <v>21</v>
      </c>
      <c r="M394" s="10">
        <v>4.7</v>
      </c>
      <c r="N394" s="10" t="b">
        <v>0</v>
      </c>
      <c r="O394" s="41"/>
      <c r="P394" s="45">
        <f t="shared" si="44"/>
        <v>534.77171999999996</v>
      </c>
      <c r="Q394" s="45">
        <f t="shared" si="45"/>
        <v>738.49428000000012</v>
      </c>
      <c r="R394" s="45">
        <v>0</v>
      </c>
      <c r="S394" s="45">
        <f t="shared" si="46"/>
        <v>0</v>
      </c>
      <c r="T394" s="45">
        <f t="shared" si="47"/>
        <v>0</v>
      </c>
      <c r="U394" s="47">
        <f t="shared" si="48"/>
        <v>738.49428000000012</v>
      </c>
    </row>
    <row r="395" spans="1:21" x14ac:dyDescent="0.3">
      <c r="A395" s="41" t="str">
        <f t="shared" si="42"/>
        <v>PMANBO</v>
      </c>
      <c r="B395" s="43">
        <v>45499</v>
      </c>
      <c r="C395" s="10" t="s">
        <v>437</v>
      </c>
      <c r="D395" s="10" t="s">
        <v>31</v>
      </c>
      <c r="E395" s="10" t="s">
        <v>26</v>
      </c>
      <c r="F395" s="10" t="s">
        <v>23</v>
      </c>
      <c r="G395" s="10" t="s">
        <v>49</v>
      </c>
      <c r="H395" s="10" t="s">
        <v>32</v>
      </c>
      <c r="I395" s="45">
        <v>2705</v>
      </c>
      <c r="J395" s="11">
        <v>0.27899999999999997</v>
      </c>
      <c r="K395" s="45">
        <f t="shared" si="43"/>
        <v>1950.3050000000003</v>
      </c>
      <c r="L395" s="10">
        <v>22</v>
      </c>
      <c r="M395" s="10"/>
      <c r="N395" s="10" t="b">
        <v>0</v>
      </c>
      <c r="O395" s="41"/>
      <c r="P395" s="45">
        <f t="shared" si="44"/>
        <v>819.12810000000013</v>
      </c>
      <c r="Q395" s="45">
        <f t="shared" si="45"/>
        <v>1131.1769000000002</v>
      </c>
      <c r="R395" s="45">
        <v>0</v>
      </c>
      <c r="S395" s="45">
        <f t="shared" si="46"/>
        <v>0</v>
      </c>
      <c r="T395" s="45">
        <f t="shared" si="47"/>
        <v>0</v>
      </c>
      <c r="U395" s="47">
        <f t="shared" si="48"/>
        <v>1131.1769000000002</v>
      </c>
    </row>
    <row r="396" spans="1:21" x14ac:dyDescent="0.3">
      <c r="A396" s="41" t="str">
        <f t="shared" si="42"/>
        <v>PZARTO</v>
      </c>
      <c r="B396" s="43">
        <v>45499</v>
      </c>
      <c r="C396" s="10" t="s">
        <v>438</v>
      </c>
      <c r="D396" s="10" t="s">
        <v>3</v>
      </c>
      <c r="E396" s="10" t="s">
        <v>9</v>
      </c>
      <c r="F396" s="10" t="s">
        <v>11</v>
      </c>
      <c r="G396" s="10" t="s">
        <v>7</v>
      </c>
      <c r="H396" s="10" t="s">
        <v>32</v>
      </c>
      <c r="I396" s="45">
        <v>1416</v>
      </c>
      <c r="J396" s="11">
        <v>0.33299999999999996</v>
      </c>
      <c r="K396" s="45">
        <f t="shared" si="43"/>
        <v>944.47200000000009</v>
      </c>
      <c r="L396" s="10">
        <v>47</v>
      </c>
      <c r="M396" s="10">
        <v>2</v>
      </c>
      <c r="N396" s="10" t="b">
        <v>0</v>
      </c>
      <c r="O396" s="41"/>
      <c r="P396" s="45">
        <f t="shared" si="44"/>
        <v>396.67824000000002</v>
      </c>
      <c r="Q396" s="45">
        <f t="shared" si="45"/>
        <v>547.79376000000002</v>
      </c>
      <c r="R396" s="45">
        <v>0</v>
      </c>
      <c r="S396" s="45">
        <f t="shared" si="46"/>
        <v>0</v>
      </c>
      <c r="T396" s="45">
        <f t="shared" si="47"/>
        <v>0</v>
      </c>
      <c r="U396" s="47">
        <f t="shared" si="48"/>
        <v>547.79376000000002</v>
      </c>
    </row>
    <row r="397" spans="1:21" x14ac:dyDescent="0.3">
      <c r="A397" s="41" t="str">
        <f t="shared" si="42"/>
        <v>PZARTO</v>
      </c>
      <c r="B397" s="43">
        <v>45499</v>
      </c>
      <c r="C397" s="10" t="s">
        <v>439</v>
      </c>
      <c r="D397" s="10" t="s">
        <v>3</v>
      </c>
      <c r="E397" s="10" t="s">
        <v>9</v>
      </c>
      <c r="F397" s="10" t="s">
        <v>11</v>
      </c>
      <c r="G397" s="10" t="s">
        <v>12</v>
      </c>
      <c r="H397" s="10" t="s">
        <v>47</v>
      </c>
      <c r="I397" s="45">
        <v>1401</v>
      </c>
      <c r="J397" s="11">
        <v>0.47600000000000003</v>
      </c>
      <c r="K397" s="45">
        <f t="shared" si="43"/>
        <v>734.12400000000002</v>
      </c>
      <c r="L397" s="10">
        <v>18</v>
      </c>
      <c r="M397" s="10">
        <v>2</v>
      </c>
      <c r="N397" s="10" t="b">
        <v>1</v>
      </c>
      <c r="O397" s="41" t="s">
        <v>44</v>
      </c>
      <c r="P397" s="45">
        <f t="shared" si="44"/>
        <v>308.33208000000002</v>
      </c>
      <c r="Q397" s="45">
        <f t="shared" si="45"/>
        <v>425.79192</v>
      </c>
      <c r="R397" s="45">
        <v>150</v>
      </c>
      <c r="S397" s="45">
        <f t="shared" si="46"/>
        <v>73.412400000000005</v>
      </c>
      <c r="T397" s="45">
        <f t="shared" si="47"/>
        <v>734.12400000000002</v>
      </c>
      <c r="U397" s="47">
        <f t="shared" si="48"/>
        <v>-531.74448000000007</v>
      </c>
    </row>
    <row r="398" spans="1:21" x14ac:dyDescent="0.3">
      <c r="A398" s="41" t="str">
        <f t="shared" si="42"/>
        <v>PUNIDR</v>
      </c>
      <c r="B398" s="43">
        <v>45499</v>
      </c>
      <c r="C398" s="10" t="s">
        <v>440</v>
      </c>
      <c r="D398" s="10" t="s">
        <v>10</v>
      </c>
      <c r="E398" s="10" t="s">
        <v>30</v>
      </c>
      <c r="F398" s="10" t="s">
        <v>23</v>
      </c>
      <c r="G398" s="10" t="s">
        <v>46</v>
      </c>
      <c r="H398" s="10" t="s">
        <v>6</v>
      </c>
      <c r="I398" s="45">
        <v>2268</v>
      </c>
      <c r="J398" s="11">
        <v>0.57100000000000006</v>
      </c>
      <c r="K398" s="45">
        <f t="shared" si="43"/>
        <v>972.97199999999987</v>
      </c>
      <c r="L398" s="10">
        <v>0</v>
      </c>
      <c r="M398" s="10">
        <v>4.7</v>
      </c>
      <c r="N398" s="10" t="b">
        <v>0</v>
      </c>
      <c r="O398" s="41"/>
      <c r="P398" s="45">
        <f t="shared" si="44"/>
        <v>408.64823999999993</v>
      </c>
      <c r="Q398" s="45">
        <f t="shared" si="45"/>
        <v>564.32375999999999</v>
      </c>
      <c r="R398" s="45">
        <v>0</v>
      </c>
      <c r="S398" s="45">
        <f t="shared" si="46"/>
        <v>0</v>
      </c>
      <c r="T398" s="45">
        <f t="shared" si="47"/>
        <v>0</v>
      </c>
      <c r="U398" s="47">
        <f t="shared" si="48"/>
        <v>564.32375999999999</v>
      </c>
    </row>
    <row r="399" spans="1:21" x14ac:dyDescent="0.3">
      <c r="A399" s="41" t="str">
        <f t="shared" si="42"/>
        <v>PFORDR</v>
      </c>
      <c r="B399" s="43">
        <v>45500</v>
      </c>
      <c r="C399" s="10" t="s">
        <v>441</v>
      </c>
      <c r="D399" s="10" t="s">
        <v>65</v>
      </c>
      <c r="E399" s="10" t="s">
        <v>30</v>
      </c>
      <c r="F399" s="10" t="s">
        <v>11</v>
      </c>
      <c r="G399" s="10" t="s">
        <v>12</v>
      </c>
      <c r="H399" s="10" t="s">
        <v>32</v>
      </c>
      <c r="I399" s="45">
        <v>1899</v>
      </c>
      <c r="J399" s="11">
        <v>0</v>
      </c>
      <c r="K399" s="45">
        <f t="shared" si="43"/>
        <v>1899</v>
      </c>
      <c r="L399" s="10">
        <v>39</v>
      </c>
      <c r="M399" s="10">
        <v>1.7</v>
      </c>
      <c r="N399" s="10" t="b">
        <v>1</v>
      </c>
      <c r="O399" s="41" t="s">
        <v>44</v>
      </c>
      <c r="P399" s="45">
        <f t="shared" si="44"/>
        <v>797.57999999999993</v>
      </c>
      <c r="Q399" s="45">
        <f t="shared" si="45"/>
        <v>1101.42</v>
      </c>
      <c r="R399" s="45">
        <v>150</v>
      </c>
      <c r="S399" s="45">
        <f t="shared" si="46"/>
        <v>189.9</v>
      </c>
      <c r="T399" s="45">
        <f t="shared" si="47"/>
        <v>1899</v>
      </c>
      <c r="U399" s="47">
        <f t="shared" si="48"/>
        <v>-1137.48</v>
      </c>
    </row>
    <row r="400" spans="1:21" x14ac:dyDescent="0.3">
      <c r="A400" s="41" t="str">
        <f t="shared" si="42"/>
        <v>PH&amp;MAC</v>
      </c>
      <c r="B400" s="43">
        <v>45500</v>
      </c>
      <c r="C400" s="10" t="s">
        <v>442</v>
      </c>
      <c r="D400" s="10" t="s">
        <v>37</v>
      </c>
      <c r="E400" s="10" t="s">
        <v>15</v>
      </c>
      <c r="F400" s="10" t="s">
        <v>11</v>
      </c>
      <c r="G400" s="10" t="s">
        <v>7</v>
      </c>
      <c r="H400" s="10" t="s">
        <v>88</v>
      </c>
      <c r="I400" s="45">
        <v>155</v>
      </c>
      <c r="J400" s="11">
        <v>0.42899999999999999</v>
      </c>
      <c r="K400" s="45">
        <f t="shared" si="43"/>
        <v>88.504999999999995</v>
      </c>
      <c r="L400" s="10">
        <v>5</v>
      </c>
      <c r="M400" s="10">
        <v>1.1000000000000001</v>
      </c>
      <c r="N400" s="10" t="b">
        <v>0</v>
      </c>
      <c r="O400" s="41"/>
      <c r="P400" s="45">
        <f t="shared" si="44"/>
        <v>37.172099999999993</v>
      </c>
      <c r="Q400" s="45">
        <f t="shared" si="45"/>
        <v>51.332900000000002</v>
      </c>
      <c r="R400" s="45">
        <v>0</v>
      </c>
      <c r="S400" s="45">
        <f t="shared" si="46"/>
        <v>0</v>
      </c>
      <c r="T400" s="45">
        <f t="shared" si="47"/>
        <v>0</v>
      </c>
      <c r="U400" s="47">
        <f t="shared" si="48"/>
        <v>51.332900000000002</v>
      </c>
    </row>
    <row r="401" spans="1:21" x14ac:dyDescent="0.3">
      <c r="A401" s="41" t="str">
        <f t="shared" si="42"/>
        <v>PZAROU</v>
      </c>
      <c r="B401" s="43">
        <v>45500</v>
      </c>
      <c r="C401" s="10" t="s">
        <v>443</v>
      </c>
      <c r="D401" s="10" t="s">
        <v>3</v>
      </c>
      <c r="E401" s="10" t="s">
        <v>2</v>
      </c>
      <c r="F401" s="10" t="s">
        <v>4</v>
      </c>
      <c r="G401" s="10" t="s">
        <v>12</v>
      </c>
      <c r="H401" s="10" t="s">
        <v>16</v>
      </c>
      <c r="I401" s="45">
        <v>3036</v>
      </c>
      <c r="J401" s="11">
        <v>0.40799999999999997</v>
      </c>
      <c r="K401" s="45">
        <f t="shared" si="43"/>
        <v>1797.3120000000004</v>
      </c>
      <c r="L401" s="10">
        <v>27</v>
      </c>
      <c r="M401" s="10">
        <v>1.8</v>
      </c>
      <c r="N401" s="10" t="b">
        <v>1</v>
      </c>
      <c r="O401" s="41" t="s">
        <v>309</v>
      </c>
      <c r="P401" s="45">
        <f t="shared" si="44"/>
        <v>754.87104000000011</v>
      </c>
      <c r="Q401" s="45">
        <f t="shared" si="45"/>
        <v>1042.4409600000004</v>
      </c>
      <c r="R401" s="45">
        <v>150</v>
      </c>
      <c r="S401" s="45">
        <f t="shared" si="46"/>
        <v>179.73120000000006</v>
      </c>
      <c r="T401" s="45">
        <f t="shared" si="47"/>
        <v>1797.3120000000004</v>
      </c>
      <c r="U401" s="47">
        <f t="shared" si="48"/>
        <v>-1084.6022400000002</v>
      </c>
    </row>
    <row r="402" spans="1:21" x14ac:dyDescent="0.3">
      <c r="A402" s="41" t="str">
        <f t="shared" si="42"/>
        <v>PANNDR</v>
      </c>
      <c r="B402" s="43">
        <v>45500</v>
      </c>
      <c r="C402" s="10" t="s">
        <v>444</v>
      </c>
      <c r="D402" s="10" t="s">
        <v>42</v>
      </c>
      <c r="E402" s="10" t="s">
        <v>30</v>
      </c>
      <c r="F402" s="10" t="s">
        <v>23</v>
      </c>
      <c r="G402" s="10" t="s">
        <v>5</v>
      </c>
      <c r="H402" s="10" t="s">
        <v>13</v>
      </c>
      <c r="I402" s="45">
        <v>2871</v>
      </c>
      <c r="J402" s="11">
        <v>0.46799999999999997</v>
      </c>
      <c r="K402" s="45">
        <f t="shared" si="43"/>
        <v>1527.3720000000001</v>
      </c>
      <c r="L402" s="10">
        <v>18</v>
      </c>
      <c r="M402" s="10">
        <v>4.9000000000000004</v>
      </c>
      <c r="N402" s="10" t="b">
        <v>0</v>
      </c>
      <c r="O402" s="41"/>
      <c r="P402" s="45">
        <f t="shared" si="44"/>
        <v>641.49624000000006</v>
      </c>
      <c r="Q402" s="45">
        <f t="shared" si="45"/>
        <v>885.87576000000001</v>
      </c>
      <c r="R402" s="45">
        <v>0</v>
      </c>
      <c r="S402" s="45">
        <f t="shared" si="46"/>
        <v>0</v>
      </c>
      <c r="T402" s="45">
        <f t="shared" si="47"/>
        <v>0</v>
      </c>
      <c r="U402" s="47">
        <f t="shared" si="48"/>
        <v>885.87576000000001</v>
      </c>
    </row>
    <row r="403" spans="1:21" x14ac:dyDescent="0.3">
      <c r="A403" s="41" t="str">
        <f t="shared" si="42"/>
        <v>PGAPAC</v>
      </c>
      <c r="B403" s="43">
        <v>45501</v>
      </c>
      <c r="C403" s="10" t="s">
        <v>445</v>
      </c>
      <c r="D403" s="10" t="s">
        <v>53</v>
      </c>
      <c r="E403" s="10" t="s">
        <v>15</v>
      </c>
      <c r="F403" s="10" t="s">
        <v>23</v>
      </c>
      <c r="G403" s="10" t="s">
        <v>7</v>
      </c>
      <c r="H403" s="10" t="s">
        <v>56</v>
      </c>
      <c r="I403" s="45">
        <v>396</v>
      </c>
      <c r="J403" s="11">
        <v>0.215</v>
      </c>
      <c r="K403" s="45">
        <f t="shared" si="43"/>
        <v>310.86</v>
      </c>
      <c r="L403" s="10">
        <v>16</v>
      </c>
      <c r="M403" s="10"/>
      <c r="N403" s="10" t="b">
        <v>0</v>
      </c>
      <c r="O403" s="41"/>
      <c r="P403" s="45">
        <f t="shared" si="44"/>
        <v>130.56120000000001</v>
      </c>
      <c r="Q403" s="45">
        <f t="shared" si="45"/>
        <v>180.2988</v>
      </c>
      <c r="R403" s="45">
        <v>0</v>
      </c>
      <c r="S403" s="45">
        <f t="shared" si="46"/>
        <v>0</v>
      </c>
      <c r="T403" s="45">
        <f t="shared" si="47"/>
        <v>0</v>
      </c>
      <c r="U403" s="47">
        <f t="shared" si="48"/>
        <v>180.2988</v>
      </c>
    </row>
    <row r="404" spans="1:21" x14ac:dyDescent="0.3">
      <c r="A404" s="41" t="str">
        <f t="shared" si="42"/>
        <v>PUNIAC</v>
      </c>
      <c r="B404" s="43">
        <v>45501</v>
      </c>
      <c r="C404" s="10" t="s">
        <v>446</v>
      </c>
      <c r="D404" s="10" t="s">
        <v>10</v>
      </c>
      <c r="E404" s="10" t="s">
        <v>15</v>
      </c>
      <c r="F404" s="10" t="s">
        <v>23</v>
      </c>
      <c r="G404" s="10" t="s">
        <v>7</v>
      </c>
      <c r="H404" s="10" t="s">
        <v>6</v>
      </c>
      <c r="I404" s="45">
        <v>156</v>
      </c>
      <c r="J404" s="11">
        <v>0</v>
      </c>
      <c r="K404" s="45">
        <f t="shared" si="43"/>
        <v>156</v>
      </c>
      <c r="L404" s="10">
        <v>50</v>
      </c>
      <c r="M404" s="10">
        <v>1.4</v>
      </c>
      <c r="N404" s="10" t="b">
        <v>0</v>
      </c>
      <c r="O404" s="41"/>
      <c r="P404" s="45">
        <f t="shared" si="44"/>
        <v>65.52</v>
      </c>
      <c r="Q404" s="45">
        <f t="shared" si="45"/>
        <v>90.48</v>
      </c>
      <c r="R404" s="45">
        <v>0</v>
      </c>
      <c r="S404" s="45">
        <f t="shared" si="46"/>
        <v>0</v>
      </c>
      <c r="T404" s="45">
        <f t="shared" si="47"/>
        <v>0</v>
      </c>
      <c r="U404" s="47">
        <f t="shared" si="48"/>
        <v>90.48</v>
      </c>
    </row>
    <row r="405" spans="1:21" x14ac:dyDescent="0.3">
      <c r="A405" s="41" t="str">
        <f t="shared" si="42"/>
        <v>PBANAC</v>
      </c>
      <c r="B405" s="43">
        <v>45501</v>
      </c>
      <c r="C405" s="10" t="s">
        <v>447</v>
      </c>
      <c r="D405" s="10" t="s">
        <v>21</v>
      </c>
      <c r="E405" s="10" t="s">
        <v>15</v>
      </c>
      <c r="F405" s="10" t="s">
        <v>11</v>
      </c>
      <c r="G405" s="10" t="s">
        <v>7</v>
      </c>
      <c r="H405" s="10" t="s">
        <v>35</v>
      </c>
      <c r="I405" s="45">
        <v>294</v>
      </c>
      <c r="J405" s="11">
        <v>0</v>
      </c>
      <c r="K405" s="45">
        <f t="shared" si="43"/>
        <v>294</v>
      </c>
      <c r="L405" s="10">
        <v>4</v>
      </c>
      <c r="M405" s="10">
        <v>2.2000000000000002</v>
      </c>
      <c r="N405" s="10" t="b">
        <v>1</v>
      </c>
      <c r="O405" s="41" t="s">
        <v>44</v>
      </c>
      <c r="P405" s="45">
        <f t="shared" si="44"/>
        <v>123.47999999999999</v>
      </c>
      <c r="Q405" s="45">
        <f t="shared" si="45"/>
        <v>170.52</v>
      </c>
      <c r="R405" s="45">
        <v>150</v>
      </c>
      <c r="S405" s="45">
        <f t="shared" si="46"/>
        <v>29.400000000000002</v>
      </c>
      <c r="T405" s="45">
        <f t="shared" si="47"/>
        <v>294</v>
      </c>
      <c r="U405" s="47">
        <f t="shared" si="48"/>
        <v>-302.88</v>
      </c>
    </row>
    <row r="406" spans="1:21" x14ac:dyDescent="0.3">
      <c r="A406" s="41" t="str">
        <f t="shared" si="42"/>
        <v>PUNIOU</v>
      </c>
      <c r="B406" s="43">
        <v>45501</v>
      </c>
      <c r="C406" s="10" t="s">
        <v>448</v>
      </c>
      <c r="D406" s="10" t="s">
        <v>10</v>
      </c>
      <c r="E406" s="10" t="s">
        <v>2</v>
      </c>
      <c r="F406" s="10" t="s">
        <v>11</v>
      </c>
      <c r="G406" s="10" t="s">
        <v>46</v>
      </c>
      <c r="H406" s="10" t="s">
        <v>56</v>
      </c>
      <c r="I406" s="45">
        <v>4374</v>
      </c>
      <c r="J406" s="11">
        <v>0</v>
      </c>
      <c r="K406" s="45">
        <f t="shared" si="43"/>
        <v>4374</v>
      </c>
      <c r="L406" s="10">
        <v>4</v>
      </c>
      <c r="M406" s="10">
        <v>4.2</v>
      </c>
      <c r="N406" s="10" t="b">
        <v>0</v>
      </c>
      <c r="O406" s="41"/>
      <c r="P406" s="45">
        <f t="shared" si="44"/>
        <v>1837.08</v>
      </c>
      <c r="Q406" s="45">
        <f t="shared" si="45"/>
        <v>2536.92</v>
      </c>
      <c r="R406" s="45">
        <v>0</v>
      </c>
      <c r="S406" s="45">
        <f t="shared" si="46"/>
        <v>0</v>
      </c>
      <c r="T406" s="45">
        <f t="shared" si="47"/>
        <v>0</v>
      </c>
      <c r="U406" s="47">
        <f t="shared" si="48"/>
        <v>2536.92</v>
      </c>
    </row>
    <row r="407" spans="1:21" x14ac:dyDescent="0.3">
      <c r="A407" s="41" t="str">
        <f t="shared" si="42"/>
        <v>PZARTO</v>
      </c>
      <c r="B407" s="43">
        <v>45502</v>
      </c>
      <c r="C407" s="10" t="s">
        <v>449</v>
      </c>
      <c r="D407" s="10" t="s">
        <v>3</v>
      </c>
      <c r="E407" s="10" t="s">
        <v>9</v>
      </c>
      <c r="F407" s="10" t="s">
        <v>54</v>
      </c>
      <c r="G407" s="10" t="s">
        <v>5</v>
      </c>
      <c r="H407" s="10" t="s">
        <v>43</v>
      </c>
      <c r="I407" s="45">
        <v>1688</v>
      </c>
      <c r="J407" s="11">
        <v>0.56700000000000006</v>
      </c>
      <c r="K407" s="45">
        <f t="shared" si="43"/>
        <v>730.90399999999988</v>
      </c>
      <c r="L407" s="10">
        <v>29</v>
      </c>
      <c r="M407" s="10">
        <v>1.5</v>
      </c>
      <c r="N407" s="10" t="b">
        <v>1</v>
      </c>
      <c r="O407" s="41" t="s">
        <v>50</v>
      </c>
      <c r="P407" s="45">
        <f t="shared" si="44"/>
        <v>306.97967999999992</v>
      </c>
      <c r="Q407" s="45">
        <f t="shared" si="45"/>
        <v>423.92431999999997</v>
      </c>
      <c r="R407" s="45">
        <v>150</v>
      </c>
      <c r="S407" s="45">
        <f t="shared" si="46"/>
        <v>73.090399999999988</v>
      </c>
      <c r="T407" s="45">
        <f t="shared" si="47"/>
        <v>730.90399999999988</v>
      </c>
      <c r="U407" s="47">
        <f t="shared" si="48"/>
        <v>-530.07007999999996</v>
      </c>
    </row>
    <row r="408" spans="1:21" x14ac:dyDescent="0.3">
      <c r="A408" s="41" t="str">
        <f t="shared" si="42"/>
        <v>PH&amp;MSH</v>
      </c>
      <c r="B408" s="43">
        <v>45502</v>
      </c>
      <c r="C408" s="10" t="s">
        <v>450</v>
      </c>
      <c r="D408" s="10" t="s">
        <v>37</v>
      </c>
      <c r="E408" s="10" t="s">
        <v>18</v>
      </c>
      <c r="F408" s="10" t="s">
        <v>11</v>
      </c>
      <c r="G408" s="10" t="s">
        <v>5</v>
      </c>
      <c r="H408" s="10" t="s">
        <v>7</v>
      </c>
      <c r="I408" s="45">
        <v>3089</v>
      </c>
      <c r="J408" s="11">
        <v>0</v>
      </c>
      <c r="K408" s="45">
        <f t="shared" si="43"/>
        <v>3089</v>
      </c>
      <c r="L408" s="10">
        <v>0</v>
      </c>
      <c r="M408" s="10">
        <v>1.9</v>
      </c>
      <c r="N408" s="10" t="b">
        <v>0</v>
      </c>
      <c r="O408" s="41"/>
      <c r="P408" s="45">
        <f t="shared" si="44"/>
        <v>1297.3799999999999</v>
      </c>
      <c r="Q408" s="45">
        <f t="shared" si="45"/>
        <v>1791.6200000000001</v>
      </c>
      <c r="R408" s="45">
        <v>0</v>
      </c>
      <c r="S408" s="45">
        <f t="shared" si="46"/>
        <v>0</v>
      </c>
      <c r="T408" s="45">
        <f t="shared" si="47"/>
        <v>0</v>
      </c>
      <c r="U408" s="47">
        <f t="shared" si="48"/>
        <v>1791.6200000000001</v>
      </c>
    </row>
    <row r="409" spans="1:21" x14ac:dyDescent="0.3">
      <c r="A409" s="41" t="str">
        <f t="shared" si="42"/>
        <v>PBANOU</v>
      </c>
      <c r="B409" s="43">
        <v>45502</v>
      </c>
      <c r="C409" s="10" t="s">
        <v>451</v>
      </c>
      <c r="D409" s="10" t="s">
        <v>21</v>
      </c>
      <c r="E409" s="10" t="s">
        <v>2</v>
      </c>
      <c r="F409" s="10" t="s">
        <v>11</v>
      </c>
      <c r="G409" s="10" t="s">
        <v>46</v>
      </c>
      <c r="H409" s="10" t="s">
        <v>32</v>
      </c>
      <c r="I409" s="45">
        <v>3686</v>
      </c>
      <c r="J409" s="11">
        <v>3.4000000000000002E-2</v>
      </c>
      <c r="K409" s="45">
        <f t="shared" si="43"/>
        <v>3560.6759999999999</v>
      </c>
      <c r="L409" s="10">
        <v>42</v>
      </c>
      <c r="M409" s="10">
        <v>2.4</v>
      </c>
      <c r="N409" s="10" t="b">
        <v>0</v>
      </c>
      <c r="O409" s="41"/>
      <c r="P409" s="45">
        <f t="shared" si="44"/>
        <v>1495.4839199999999</v>
      </c>
      <c r="Q409" s="45">
        <f t="shared" si="45"/>
        <v>2065.1920799999998</v>
      </c>
      <c r="R409" s="45">
        <v>0</v>
      </c>
      <c r="S409" s="45">
        <f t="shared" si="46"/>
        <v>0</v>
      </c>
      <c r="T409" s="45">
        <f t="shared" si="47"/>
        <v>0</v>
      </c>
      <c r="U409" s="47">
        <f t="shared" si="48"/>
        <v>2065.1920799999998</v>
      </c>
    </row>
    <row r="410" spans="1:21" x14ac:dyDescent="0.3">
      <c r="A410" s="41" t="str">
        <f t="shared" si="42"/>
        <v>PGAPOU</v>
      </c>
      <c r="B410" s="43">
        <v>45503</v>
      </c>
      <c r="C410" s="10" t="s">
        <v>452</v>
      </c>
      <c r="D410" s="10" t="s">
        <v>53</v>
      </c>
      <c r="E410" s="10" t="s">
        <v>2</v>
      </c>
      <c r="F410" s="10" t="s">
        <v>23</v>
      </c>
      <c r="G410" s="10" t="s">
        <v>46</v>
      </c>
      <c r="H410" s="10" t="s">
        <v>88</v>
      </c>
      <c r="I410" s="45">
        <v>3473</v>
      </c>
      <c r="J410" s="11">
        <v>0</v>
      </c>
      <c r="K410" s="45">
        <f t="shared" si="43"/>
        <v>3473</v>
      </c>
      <c r="L410" s="10">
        <v>25</v>
      </c>
      <c r="M410" s="10">
        <v>1.7</v>
      </c>
      <c r="N410" s="10" t="b">
        <v>0</v>
      </c>
      <c r="O410" s="41"/>
      <c r="P410" s="45">
        <f t="shared" si="44"/>
        <v>1458.6599999999999</v>
      </c>
      <c r="Q410" s="45">
        <f t="shared" si="45"/>
        <v>2014.3400000000001</v>
      </c>
      <c r="R410" s="45">
        <v>0</v>
      </c>
      <c r="S410" s="45">
        <f t="shared" si="46"/>
        <v>0</v>
      </c>
      <c r="T410" s="45">
        <f t="shared" si="47"/>
        <v>0</v>
      </c>
      <c r="U410" s="47">
        <f t="shared" si="48"/>
        <v>2014.3400000000001</v>
      </c>
    </row>
    <row r="411" spans="1:21" x14ac:dyDescent="0.3">
      <c r="A411" s="41" t="str">
        <f t="shared" si="42"/>
        <v>PZARAC</v>
      </c>
      <c r="B411" s="43">
        <v>45503</v>
      </c>
      <c r="C411" s="10" t="s">
        <v>453</v>
      </c>
      <c r="D411" s="10" t="s">
        <v>3</v>
      </c>
      <c r="E411" s="10" t="s">
        <v>15</v>
      </c>
      <c r="F411" s="10" t="s">
        <v>54</v>
      </c>
      <c r="G411" s="10" t="s">
        <v>7</v>
      </c>
      <c r="H411" s="10" t="s">
        <v>47</v>
      </c>
      <c r="I411" s="45">
        <v>472</v>
      </c>
      <c r="J411" s="11">
        <v>0</v>
      </c>
      <c r="K411" s="45">
        <f t="shared" si="43"/>
        <v>472</v>
      </c>
      <c r="L411" s="10">
        <v>27</v>
      </c>
      <c r="M411" s="10">
        <v>4.0999999999999996</v>
      </c>
      <c r="N411" s="10" t="b">
        <v>0</v>
      </c>
      <c r="O411" s="41"/>
      <c r="P411" s="45">
        <f t="shared" si="44"/>
        <v>198.23999999999998</v>
      </c>
      <c r="Q411" s="45">
        <f t="shared" si="45"/>
        <v>273.76</v>
      </c>
      <c r="R411" s="45">
        <v>0</v>
      </c>
      <c r="S411" s="45">
        <f t="shared" si="46"/>
        <v>0</v>
      </c>
      <c r="T411" s="45">
        <f t="shared" si="47"/>
        <v>0</v>
      </c>
      <c r="U411" s="47">
        <f t="shared" si="48"/>
        <v>273.76</v>
      </c>
    </row>
    <row r="412" spans="1:21" x14ac:dyDescent="0.3">
      <c r="A412" s="41" t="str">
        <f t="shared" si="42"/>
        <v>PGAPTO</v>
      </c>
      <c r="B412" s="43">
        <v>45503</v>
      </c>
      <c r="C412" s="10" t="s">
        <v>454</v>
      </c>
      <c r="D412" s="10" t="s">
        <v>53</v>
      </c>
      <c r="E412" s="10" t="s">
        <v>9</v>
      </c>
      <c r="F412" s="10" t="s">
        <v>4</v>
      </c>
      <c r="G412" s="10" t="s">
        <v>46</v>
      </c>
      <c r="H412" s="10" t="s">
        <v>35</v>
      </c>
      <c r="I412" s="45">
        <v>1129</v>
      </c>
      <c r="J412" s="11">
        <v>0</v>
      </c>
      <c r="K412" s="45">
        <f t="shared" si="43"/>
        <v>1129</v>
      </c>
      <c r="L412" s="10">
        <v>46</v>
      </c>
      <c r="M412" s="10"/>
      <c r="N412" s="10" t="b">
        <v>1</v>
      </c>
      <c r="O412" s="41" t="s">
        <v>44</v>
      </c>
      <c r="P412" s="45">
        <f t="shared" si="44"/>
        <v>474.18</v>
      </c>
      <c r="Q412" s="45">
        <f t="shared" si="45"/>
        <v>654.81999999999994</v>
      </c>
      <c r="R412" s="45">
        <v>150</v>
      </c>
      <c r="S412" s="45">
        <f t="shared" si="46"/>
        <v>112.9</v>
      </c>
      <c r="T412" s="45">
        <f t="shared" si="47"/>
        <v>1129</v>
      </c>
      <c r="U412" s="47">
        <f t="shared" si="48"/>
        <v>-737.08</v>
      </c>
    </row>
    <row r="413" spans="1:21" x14ac:dyDescent="0.3">
      <c r="A413" s="41" t="str">
        <f t="shared" si="42"/>
        <v>PBANSH</v>
      </c>
      <c r="B413" s="43">
        <v>45503</v>
      </c>
      <c r="C413" s="10" t="s">
        <v>455</v>
      </c>
      <c r="D413" s="10" t="s">
        <v>21</v>
      </c>
      <c r="E413" s="10" t="s">
        <v>18</v>
      </c>
      <c r="F413" s="10" t="s">
        <v>54</v>
      </c>
      <c r="G413" s="10" t="s">
        <v>5</v>
      </c>
      <c r="H413" s="10" t="s">
        <v>32</v>
      </c>
      <c r="I413" s="45">
        <v>3298</v>
      </c>
      <c r="J413" s="11">
        <v>0</v>
      </c>
      <c r="K413" s="45">
        <f t="shared" si="43"/>
        <v>3298</v>
      </c>
      <c r="L413" s="10">
        <v>46</v>
      </c>
      <c r="M413" s="10">
        <v>2.9</v>
      </c>
      <c r="N413" s="10" t="b">
        <v>1</v>
      </c>
      <c r="O413" s="41" t="s">
        <v>50</v>
      </c>
      <c r="P413" s="45">
        <f t="shared" si="44"/>
        <v>1385.1599999999999</v>
      </c>
      <c r="Q413" s="45">
        <f t="shared" si="45"/>
        <v>1912.8400000000001</v>
      </c>
      <c r="R413" s="45">
        <v>150</v>
      </c>
      <c r="S413" s="45">
        <f t="shared" si="46"/>
        <v>329.8</v>
      </c>
      <c r="T413" s="45">
        <f t="shared" si="47"/>
        <v>3298</v>
      </c>
      <c r="U413" s="47">
        <f t="shared" si="48"/>
        <v>-1864.9599999999998</v>
      </c>
    </row>
    <row r="414" spans="1:21" x14ac:dyDescent="0.3">
      <c r="A414" s="41" t="str">
        <f t="shared" si="42"/>
        <v>PANNOU</v>
      </c>
      <c r="B414" s="43">
        <v>45503</v>
      </c>
      <c r="C414" s="10" t="s">
        <v>456</v>
      </c>
      <c r="D414" s="10" t="s">
        <v>42</v>
      </c>
      <c r="E414" s="10" t="s">
        <v>2</v>
      </c>
      <c r="F414" s="10" t="s">
        <v>23</v>
      </c>
      <c r="G414" s="10" t="s">
        <v>12</v>
      </c>
      <c r="H414" s="10" t="s">
        <v>13</v>
      </c>
      <c r="I414" s="45">
        <v>3917</v>
      </c>
      <c r="J414" s="11">
        <v>0</v>
      </c>
      <c r="K414" s="45">
        <f t="shared" si="43"/>
        <v>3917</v>
      </c>
      <c r="L414" s="10">
        <v>36</v>
      </c>
      <c r="M414" s="10">
        <v>2.6</v>
      </c>
      <c r="N414" s="10" t="b">
        <v>0</v>
      </c>
      <c r="O414" s="41"/>
      <c r="P414" s="45">
        <f t="shared" si="44"/>
        <v>1645.1399999999999</v>
      </c>
      <c r="Q414" s="45">
        <f t="shared" si="45"/>
        <v>2271.86</v>
      </c>
      <c r="R414" s="45">
        <v>0</v>
      </c>
      <c r="S414" s="45">
        <f t="shared" si="46"/>
        <v>0</v>
      </c>
      <c r="T414" s="45">
        <f t="shared" si="47"/>
        <v>0</v>
      </c>
      <c r="U414" s="47">
        <f t="shared" si="48"/>
        <v>2271.86</v>
      </c>
    </row>
    <row r="415" spans="1:21" x14ac:dyDescent="0.3">
      <c r="A415" s="41" t="str">
        <f t="shared" si="42"/>
        <v>PGAPBO</v>
      </c>
      <c r="B415" s="43">
        <v>45504</v>
      </c>
      <c r="C415" s="10" t="s">
        <v>457</v>
      </c>
      <c r="D415" s="10" t="s">
        <v>53</v>
      </c>
      <c r="E415" s="10" t="s">
        <v>26</v>
      </c>
      <c r="F415" s="10" t="s">
        <v>54</v>
      </c>
      <c r="G415" s="10" t="s">
        <v>46</v>
      </c>
      <c r="H415" s="10" t="s">
        <v>32</v>
      </c>
      <c r="I415" s="45">
        <v>2273</v>
      </c>
      <c r="J415" s="11">
        <v>0.26899999999999996</v>
      </c>
      <c r="K415" s="45">
        <f t="shared" si="43"/>
        <v>1661.5630000000001</v>
      </c>
      <c r="L415" s="10">
        <v>38</v>
      </c>
      <c r="M415" s="10">
        <v>3.4</v>
      </c>
      <c r="N415" s="10" t="b">
        <v>0</v>
      </c>
      <c r="O415" s="41"/>
      <c r="P415" s="45">
        <f t="shared" si="44"/>
        <v>697.85645999999997</v>
      </c>
      <c r="Q415" s="45">
        <f t="shared" si="45"/>
        <v>963.70654000000013</v>
      </c>
      <c r="R415" s="45">
        <v>0</v>
      </c>
      <c r="S415" s="45">
        <f t="shared" si="46"/>
        <v>0</v>
      </c>
      <c r="T415" s="45">
        <f t="shared" si="47"/>
        <v>0</v>
      </c>
      <c r="U415" s="47">
        <f t="shared" si="48"/>
        <v>963.70654000000013</v>
      </c>
    </row>
    <row r="416" spans="1:21" x14ac:dyDescent="0.3">
      <c r="A416" s="41" t="str">
        <f t="shared" si="42"/>
        <v>PH&amp;MDR</v>
      </c>
      <c r="B416" s="43">
        <v>45504</v>
      </c>
      <c r="C416" s="10" t="s">
        <v>458</v>
      </c>
      <c r="D416" s="10" t="s">
        <v>37</v>
      </c>
      <c r="E416" s="10" t="s">
        <v>30</v>
      </c>
      <c r="F416" s="10" t="s">
        <v>23</v>
      </c>
      <c r="G416" s="10" t="s">
        <v>38</v>
      </c>
      <c r="H416" s="10" t="s">
        <v>47</v>
      </c>
      <c r="I416" s="45">
        <v>2154</v>
      </c>
      <c r="J416" s="11">
        <v>0</v>
      </c>
      <c r="K416" s="45">
        <f t="shared" si="43"/>
        <v>2154</v>
      </c>
      <c r="L416" s="10">
        <v>33</v>
      </c>
      <c r="M416" s="10">
        <v>3.1</v>
      </c>
      <c r="N416" s="10" t="b">
        <v>0</v>
      </c>
      <c r="O416" s="41"/>
      <c r="P416" s="45">
        <f t="shared" si="44"/>
        <v>904.68</v>
      </c>
      <c r="Q416" s="45">
        <f t="shared" si="45"/>
        <v>1249.3200000000002</v>
      </c>
      <c r="R416" s="45">
        <v>0</v>
      </c>
      <c r="S416" s="45">
        <f t="shared" si="46"/>
        <v>0</v>
      </c>
      <c r="T416" s="45">
        <f t="shared" si="47"/>
        <v>0</v>
      </c>
      <c r="U416" s="47">
        <f t="shared" si="48"/>
        <v>1249.3200000000002</v>
      </c>
    </row>
    <row r="417" spans="1:21" x14ac:dyDescent="0.3">
      <c r="A417" s="41" t="str">
        <f t="shared" si="42"/>
        <v>PANNDR</v>
      </c>
      <c r="B417" s="43">
        <v>45504</v>
      </c>
      <c r="C417" s="10" t="s">
        <v>459</v>
      </c>
      <c r="D417" s="10" t="s">
        <v>42</v>
      </c>
      <c r="E417" s="10" t="s">
        <v>30</v>
      </c>
      <c r="F417" s="10" t="s">
        <v>54</v>
      </c>
      <c r="G417" s="10" t="s">
        <v>49</v>
      </c>
      <c r="H417" s="10" t="s">
        <v>35</v>
      </c>
      <c r="I417" s="45">
        <v>2074</v>
      </c>
      <c r="J417" s="11">
        <v>0</v>
      </c>
      <c r="K417" s="45">
        <f t="shared" si="43"/>
        <v>2074</v>
      </c>
      <c r="L417" s="10">
        <v>2</v>
      </c>
      <c r="M417" s="10">
        <v>3.8</v>
      </c>
      <c r="N417" s="10" t="b">
        <v>1</v>
      </c>
      <c r="O417" s="41" t="s">
        <v>44</v>
      </c>
      <c r="P417" s="45">
        <f t="shared" si="44"/>
        <v>871.07999999999993</v>
      </c>
      <c r="Q417" s="45">
        <f t="shared" si="45"/>
        <v>1202.92</v>
      </c>
      <c r="R417" s="45">
        <v>150</v>
      </c>
      <c r="S417" s="45">
        <f t="shared" si="46"/>
        <v>207.4</v>
      </c>
      <c r="T417" s="45">
        <f t="shared" si="47"/>
        <v>2074</v>
      </c>
      <c r="U417" s="47">
        <f t="shared" si="48"/>
        <v>-1228.48</v>
      </c>
    </row>
    <row r="418" spans="1:21" x14ac:dyDescent="0.3">
      <c r="A418" s="41" t="str">
        <f t="shared" si="42"/>
        <v>PZARTO</v>
      </c>
      <c r="B418" s="43">
        <v>45505</v>
      </c>
      <c r="C418" s="10" t="s">
        <v>460</v>
      </c>
      <c r="D418" s="10" t="s">
        <v>3</v>
      </c>
      <c r="E418" s="10" t="s">
        <v>9</v>
      </c>
      <c r="F418" s="10" t="s">
        <v>54</v>
      </c>
      <c r="G418" s="10" t="s">
        <v>38</v>
      </c>
      <c r="H418" s="10" t="s">
        <v>16</v>
      </c>
      <c r="I418" s="45">
        <v>1790</v>
      </c>
      <c r="J418" s="11">
        <v>0.35399999999999998</v>
      </c>
      <c r="K418" s="45">
        <f t="shared" si="43"/>
        <v>1156.3400000000001</v>
      </c>
      <c r="L418" s="10">
        <v>34</v>
      </c>
      <c r="M418" s="10">
        <v>3.9</v>
      </c>
      <c r="N418" s="10" t="b">
        <v>0</v>
      </c>
      <c r="O418" s="41"/>
      <c r="P418" s="45">
        <f t="shared" si="44"/>
        <v>485.66280000000006</v>
      </c>
      <c r="Q418" s="45">
        <f t="shared" si="45"/>
        <v>670.67720000000008</v>
      </c>
      <c r="R418" s="45">
        <v>0</v>
      </c>
      <c r="S418" s="45">
        <f t="shared" si="46"/>
        <v>0</v>
      </c>
      <c r="T418" s="45">
        <f t="shared" si="47"/>
        <v>0</v>
      </c>
      <c r="U418" s="47">
        <f t="shared" si="48"/>
        <v>670.67720000000008</v>
      </c>
    </row>
    <row r="419" spans="1:21" x14ac:dyDescent="0.3">
      <c r="A419" s="41" t="str">
        <f t="shared" si="42"/>
        <v>PMANSH</v>
      </c>
      <c r="B419" s="43">
        <v>45505</v>
      </c>
      <c r="C419" s="10" t="s">
        <v>461</v>
      </c>
      <c r="D419" s="10" t="s">
        <v>31</v>
      </c>
      <c r="E419" s="10" t="s">
        <v>18</v>
      </c>
      <c r="F419" s="10" t="s">
        <v>4</v>
      </c>
      <c r="G419" s="10" t="s">
        <v>49</v>
      </c>
      <c r="H419" s="10" t="s">
        <v>58</v>
      </c>
      <c r="I419" s="45">
        <v>4017</v>
      </c>
      <c r="J419" s="11">
        <v>0</v>
      </c>
      <c r="K419" s="45">
        <f t="shared" si="43"/>
        <v>4017</v>
      </c>
      <c r="L419" s="10">
        <v>0</v>
      </c>
      <c r="M419" s="10">
        <v>2.9</v>
      </c>
      <c r="N419" s="10" t="b">
        <v>1</v>
      </c>
      <c r="O419" s="41" t="s">
        <v>33</v>
      </c>
      <c r="P419" s="45">
        <f t="shared" si="44"/>
        <v>1687.1399999999999</v>
      </c>
      <c r="Q419" s="45">
        <f t="shared" si="45"/>
        <v>2329.86</v>
      </c>
      <c r="R419" s="45">
        <v>150</v>
      </c>
      <c r="S419" s="45">
        <f t="shared" si="46"/>
        <v>401.70000000000005</v>
      </c>
      <c r="T419" s="45">
        <f t="shared" si="47"/>
        <v>4017</v>
      </c>
      <c r="U419" s="47">
        <f t="shared" si="48"/>
        <v>-2238.84</v>
      </c>
    </row>
    <row r="420" spans="1:21" x14ac:dyDescent="0.3">
      <c r="A420" s="41" t="str">
        <f t="shared" si="42"/>
        <v>PGAPOU</v>
      </c>
      <c r="B420" s="43">
        <v>45505</v>
      </c>
      <c r="C420" s="10" t="s">
        <v>462</v>
      </c>
      <c r="D420" s="10" t="s">
        <v>53</v>
      </c>
      <c r="E420" s="10" t="s">
        <v>2</v>
      </c>
      <c r="F420" s="10" t="s">
        <v>4</v>
      </c>
      <c r="G420" s="10" t="s">
        <v>38</v>
      </c>
      <c r="H420" s="10" t="s">
        <v>56</v>
      </c>
      <c r="I420" s="45">
        <v>3991</v>
      </c>
      <c r="J420" s="11">
        <v>0</v>
      </c>
      <c r="K420" s="45">
        <f t="shared" si="43"/>
        <v>3991</v>
      </c>
      <c r="L420" s="10">
        <v>20</v>
      </c>
      <c r="M420" s="10">
        <v>3</v>
      </c>
      <c r="N420" s="10" t="b">
        <v>0</v>
      </c>
      <c r="O420" s="41"/>
      <c r="P420" s="45">
        <f t="shared" si="44"/>
        <v>1676.22</v>
      </c>
      <c r="Q420" s="45">
        <f t="shared" si="45"/>
        <v>2314.7799999999997</v>
      </c>
      <c r="R420" s="45">
        <v>0</v>
      </c>
      <c r="S420" s="45">
        <f t="shared" si="46"/>
        <v>0</v>
      </c>
      <c r="T420" s="45">
        <f t="shared" si="47"/>
        <v>0</v>
      </c>
      <c r="U420" s="47">
        <f t="shared" si="48"/>
        <v>2314.7799999999997</v>
      </c>
    </row>
    <row r="421" spans="1:21" x14ac:dyDescent="0.3">
      <c r="A421" s="41" t="str">
        <f t="shared" si="42"/>
        <v>PUNISH</v>
      </c>
      <c r="B421" s="43">
        <v>45505</v>
      </c>
      <c r="C421" s="10" t="s">
        <v>463</v>
      </c>
      <c r="D421" s="10" t="s">
        <v>10</v>
      </c>
      <c r="E421" s="10" t="s">
        <v>18</v>
      </c>
      <c r="F421" s="10" t="s">
        <v>54</v>
      </c>
      <c r="G421" s="10" t="s">
        <v>46</v>
      </c>
      <c r="H421" s="10" t="s">
        <v>16</v>
      </c>
      <c r="I421" s="45">
        <v>4355</v>
      </c>
      <c r="J421" s="11">
        <v>0.35700000000000004</v>
      </c>
      <c r="K421" s="45">
        <f t="shared" si="43"/>
        <v>2800.2649999999999</v>
      </c>
      <c r="L421" s="10">
        <v>25</v>
      </c>
      <c r="M421" s="10">
        <v>2.2000000000000002</v>
      </c>
      <c r="N421" s="10" t="b">
        <v>0</v>
      </c>
      <c r="O421" s="41"/>
      <c r="P421" s="45">
        <f t="shared" si="44"/>
        <v>1176.1112999999998</v>
      </c>
      <c r="Q421" s="45">
        <f t="shared" si="45"/>
        <v>1624.1537000000001</v>
      </c>
      <c r="R421" s="45">
        <v>0</v>
      </c>
      <c r="S421" s="45">
        <f t="shared" si="46"/>
        <v>0</v>
      </c>
      <c r="T421" s="45">
        <f t="shared" si="47"/>
        <v>0</v>
      </c>
      <c r="U421" s="47">
        <f t="shared" si="48"/>
        <v>1624.1537000000001</v>
      </c>
    </row>
    <row r="422" spans="1:21" x14ac:dyDescent="0.3">
      <c r="A422" s="41" t="str">
        <f t="shared" si="42"/>
        <v>PMANDR</v>
      </c>
      <c r="B422" s="43">
        <v>45505</v>
      </c>
      <c r="C422" s="10" t="s">
        <v>464</v>
      </c>
      <c r="D422" s="10" t="s">
        <v>31</v>
      </c>
      <c r="E422" s="10" t="s">
        <v>30</v>
      </c>
      <c r="F422" s="10" t="s">
        <v>54</v>
      </c>
      <c r="G422" s="10" t="s">
        <v>49</v>
      </c>
      <c r="H422" s="10" t="s">
        <v>16</v>
      </c>
      <c r="I422" s="45">
        <v>1933</v>
      </c>
      <c r="J422" s="11">
        <v>0.44600000000000001</v>
      </c>
      <c r="K422" s="45">
        <f t="shared" si="43"/>
        <v>1070.8820000000001</v>
      </c>
      <c r="L422" s="10">
        <v>37</v>
      </c>
      <c r="M422" s="10">
        <v>2.7</v>
      </c>
      <c r="N422" s="10" t="b">
        <v>1</v>
      </c>
      <c r="O422" s="41" t="s">
        <v>44</v>
      </c>
      <c r="P422" s="45">
        <f t="shared" si="44"/>
        <v>449.77044000000001</v>
      </c>
      <c r="Q422" s="45">
        <f t="shared" si="45"/>
        <v>621.11156000000005</v>
      </c>
      <c r="R422" s="45">
        <v>150</v>
      </c>
      <c r="S422" s="45">
        <f t="shared" si="46"/>
        <v>107.08820000000001</v>
      </c>
      <c r="T422" s="45">
        <f t="shared" si="47"/>
        <v>1070.8820000000001</v>
      </c>
      <c r="U422" s="47">
        <f t="shared" si="48"/>
        <v>-706.85864000000004</v>
      </c>
    </row>
    <row r="423" spans="1:21" x14ac:dyDescent="0.3">
      <c r="A423" s="41" t="str">
        <f t="shared" si="42"/>
        <v>PUNITO</v>
      </c>
      <c r="B423" s="43">
        <v>45506</v>
      </c>
      <c r="C423" s="10" t="s">
        <v>465</v>
      </c>
      <c r="D423" s="10" t="s">
        <v>10</v>
      </c>
      <c r="E423" s="10" t="s">
        <v>9</v>
      </c>
      <c r="F423" s="10" t="s">
        <v>54</v>
      </c>
      <c r="G423" s="10" t="s">
        <v>12</v>
      </c>
      <c r="H423" s="10" t="s">
        <v>6</v>
      </c>
      <c r="I423" s="45">
        <v>1270</v>
      </c>
      <c r="J423" s="11">
        <v>0</v>
      </c>
      <c r="K423" s="45">
        <f t="shared" si="43"/>
        <v>1270</v>
      </c>
      <c r="L423" s="10">
        <v>13</v>
      </c>
      <c r="M423" s="10">
        <v>4.5</v>
      </c>
      <c r="N423" s="10" t="b">
        <v>0</v>
      </c>
      <c r="O423" s="41"/>
      <c r="P423" s="45">
        <f t="shared" si="44"/>
        <v>533.4</v>
      </c>
      <c r="Q423" s="45">
        <f t="shared" si="45"/>
        <v>736.6</v>
      </c>
      <c r="R423" s="45">
        <v>0</v>
      </c>
      <c r="S423" s="45">
        <f t="shared" si="46"/>
        <v>0</v>
      </c>
      <c r="T423" s="45">
        <f t="shared" si="47"/>
        <v>0</v>
      </c>
      <c r="U423" s="47">
        <f t="shared" si="48"/>
        <v>736.6</v>
      </c>
    </row>
    <row r="424" spans="1:21" x14ac:dyDescent="0.3">
      <c r="A424" s="41" t="str">
        <f t="shared" si="42"/>
        <v>PMANTO</v>
      </c>
      <c r="B424" s="43">
        <v>45506</v>
      </c>
      <c r="C424" s="10" t="s">
        <v>466</v>
      </c>
      <c r="D424" s="10" t="s">
        <v>31</v>
      </c>
      <c r="E424" s="10" t="s">
        <v>9</v>
      </c>
      <c r="F424" s="10" t="s">
        <v>23</v>
      </c>
      <c r="G424" s="10" t="s">
        <v>49</v>
      </c>
      <c r="H424" s="10" t="s">
        <v>47</v>
      </c>
      <c r="I424" s="45">
        <v>975</v>
      </c>
      <c r="J424" s="11">
        <v>0.32</v>
      </c>
      <c r="K424" s="45">
        <f t="shared" si="43"/>
        <v>662.99999999999989</v>
      </c>
      <c r="L424" s="10">
        <v>27</v>
      </c>
      <c r="M424" s="10">
        <v>3</v>
      </c>
      <c r="N424" s="10" t="b">
        <v>0</v>
      </c>
      <c r="O424" s="41"/>
      <c r="P424" s="45">
        <f t="shared" si="44"/>
        <v>278.45999999999992</v>
      </c>
      <c r="Q424" s="45">
        <f t="shared" si="45"/>
        <v>384.53999999999996</v>
      </c>
      <c r="R424" s="45">
        <v>0</v>
      </c>
      <c r="S424" s="45">
        <f t="shared" si="46"/>
        <v>0</v>
      </c>
      <c r="T424" s="45">
        <f t="shared" si="47"/>
        <v>0</v>
      </c>
      <c r="U424" s="47">
        <f t="shared" si="48"/>
        <v>384.53999999999996</v>
      </c>
    </row>
    <row r="425" spans="1:21" x14ac:dyDescent="0.3">
      <c r="A425" s="41" t="str">
        <f t="shared" si="42"/>
        <v>PANNDR</v>
      </c>
      <c r="B425" s="43">
        <v>45506</v>
      </c>
      <c r="C425" s="10" t="s">
        <v>467</v>
      </c>
      <c r="D425" s="10" t="s">
        <v>42</v>
      </c>
      <c r="E425" s="10" t="s">
        <v>30</v>
      </c>
      <c r="F425" s="10" t="s">
        <v>4</v>
      </c>
      <c r="G425" s="10" t="s">
        <v>49</v>
      </c>
      <c r="H425" s="10" t="s">
        <v>56</v>
      </c>
      <c r="I425" s="45">
        <v>2604</v>
      </c>
      <c r="J425" s="11">
        <v>0.26300000000000001</v>
      </c>
      <c r="K425" s="45">
        <f t="shared" si="43"/>
        <v>1919.1479999999999</v>
      </c>
      <c r="L425" s="10">
        <v>37</v>
      </c>
      <c r="M425" s="10">
        <v>4.0999999999999996</v>
      </c>
      <c r="N425" s="10" t="b">
        <v>0</v>
      </c>
      <c r="O425" s="41"/>
      <c r="P425" s="45">
        <f t="shared" si="44"/>
        <v>806.04215999999997</v>
      </c>
      <c r="Q425" s="45">
        <f t="shared" si="45"/>
        <v>1113.1058399999999</v>
      </c>
      <c r="R425" s="45">
        <v>0</v>
      </c>
      <c r="S425" s="45">
        <f t="shared" si="46"/>
        <v>0</v>
      </c>
      <c r="T425" s="45">
        <f t="shared" si="47"/>
        <v>0</v>
      </c>
      <c r="U425" s="47">
        <f t="shared" si="48"/>
        <v>1113.1058399999999</v>
      </c>
    </row>
    <row r="426" spans="1:21" x14ac:dyDescent="0.3">
      <c r="A426" s="41" t="str">
        <f t="shared" si="42"/>
        <v>PBANOU</v>
      </c>
      <c r="B426" s="43">
        <v>45506</v>
      </c>
      <c r="C426" s="10" t="s">
        <v>468</v>
      </c>
      <c r="D426" s="10" t="s">
        <v>21</v>
      </c>
      <c r="E426" s="10" t="s">
        <v>2</v>
      </c>
      <c r="F426" s="10" t="s">
        <v>23</v>
      </c>
      <c r="G426" s="10" t="s">
        <v>5</v>
      </c>
      <c r="H426" s="10" t="s">
        <v>16</v>
      </c>
      <c r="I426" s="45">
        <v>3794</v>
      </c>
      <c r="J426" s="11">
        <v>0</v>
      </c>
      <c r="K426" s="45">
        <f t="shared" si="43"/>
        <v>3794</v>
      </c>
      <c r="L426" s="10">
        <v>32</v>
      </c>
      <c r="M426" s="10">
        <v>3.6</v>
      </c>
      <c r="N426" s="10" t="b">
        <v>0</v>
      </c>
      <c r="O426" s="41"/>
      <c r="P426" s="45">
        <f t="shared" si="44"/>
        <v>1593.48</v>
      </c>
      <c r="Q426" s="45">
        <f t="shared" si="45"/>
        <v>2200.52</v>
      </c>
      <c r="R426" s="45">
        <v>0</v>
      </c>
      <c r="S426" s="45">
        <f t="shared" si="46"/>
        <v>0</v>
      </c>
      <c r="T426" s="45">
        <f t="shared" si="47"/>
        <v>0</v>
      </c>
      <c r="U426" s="47">
        <f t="shared" si="48"/>
        <v>2200.52</v>
      </c>
    </row>
    <row r="427" spans="1:21" x14ac:dyDescent="0.3">
      <c r="A427" s="41" t="str">
        <f t="shared" si="42"/>
        <v>PFORTO</v>
      </c>
      <c r="B427" s="43">
        <v>45507</v>
      </c>
      <c r="C427" s="10" t="s">
        <v>469</v>
      </c>
      <c r="D427" s="10" t="s">
        <v>65</v>
      </c>
      <c r="E427" s="10" t="s">
        <v>9</v>
      </c>
      <c r="F427" s="10" t="s">
        <v>11</v>
      </c>
      <c r="G427" s="10" t="s">
        <v>5</v>
      </c>
      <c r="H427" s="10" t="s">
        <v>16</v>
      </c>
      <c r="I427" s="45">
        <v>1181</v>
      </c>
      <c r="J427" s="11">
        <v>0</v>
      </c>
      <c r="K427" s="45">
        <f t="shared" si="43"/>
        <v>1181</v>
      </c>
      <c r="L427" s="10">
        <v>13</v>
      </c>
      <c r="M427" s="10">
        <v>4.8</v>
      </c>
      <c r="N427" s="10" t="b">
        <v>0</v>
      </c>
      <c r="O427" s="41"/>
      <c r="P427" s="45">
        <f t="shared" si="44"/>
        <v>496.02</v>
      </c>
      <c r="Q427" s="45">
        <f t="shared" si="45"/>
        <v>684.98</v>
      </c>
      <c r="R427" s="45">
        <v>0</v>
      </c>
      <c r="S427" s="45">
        <f t="shared" si="46"/>
        <v>0</v>
      </c>
      <c r="T427" s="45">
        <f t="shared" si="47"/>
        <v>0</v>
      </c>
      <c r="U427" s="47">
        <f t="shared" si="48"/>
        <v>684.98</v>
      </c>
    </row>
    <row r="428" spans="1:21" x14ac:dyDescent="0.3">
      <c r="A428" s="41" t="str">
        <f t="shared" si="42"/>
        <v>PUNISH</v>
      </c>
      <c r="B428" s="43">
        <v>45507</v>
      </c>
      <c r="C428" s="10" t="s">
        <v>470</v>
      </c>
      <c r="D428" s="10" t="s">
        <v>10</v>
      </c>
      <c r="E428" s="10" t="s">
        <v>18</v>
      </c>
      <c r="F428" s="10" t="s">
        <v>23</v>
      </c>
      <c r="G428" s="10" t="s">
        <v>7</v>
      </c>
      <c r="H428" s="10" t="s">
        <v>58</v>
      </c>
      <c r="I428" s="45">
        <v>3135</v>
      </c>
      <c r="J428" s="11">
        <v>0.11599999999999999</v>
      </c>
      <c r="K428" s="45">
        <f t="shared" si="43"/>
        <v>2771.34</v>
      </c>
      <c r="L428" s="10">
        <v>47</v>
      </c>
      <c r="M428" s="10">
        <v>3.9</v>
      </c>
      <c r="N428" s="10" t="b">
        <v>1</v>
      </c>
      <c r="O428" s="41" t="s">
        <v>80</v>
      </c>
      <c r="P428" s="45">
        <f t="shared" si="44"/>
        <v>1163.9628</v>
      </c>
      <c r="Q428" s="45">
        <f t="shared" si="45"/>
        <v>1607.3772000000001</v>
      </c>
      <c r="R428" s="45">
        <v>150</v>
      </c>
      <c r="S428" s="45">
        <f t="shared" si="46"/>
        <v>277.13400000000001</v>
      </c>
      <c r="T428" s="45">
        <f t="shared" si="47"/>
        <v>2771.34</v>
      </c>
      <c r="U428" s="47">
        <f t="shared" si="48"/>
        <v>-1591.0968</v>
      </c>
    </row>
    <row r="429" spans="1:21" x14ac:dyDescent="0.3">
      <c r="A429" s="41" t="str">
        <f t="shared" si="42"/>
        <v>PZARBO</v>
      </c>
      <c r="B429" s="43">
        <v>45507</v>
      </c>
      <c r="C429" s="10" t="s">
        <v>471</v>
      </c>
      <c r="D429" s="10" t="s">
        <v>3</v>
      </c>
      <c r="E429" s="10" t="s">
        <v>26</v>
      </c>
      <c r="F429" s="10" t="s">
        <v>4</v>
      </c>
      <c r="G429" s="10" t="s">
        <v>38</v>
      </c>
      <c r="H429" s="10" t="s">
        <v>58</v>
      </c>
      <c r="I429" s="45">
        <v>2669</v>
      </c>
      <c r="J429" s="11">
        <v>0</v>
      </c>
      <c r="K429" s="45">
        <f t="shared" si="43"/>
        <v>2669</v>
      </c>
      <c r="L429" s="10">
        <v>9</v>
      </c>
      <c r="M429" s="10"/>
      <c r="N429" s="10" t="b">
        <v>0</v>
      </c>
      <c r="O429" s="41"/>
      <c r="P429" s="45">
        <f t="shared" si="44"/>
        <v>1120.98</v>
      </c>
      <c r="Q429" s="45">
        <f t="shared" si="45"/>
        <v>1548.02</v>
      </c>
      <c r="R429" s="45">
        <v>0</v>
      </c>
      <c r="S429" s="45">
        <f t="shared" si="46"/>
        <v>0</v>
      </c>
      <c r="T429" s="45">
        <f t="shared" si="47"/>
        <v>0</v>
      </c>
      <c r="U429" s="47">
        <f t="shared" si="48"/>
        <v>1548.02</v>
      </c>
    </row>
    <row r="430" spans="1:21" x14ac:dyDescent="0.3">
      <c r="A430" s="41" t="str">
        <f t="shared" si="42"/>
        <v>PBANDR</v>
      </c>
      <c r="B430" s="43">
        <v>45507</v>
      </c>
      <c r="C430" s="10" t="s">
        <v>472</v>
      </c>
      <c r="D430" s="10" t="s">
        <v>21</v>
      </c>
      <c r="E430" s="10" t="s">
        <v>30</v>
      </c>
      <c r="F430" s="10" t="s">
        <v>23</v>
      </c>
      <c r="G430" s="10" t="s">
        <v>5</v>
      </c>
      <c r="H430" s="10" t="s">
        <v>58</v>
      </c>
      <c r="I430" s="45">
        <v>2185</v>
      </c>
      <c r="J430" s="11">
        <v>0</v>
      </c>
      <c r="K430" s="45">
        <f t="shared" si="43"/>
        <v>2185</v>
      </c>
      <c r="L430" s="10">
        <v>35</v>
      </c>
      <c r="M430" s="10">
        <v>4.5</v>
      </c>
      <c r="N430" s="10" t="b">
        <v>0</v>
      </c>
      <c r="O430" s="41"/>
      <c r="P430" s="45">
        <f t="shared" si="44"/>
        <v>917.69999999999993</v>
      </c>
      <c r="Q430" s="45">
        <f t="shared" si="45"/>
        <v>1267.3000000000002</v>
      </c>
      <c r="R430" s="45">
        <v>0</v>
      </c>
      <c r="S430" s="45">
        <f t="shared" si="46"/>
        <v>0</v>
      </c>
      <c r="T430" s="45">
        <f t="shared" si="47"/>
        <v>0</v>
      </c>
      <c r="U430" s="47">
        <f t="shared" si="48"/>
        <v>1267.3000000000002</v>
      </c>
    </row>
    <row r="431" spans="1:21" x14ac:dyDescent="0.3">
      <c r="A431" s="41" t="str">
        <f t="shared" si="42"/>
        <v>PMANSH</v>
      </c>
      <c r="B431" s="43">
        <v>45508</v>
      </c>
      <c r="C431" s="10" t="s">
        <v>473</v>
      </c>
      <c r="D431" s="10" t="s">
        <v>31</v>
      </c>
      <c r="E431" s="10" t="s">
        <v>18</v>
      </c>
      <c r="F431" s="10" t="s">
        <v>23</v>
      </c>
      <c r="G431" s="10" t="s">
        <v>7</v>
      </c>
      <c r="H431" s="10" t="s">
        <v>35</v>
      </c>
      <c r="I431" s="45">
        <v>4187</v>
      </c>
      <c r="J431" s="11">
        <v>0.20600000000000002</v>
      </c>
      <c r="K431" s="45">
        <f t="shared" si="43"/>
        <v>3324.4780000000001</v>
      </c>
      <c r="L431" s="10">
        <v>31</v>
      </c>
      <c r="M431" s="10">
        <v>3</v>
      </c>
      <c r="N431" s="10" t="b">
        <v>0</v>
      </c>
      <c r="O431" s="41"/>
      <c r="P431" s="45">
        <f t="shared" si="44"/>
        <v>1396.2807599999999</v>
      </c>
      <c r="Q431" s="45">
        <f t="shared" si="45"/>
        <v>1928.1972400000002</v>
      </c>
      <c r="R431" s="45">
        <v>0</v>
      </c>
      <c r="S431" s="45">
        <f t="shared" si="46"/>
        <v>0</v>
      </c>
      <c r="T431" s="45">
        <f t="shared" si="47"/>
        <v>0</v>
      </c>
      <c r="U431" s="47">
        <f t="shared" si="48"/>
        <v>1928.1972400000002</v>
      </c>
    </row>
    <row r="432" spans="1:21" x14ac:dyDescent="0.3">
      <c r="A432" s="41" t="str">
        <f t="shared" si="42"/>
        <v>PUNIAC</v>
      </c>
      <c r="B432" s="43">
        <v>45508</v>
      </c>
      <c r="C432" s="10" t="s">
        <v>474</v>
      </c>
      <c r="D432" s="10" t="s">
        <v>10</v>
      </c>
      <c r="E432" s="10" t="s">
        <v>15</v>
      </c>
      <c r="F432" s="10" t="s">
        <v>4</v>
      </c>
      <c r="G432" s="10" t="s">
        <v>7</v>
      </c>
      <c r="H432" s="10" t="s">
        <v>7</v>
      </c>
      <c r="I432" s="45">
        <v>344</v>
      </c>
      <c r="J432" s="11">
        <v>0</v>
      </c>
      <c r="K432" s="45">
        <f t="shared" si="43"/>
        <v>344</v>
      </c>
      <c r="L432" s="10">
        <v>44</v>
      </c>
      <c r="M432" s="10">
        <v>4.2</v>
      </c>
      <c r="N432" s="10" t="b">
        <v>1</v>
      </c>
      <c r="O432" s="41" t="s">
        <v>19</v>
      </c>
      <c r="P432" s="45">
        <f t="shared" si="44"/>
        <v>144.47999999999999</v>
      </c>
      <c r="Q432" s="45">
        <f t="shared" si="45"/>
        <v>199.52</v>
      </c>
      <c r="R432" s="45">
        <v>150</v>
      </c>
      <c r="S432" s="45">
        <f t="shared" si="46"/>
        <v>34.4</v>
      </c>
      <c r="T432" s="45">
        <f t="shared" si="47"/>
        <v>344</v>
      </c>
      <c r="U432" s="47">
        <f t="shared" si="48"/>
        <v>-328.88</v>
      </c>
    </row>
    <row r="433" spans="1:21" x14ac:dyDescent="0.3">
      <c r="A433" s="41" t="str">
        <f t="shared" si="42"/>
        <v>PMANSH</v>
      </c>
      <c r="B433" s="43">
        <v>45508</v>
      </c>
      <c r="C433" s="10" t="s">
        <v>475</v>
      </c>
      <c r="D433" s="10" t="s">
        <v>31</v>
      </c>
      <c r="E433" s="10" t="s">
        <v>18</v>
      </c>
      <c r="F433" s="10" t="s">
        <v>4</v>
      </c>
      <c r="G433" s="10" t="s">
        <v>12</v>
      </c>
      <c r="H433" s="10" t="s">
        <v>35</v>
      </c>
      <c r="I433" s="45">
        <v>3475</v>
      </c>
      <c r="J433" s="11">
        <v>0</v>
      </c>
      <c r="K433" s="45">
        <f t="shared" si="43"/>
        <v>3475</v>
      </c>
      <c r="L433" s="10">
        <v>12</v>
      </c>
      <c r="M433" s="10">
        <v>1.6</v>
      </c>
      <c r="N433" s="10" t="b">
        <v>0</v>
      </c>
      <c r="O433" s="41"/>
      <c r="P433" s="45">
        <f t="shared" si="44"/>
        <v>1459.5</v>
      </c>
      <c r="Q433" s="45">
        <f t="shared" si="45"/>
        <v>2015.5</v>
      </c>
      <c r="R433" s="45">
        <v>0</v>
      </c>
      <c r="S433" s="45">
        <f t="shared" si="46"/>
        <v>0</v>
      </c>
      <c r="T433" s="45">
        <f t="shared" si="47"/>
        <v>0</v>
      </c>
      <c r="U433" s="47">
        <f t="shared" si="48"/>
        <v>2015.5</v>
      </c>
    </row>
    <row r="434" spans="1:21" x14ac:dyDescent="0.3">
      <c r="A434" s="41" t="str">
        <f t="shared" si="42"/>
        <v>PFORBO</v>
      </c>
      <c r="B434" s="43">
        <v>45508</v>
      </c>
      <c r="C434" s="10" t="s">
        <v>476</v>
      </c>
      <c r="D434" s="10" t="s">
        <v>65</v>
      </c>
      <c r="E434" s="10" t="s">
        <v>26</v>
      </c>
      <c r="F434" s="10" t="s">
        <v>23</v>
      </c>
      <c r="G434" s="10" t="s">
        <v>49</v>
      </c>
      <c r="H434" s="10" t="s">
        <v>6</v>
      </c>
      <c r="I434" s="45">
        <v>2583</v>
      </c>
      <c r="J434" s="11">
        <v>0</v>
      </c>
      <c r="K434" s="45">
        <f t="shared" si="43"/>
        <v>2583</v>
      </c>
      <c r="L434" s="10">
        <v>25</v>
      </c>
      <c r="M434" s="10">
        <v>3.8</v>
      </c>
      <c r="N434" s="10" t="b">
        <v>1</v>
      </c>
      <c r="O434" s="41" t="s">
        <v>309</v>
      </c>
      <c r="P434" s="45">
        <f t="shared" si="44"/>
        <v>1084.8599999999999</v>
      </c>
      <c r="Q434" s="45">
        <f t="shared" si="45"/>
        <v>1498.14</v>
      </c>
      <c r="R434" s="45">
        <v>150</v>
      </c>
      <c r="S434" s="45">
        <f t="shared" si="46"/>
        <v>258.3</v>
      </c>
      <c r="T434" s="45">
        <f t="shared" si="47"/>
        <v>2583</v>
      </c>
      <c r="U434" s="47">
        <f t="shared" si="48"/>
        <v>-1493.1599999999999</v>
      </c>
    </row>
    <row r="435" spans="1:21" x14ac:dyDescent="0.3">
      <c r="A435" s="41" t="str">
        <f t="shared" si="42"/>
        <v>PZARSH</v>
      </c>
      <c r="B435" s="43">
        <v>45509</v>
      </c>
      <c r="C435" s="10" t="s">
        <v>477</v>
      </c>
      <c r="D435" s="10" t="s">
        <v>3</v>
      </c>
      <c r="E435" s="10" t="s">
        <v>18</v>
      </c>
      <c r="F435" s="10" t="s">
        <v>11</v>
      </c>
      <c r="G435" s="10" t="s">
        <v>46</v>
      </c>
      <c r="H435" s="10" t="s">
        <v>35</v>
      </c>
      <c r="I435" s="45">
        <v>4338</v>
      </c>
      <c r="J435" s="11">
        <v>0</v>
      </c>
      <c r="K435" s="45">
        <f t="shared" si="43"/>
        <v>4338</v>
      </c>
      <c r="L435" s="10">
        <v>26</v>
      </c>
      <c r="M435" s="10">
        <v>3.9</v>
      </c>
      <c r="N435" s="10" t="b">
        <v>1</v>
      </c>
      <c r="O435" s="41" t="s">
        <v>44</v>
      </c>
      <c r="P435" s="45">
        <f t="shared" si="44"/>
        <v>1821.96</v>
      </c>
      <c r="Q435" s="45">
        <f t="shared" si="45"/>
        <v>2516.04</v>
      </c>
      <c r="R435" s="45">
        <v>150</v>
      </c>
      <c r="S435" s="45">
        <f t="shared" si="46"/>
        <v>433.8</v>
      </c>
      <c r="T435" s="45">
        <f t="shared" si="47"/>
        <v>4338</v>
      </c>
      <c r="U435" s="47">
        <f t="shared" si="48"/>
        <v>-2405.7600000000002</v>
      </c>
    </row>
    <row r="436" spans="1:21" x14ac:dyDescent="0.3">
      <c r="A436" s="41" t="str">
        <f t="shared" si="42"/>
        <v>PZARSH</v>
      </c>
      <c r="B436" s="43">
        <v>45509</v>
      </c>
      <c r="C436" s="10" t="s">
        <v>478</v>
      </c>
      <c r="D436" s="10" t="s">
        <v>3</v>
      </c>
      <c r="E436" s="10" t="s">
        <v>18</v>
      </c>
      <c r="F436" s="10" t="s">
        <v>11</v>
      </c>
      <c r="G436" s="10" t="s">
        <v>5</v>
      </c>
      <c r="H436" s="10" t="s">
        <v>56</v>
      </c>
      <c r="I436" s="45">
        <v>4331</v>
      </c>
      <c r="J436" s="11">
        <v>4.2000000000000003E-2</v>
      </c>
      <c r="K436" s="45">
        <f t="shared" si="43"/>
        <v>4149.098</v>
      </c>
      <c r="L436" s="10">
        <v>17</v>
      </c>
      <c r="M436" s="10">
        <v>2.6</v>
      </c>
      <c r="N436" s="10" t="b">
        <v>1</v>
      </c>
      <c r="O436" s="41" t="s">
        <v>44</v>
      </c>
      <c r="P436" s="45">
        <f t="shared" si="44"/>
        <v>1742.6211599999999</v>
      </c>
      <c r="Q436" s="45">
        <f t="shared" si="45"/>
        <v>2406.4768400000003</v>
      </c>
      <c r="R436" s="45">
        <v>150</v>
      </c>
      <c r="S436" s="45">
        <f t="shared" si="46"/>
        <v>414.90980000000002</v>
      </c>
      <c r="T436" s="45">
        <f t="shared" si="47"/>
        <v>4149.098</v>
      </c>
      <c r="U436" s="47">
        <f t="shared" si="48"/>
        <v>-2307.5309599999996</v>
      </c>
    </row>
    <row r="437" spans="1:21" x14ac:dyDescent="0.3">
      <c r="A437" s="41" t="str">
        <f t="shared" si="42"/>
        <v>PBANSH</v>
      </c>
      <c r="B437" s="43">
        <v>45509</v>
      </c>
      <c r="C437" s="10" t="s">
        <v>479</v>
      </c>
      <c r="D437" s="10" t="s">
        <v>21</v>
      </c>
      <c r="E437" s="10" t="s">
        <v>18</v>
      </c>
      <c r="F437" s="10" t="s">
        <v>4</v>
      </c>
      <c r="G437" s="10" t="s">
        <v>5</v>
      </c>
      <c r="H437" s="10" t="s">
        <v>35</v>
      </c>
      <c r="I437" s="45">
        <v>3173</v>
      </c>
      <c r="J437" s="11">
        <v>0.41700000000000004</v>
      </c>
      <c r="K437" s="45">
        <f t="shared" si="43"/>
        <v>1849.8589999999999</v>
      </c>
      <c r="L437" s="10">
        <v>17</v>
      </c>
      <c r="M437" s="10">
        <v>4.3</v>
      </c>
      <c r="N437" s="10" t="b">
        <v>1</v>
      </c>
      <c r="O437" s="41" t="s">
        <v>33</v>
      </c>
      <c r="P437" s="45">
        <f t="shared" si="44"/>
        <v>776.9407799999999</v>
      </c>
      <c r="Q437" s="45">
        <f t="shared" si="45"/>
        <v>1072.91822</v>
      </c>
      <c r="R437" s="45">
        <v>150</v>
      </c>
      <c r="S437" s="45">
        <f t="shared" si="46"/>
        <v>184.98590000000002</v>
      </c>
      <c r="T437" s="45">
        <f t="shared" si="47"/>
        <v>1849.8589999999999</v>
      </c>
      <c r="U437" s="47">
        <f t="shared" si="48"/>
        <v>-1111.92668</v>
      </c>
    </row>
    <row r="438" spans="1:21" x14ac:dyDescent="0.3">
      <c r="A438" s="41" t="str">
        <f t="shared" si="42"/>
        <v>PANNBO</v>
      </c>
      <c r="B438" s="43">
        <v>45509</v>
      </c>
      <c r="C438" s="10" t="s">
        <v>480</v>
      </c>
      <c r="D438" s="10" t="s">
        <v>42</v>
      </c>
      <c r="E438" s="10" t="s">
        <v>26</v>
      </c>
      <c r="F438" s="10" t="s">
        <v>4</v>
      </c>
      <c r="G438" s="10" t="s">
        <v>12</v>
      </c>
      <c r="H438" s="10" t="s">
        <v>32</v>
      </c>
      <c r="I438" s="45">
        <v>2275</v>
      </c>
      <c r="J438" s="11">
        <v>0</v>
      </c>
      <c r="K438" s="45">
        <f t="shared" si="43"/>
        <v>2275</v>
      </c>
      <c r="L438" s="10">
        <v>15</v>
      </c>
      <c r="M438" s="10">
        <v>4</v>
      </c>
      <c r="N438" s="10" t="b">
        <v>0</v>
      </c>
      <c r="O438" s="41"/>
      <c r="P438" s="45">
        <f t="shared" si="44"/>
        <v>955.5</v>
      </c>
      <c r="Q438" s="45">
        <f t="shared" si="45"/>
        <v>1319.5</v>
      </c>
      <c r="R438" s="45">
        <v>0</v>
      </c>
      <c r="S438" s="45">
        <f t="shared" si="46"/>
        <v>0</v>
      </c>
      <c r="T438" s="45">
        <f t="shared" si="47"/>
        <v>0</v>
      </c>
      <c r="U438" s="47">
        <f t="shared" si="48"/>
        <v>1319.5</v>
      </c>
    </row>
    <row r="439" spans="1:21" x14ac:dyDescent="0.3">
      <c r="A439" s="41" t="str">
        <f t="shared" si="42"/>
        <v>PH&amp;MOU</v>
      </c>
      <c r="B439" s="43">
        <v>45509</v>
      </c>
      <c r="C439" s="10" t="s">
        <v>481</v>
      </c>
      <c r="D439" s="10" t="s">
        <v>37</v>
      </c>
      <c r="E439" s="10" t="s">
        <v>2</v>
      </c>
      <c r="F439" s="10" t="s">
        <v>54</v>
      </c>
      <c r="G439" s="10" t="s">
        <v>12</v>
      </c>
      <c r="H439" s="10" t="s">
        <v>6</v>
      </c>
      <c r="I439" s="45">
        <v>4380</v>
      </c>
      <c r="J439" s="11">
        <v>0</v>
      </c>
      <c r="K439" s="45">
        <f t="shared" si="43"/>
        <v>4380</v>
      </c>
      <c r="L439" s="10">
        <v>27</v>
      </c>
      <c r="M439" s="10">
        <v>3.6</v>
      </c>
      <c r="N439" s="10" t="b">
        <v>0</v>
      </c>
      <c r="O439" s="41"/>
      <c r="P439" s="45">
        <f t="shared" si="44"/>
        <v>1839.6</v>
      </c>
      <c r="Q439" s="45">
        <f t="shared" si="45"/>
        <v>2540.4</v>
      </c>
      <c r="R439" s="45">
        <v>0</v>
      </c>
      <c r="S439" s="45">
        <f t="shared" si="46"/>
        <v>0</v>
      </c>
      <c r="T439" s="45">
        <f t="shared" si="47"/>
        <v>0</v>
      </c>
      <c r="U439" s="47">
        <f t="shared" si="48"/>
        <v>2540.4</v>
      </c>
    </row>
    <row r="440" spans="1:21" x14ac:dyDescent="0.3">
      <c r="A440" s="41" t="str">
        <f t="shared" si="42"/>
        <v>PMANSH</v>
      </c>
      <c r="B440" s="43">
        <v>45510</v>
      </c>
      <c r="C440" s="10" t="s">
        <v>482</v>
      </c>
      <c r="D440" s="10" t="s">
        <v>31</v>
      </c>
      <c r="E440" s="10" t="s">
        <v>18</v>
      </c>
      <c r="F440" s="10" t="s">
        <v>23</v>
      </c>
      <c r="G440" s="10" t="s">
        <v>12</v>
      </c>
      <c r="H440" s="10" t="s">
        <v>16</v>
      </c>
      <c r="I440" s="45">
        <v>3984</v>
      </c>
      <c r="J440" s="11">
        <v>0</v>
      </c>
      <c r="K440" s="45">
        <f t="shared" si="43"/>
        <v>3984</v>
      </c>
      <c r="L440" s="10">
        <v>8</v>
      </c>
      <c r="M440" s="10">
        <v>1.5</v>
      </c>
      <c r="N440" s="10" t="b">
        <v>0</v>
      </c>
      <c r="O440" s="41"/>
      <c r="P440" s="45">
        <f t="shared" si="44"/>
        <v>1673.28</v>
      </c>
      <c r="Q440" s="45">
        <f t="shared" si="45"/>
        <v>2310.7200000000003</v>
      </c>
      <c r="R440" s="45">
        <v>0</v>
      </c>
      <c r="S440" s="45">
        <f t="shared" si="46"/>
        <v>0</v>
      </c>
      <c r="T440" s="45">
        <f t="shared" si="47"/>
        <v>0</v>
      </c>
      <c r="U440" s="47">
        <f t="shared" si="48"/>
        <v>2310.7200000000003</v>
      </c>
    </row>
    <row r="441" spans="1:21" x14ac:dyDescent="0.3">
      <c r="A441" s="41" t="str">
        <f t="shared" si="42"/>
        <v>PZARBO</v>
      </c>
      <c r="B441" s="43">
        <v>45510</v>
      </c>
      <c r="C441" s="10" t="s">
        <v>483</v>
      </c>
      <c r="D441" s="10" t="s">
        <v>3</v>
      </c>
      <c r="E441" s="10" t="s">
        <v>26</v>
      </c>
      <c r="F441" s="10" t="s">
        <v>11</v>
      </c>
      <c r="G441" s="10" t="s">
        <v>7</v>
      </c>
      <c r="H441" s="10" t="s">
        <v>7</v>
      </c>
      <c r="I441" s="45">
        <v>2091</v>
      </c>
      <c r="J441" s="11">
        <v>0</v>
      </c>
      <c r="K441" s="45">
        <f t="shared" si="43"/>
        <v>2091</v>
      </c>
      <c r="L441" s="10">
        <v>50</v>
      </c>
      <c r="M441" s="10"/>
      <c r="N441" s="10" t="b">
        <v>0</v>
      </c>
      <c r="O441" s="41"/>
      <c r="P441" s="45">
        <f t="shared" si="44"/>
        <v>878.21999999999991</v>
      </c>
      <c r="Q441" s="45">
        <f t="shared" si="45"/>
        <v>1212.7800000000002</v>
      </c>
      <c r="R441" s="45">
        <v>0</v>
      </c>
      <c r="S441" s="45">
        <f t="shared" si="46"/>
        <v>0</v>
      </c>
      <c r="T441" s="45">
        <f t="shared" si="47"/>
        <v>0</v>
      </c>
      <c r="U441" s="47">
        <f t="shared" si="48"/>
        <v>1212.7800000000002</v>
      </c>
    </row>
    <row r="442" spans="1:21" x14ac:dyDescent="0.3">
      <c r="A442" s="41" t="str">
        <f t="shared" si="42"/>
        <v>PUNISH</v>
      </c>
      <c r="B442" s="43">
        <v>45510</v>
      </c>
      <c r="C442" s="10" t="s">
        <v>484</v>
      </c>
      <c r="D442" s="10" t="s">
        <v>10</v>
      </c>
      <c r="E442" s="10" t="s">
        <v>18</v>
      </c>
      <c r="F442" s="10" t="s">
        <v>11</v>
      </c>
      <c r="G442" s="10" t="s">
        <v>12</v>
      </c>
      <c r="H442" s="10" t="s">
        <v>28</v>
      </c>
      <c r="I442" s="45">
        <v>3595</v>
      </c>
      <c r="J442" s="11">
        <v>3.3000000000000002E-2</v>
      </c>
      <c r="K442" s="45">
        <f t="shared" si="43"/>
        <v>3476.3649999999998</v>
      </c>
      <c r="L442" s="10">
        <v>23</v>
      </c>
      <c r="M442" s="10">
        <v>1.5</v>
      </c>
      <c r="N442" s="10" t="b">
        <v>0</v>
      </c>
      <c r="O442" s="41"/>
      <c r="P442" s="45">
        <f t="shared" si="44"/>
        <v>1460.0732999999998</v>
      </c>
      <c r="Q442" s="45">
        <f t="shared" si="45"/>
        <v>2016.2917</v>
      </c>
      <c r="R442" s="45">
        <v>0</v>
      </c>
      <c r="S442" s="45">
        <f t="shared" si="46"/>
        <v>0</v>
      </c>
      <c r="T442" s="45">
        <f t="shared" si="47"/>
        <v>0</v>
      </c>
      <c r="U442" s="47">
        <f t="shared" si="48"/>
        <v>2016.2917</v>
      </c>
    </row>
    <row r="443" spans="1:21" x14ac:dyDescent="0.3">
      <c r="A443" s="41" t="str">
        <f t="shared" si="42"/>
        <v>PBANAC</v>
      </c>
      <c r="B443" s="43">
        <v>45511</v>
      </c>
      <c r="C443" s="10" t="s">
        <v>485</v>
      </c>
      <c r="D443" s="10" t="s">
        <v>21</v>
      </c>
      <c r="E443" s="10" t="s">
        <v>15</v>
      </c>
      <c r="F443" s="10" t="s">
        <v>11</v>
      </c>
      <c r="G443" s="10" t="s">
        <v>7</v>
      </c>
      <c r="H443" s="10" t="s">
        <v>35</v>
      </c>
      <c r="I443" s="45">
        <v>469</v>
      </c>
      <c r="J443" s="11">
        <v>0</v>
      </c>
      <c r="K443" s="45">
        <f t="shared" si="43"/>
        <v>469</v>
      </c>
      <c r="L443" s="10">
        <v>14</v>
      </c>
      <c r="M443" s="10">
        <v>1.4</v>
      </c>
      <c r="N443" s="10" t="b">
        <v>0</v>
      </c>
      <c r="O443" s="41"/>
      <c r="P443" s="45">
        <f t="shared" si="44"/>
        <v>196.98</v>
      </c>
      <c r="Q443" s="45">
        <f t="shared" si="45"/>
        <v>272.02</v>
      </c>
      <c r="R443" s="45">
        <v>0</v>
      </c>
      <c r="S443" s="45">
        <f t="shared" si="46"/>
        <v>0</v>
      </c>
      <c r="T443" s="45">
        <f t="shared" si="47"/>
        <v>0</v>
      </c>
      <c r="U443" s="47">
        <f t="shared" si="48"/>
        <v>272.02</v>
      </c>
    </row>
    <row r="444" spans="1:21" x14ac:dyDescent="0.3">
      <c r="A444" s="41" t="str">
        <f t="shared" si="42"/>
        <v>PZARAC</v>
      </c>
      <c r="B444" s="43">
        <v>45511</v>
      </c>
      <c r="C444" s="10" t="s">
        <v>486</v>
      </c>
      <c r="D444" s="10" t="s">
        <v>3</v>
      </c>
      <c r="E444" s="10" t="s">
        <v>15</v>
      </c>
      <c r="F444" s="10" t="s">
        <v>11</v>
      </c>
      <c r="G444" s="10" t="s">
        <v>7</v>
      </c>
      <c r="H444" s="10" t="s">
        <v>28</v>
      </c>
      <c r="I444" s="45">
        <v>371</v>
      </c>
      <c r="J444" s="11">
        <v>0</v>
      </c>
      <c r="K444" s="45">
        <f t="shared" si="43"/>
        <v>371</v>
      </c>
      <c r="L444" s="10">
        <v>30</v>
      </c>
      <c r="M444" s="10">
        <v>2.5</v>
      </c>
      <c r="N444" s="10" t="b">
        <v>0</v>
      </c>
      <c r="O444" s="41"/>
      <c r="P444" s="45">
        <f t="shared" si="44"/>
        <v>155.82</v>
      </c>
      <c r="Q444" s="45">
        <f t="shared" si="45"/>
        <v>215.18</v>
      </c>
      <c r="R444" s="45">
        <v>0</v>
      </c>
      <c r="S444" s="45">
        <f t="shared" si="46"/>
        <v>0</v>
      </c>
      <c r="T444" s="45">
        <f t="shared" si="47"/>
        <v>0</v>
      </c>
      <c r="U444" s="47">
        <f t="shared" si="48"/>
        <v>215.18</v>
      </c>
    </row>
    <row r="445" spans="1:21" x14ac:dyDescent="0.3">
      <c r="A445" s="41" t="str">
        <f t="shared" si="42"/>
        <v>PBANOU</v>
      </c>
      <c r="B445" s="43">
        <v>45511</v>
      </c>
      <c r="C445" s="10" t="s">
        <v>487</v>
      </c>
      <c r="D445" s="10" t="s">
        <v>21</v>
      </c>
      <c r="E445" s="10" t="s">
        <v>2</v>
      </c>
      <c r="F445" s="10" t="s">
        <v>4</v>
      </c>
      <c r="G445" s="10" t="s">
        <v>12</v>
      </c>
      <c r="H445" s="10" t="s">
        <v>56</v>
      </c>
      <c r="I445" s="45">
        <v>3496</v>
      </c>
      <c r="J445" s="11">
        <v>0</v>
      </c>
      <c r="K445" s="45">
        <f t="shared" si="43"/>
        <v>3496</v>
      </c>
      <c r="L445" s="10">
        <v>35</v>
      </c>
      <c r="M445" s="10">
        <v>4.2</v>
      </c>
      <c r="N445" s="10" t="b">
        <v>1</v>
      </c>
      <c r="O445" s="41" t="s">
        <v>309</v>
      </c>
      <c r="P445" s="45">
        <f t="shared" si="44"/>
        <v>1468.32</v>
      </c>
      <c r="Q445" s="45">
        <f t="shared" si="45"/>
        <v>2027.68</v>
      </c>
      <c r="R445" s="45">
        <v>150</v>
      </c>
      <c r="S445" s="45">
        <f t="shared" si="46"/>
        <v>349.6</v>
      </c>
      <c r="T445" s="45">
        <f t="shared" si="47"/>
        <v>3496</v>
      </c>
      <c r="U445" s="47">
        <f t="shared" si="48"/>
        <v>-1967.92</v>
      </c>
    </row>
    <row r="446" spans="1:21" x14ac:dyDescent="0.3">
      <c r="A446" s="41" t="str">
        <f t="shared" si="42"/>
        <v>PBANAC</v>
      </c>
      <c r="B446" s="43">
        <v>45511</v>
      </c>
      <c r="C446" s="10" t="s">
        <v>488</v>
      </c>
      <c r="D446" s="10" t="s">
        <v>21</v>
      </c>
      <c r="E446" s="10" t="s">
        <v>15</v>
      </c>
      <c r="F446" s="10" t="s">
        <v>54</v>
      </c>
      <c r="G446" s="10" t="s">
        <v>7</v>
      </c>
      <c r="H446" s="10" t="s">
        <v>6</v>
      </c>
      <c r="I446" s="45">
        <v>226</v>
      </c>
      <c r="J446" s="11">
        <v>0</v>
      </c>
      <c r="K446" s="45">
        <f t="shared" si="43"/>
        <v>226</v>
      </c>
      <c r="L446" s="10">
        <v>36</v>
      </c>
      <c r="M446" s="10">
        <v>1.3</v>
      </c>
      <c r="N446" s="10" t="b">
        <v>1</v>
      </c>
      <c r="O446" s="41" t="s">
        <v>44</v>
      </c>
      <c r="P446" s="45">
        <f t="shared" si="44"/>
        <v>94.92</v>
      </c>
      <c r="Q446" s="45">
        <f t="shared" si="45"/>
        <v>131.07999999999998</v>
      </c>
      <c r="R446" s="45">
        <v>150</v>
      </c>
      <c r="S446" s="45">
        <f t="shared" si="46"/>
        <v>22.6</v>
      </c>
      <c r="T446" s="45">
        <f t="shared" si="47"/>
        <v>226</v>
      </c>
      <c r="U446" s="47">
        <f t="shared" si="48"/>
        <v>-267.52000000000004</v>
      </c>
    </row>
    <row r="447" spans="1:21" x14ac:dyDescent="0.3">
      <c r="A447" s="41" t="str">
        <f t="shared" si="42"/>
        <v>PANNTO</v>
      </c>
      <c r="B447" s="43">
        <v>45511</v>
      </c>
      <c r="C447" s="10" t="s">
        <v>489</v>
      </c>
      <c r="D447" s="10" t="s">
        <v>42</v>
      </c>
      <c r="E447" s="10" t="s">
        <v>9</v>
      </c>
      <c r="F447" s="10" t="s">
        <v>4</v>
      </c>
      <c r="G447" s="10" t="s">
        <v>7</v>
      </c>
      <c r="H447" s="10" t="s">
        <v>58</v>
      </c>
      <c r="I447" s="45">
        <v>908</v>
      </c>
      <c r="J447" s="11">
        <v>0</v>
      </c>
      <c r="K447" s="45">
        <f t="shared" si="43"/>
        <v>908</v>
      </c>
      <c r="L447" s="10">
        <v>21</v>
      </c>
      <c r="M447" s="10">
        <v>2.2999999999999998</v>
      </c>
      <c r="N447" s="10" t="b">
        <v>0</v>
      </c>
      <c r="O447" s="41"/>
      <c r="P447" s="45">
        <f t="shared" si="44"/>
        <v>381.36</v>
      </c>
      <c r="Q447" s="45">
        <f t="shared" si="45"/>
        <v>526.64</v>
      </c>
      <c r="R447" s="45">
        <v>0</v>
      </c>
      <c r="S447" s="45">
        <f t="shared" si="46"/>
        <v>0</v>
      </c>
      <c r="T447" s="45">
        <f t="shared" si="47"/>
        <v>0</v>
      </c>
      <c r="U447" s="47">
        <f t="shared" si="48"/>
        <v>526.64</v>
      </c>
    </row>
    <row r="448" spans="1:21" x14ac:dyDescent="0.3">
      <c r="A448" s="41" t="str">
        <f t="shared" si="42"/>
        <v>PH&amp;MDR</v>
      </c>
      <c r="B448" s="43">
        <v>45512</v>
      </c>
      <c r="C448" s="10" t="s">
        <v>490</v>
      </c>
      <c r="D448" s="10" t="s">
        <v>37</v>
      </c>
      <c r="E448" s="10" t="s">
        <v>30</v>
      </c>
      <c r="F448" s="10" t="s">
        <v>54</v>
      </c>
      <c r="G448" s="10" t="s">
        <v>12</v>
      </c>
      <c r="H448" s="10" t="s">
        <v>13</v>
      </c>
      <c r="I448" s="45">
        <v>2514</v>
      </c>
      <c r="J448" s="11">
        <v>0</v>
      </c>
      <c r="K448" s="45">
        <f t="shared" si="43"/>
        <v>2514</v>
      </c>
      <c r="L448" s="10">
        <v>18</v>
      </c>
      <c r="M448" s="10">
        <v>4.0999999999999996</v>
      </c>
      <c r="N448" s="10" t="b">
        <v>0</v>
      </c>
      <c r="O448" s="41"/>
      <c r="P448" s="45">
        <f t="shared" si="44"/>
        <v>1055.8799999999999</v>
      </c>
      <c r="Q448" s="45">
        <f t="shared" si="45"/>
        <v>1458.1200000000001</v>
      </c>
      <c r="R448" s="45">
        <v>0</v>
      </c>
      <c r="S448" s="45">
        <f t="shared" si="46"/>
        <v>0</v>
      </c>
      <c r="T448" s="45">
        <f t="shared" si="47"/>
        <v>0</v>
      </c>
      <c r="U448" s="47">
        <f t="shared" si="48"/>
        <v>1458.1200000000001</v>
      </c>
    </row>
    <row r="449" spans="1:21" x14ac:dyDescent="0.3">
      <c r="A449" s="41" t="str">
        <f t="shared" si="42"/>
        <v>PZAROU</v>
      </c>
      <c r="B449" s="43">
        <v>45512</v>
      </c>
      <c r="C449" s="10" t="s">
        <v>491</v>
      </c>
      <c r="D449" s="10" t="s">
        <v>3</v>
      </c>
      <c r="E449" s="10" t="s">
        <v>2</v>
      </c>
      <c r="F449" s="10" t="s">
        <v>23</v>
      </c>
      <c r="G449" s="10" t="s">
        <v>38</v>
      </c>
      <c r="H449" s="10" t="s">
        <v>6</v>
      </c>
      <c r="I449" s="45">
        <v>3874</v>
      </c>
      <c r="J449" s="11">
        <v>0</v>
      </c>
      <c r="K449" s="45">
        <f t="shared" si="43"/>
        <v>3874</v>
      </c>
      <c r="L449" s="10">
        <v>7</v>
      </c>
      <c r="M449" s="10">
        <v>3.5</v>
      </c>
      <c r="N449" s="10" t="b">
        <v>0</v>
      </c>
      <c r="O449" s="41"/>
      <c r="P449" s="45">
        <f t="shared" si="44"/>
        <v>1627.08</v>
      </c>
      <c r="Q449" s="45">
        <f t="shared" si="45"/>
        <v>2246.92</v>
      </c>
      <c r="R449" s="45">
        <v>0</v>
      </c>
      <c r="S449" s="45">
        <f t="shared" si="46"/>
        <v>0</v>
      </c>
      <c r="T449" s="45">
        <f t="shared" si="47"/>
        <v>0</v>
      </c>
      <c r="U449" s="47">
        <f t="shared" si="48"/>
        <v>2246.92</v>
      </c>
    </row>
    <row r="450" spans="1:21" x14ac:dyDescent="0.3">
      <c r="A450" s="41" t="str">
        <f t="shared" ref="A450:A513" si="49">UPPER("P"&amp;LEFT(D450,3)&amp;LEFT(E450,2))</f>
        <v>PGAPAC</v>
      </c>
      <c r="B450" s="43">
        <v>45512</v>
      </c>
      <c r="C450" s="10" t="s">
        <v>492</v>
      </c>
      <c r="D450" s="10" t="s">
        <v>53</v>
      </c>
      <c r="E450" s="10" t="s">
        <v>15</v>
      </c>
      <c r="F450" s="10" t="s">
        <v>11</v>
      </c>
      <c r="G450" s="10" t="s">
        <v>7</v>
      </c>
      <c r="H450" s="10" t="s">
        <v>28</v>
      </c>
      <c r="I450" s="45">
        <v>292</v>
      </c>
      <c r="J450" s="11">
        <v>0.156</v>
      </c>
      <c r="K450" s="45">
        <f t="shared" si="43"/>
        <v>246.44799999999998</v>
      </c>
      <c r="L450" s="10">
        <v>49</v>
      </c>
      <c r="M450" s="10">
        <v>2</v>
      </c>
      <c r="N450" s="10" t="b">
        <v>1</v>
      </c>
      <c r="O450" s="41" t="s">
        <v>44</v>
      </c>
      <c r="P450" s="45">
        <f t="shared" si="44"/>
        <v>103.50815999999999</v>
      </c>
      <c r="Q450" s="45">
        <f t="shared" si="45"/>
        <v>142.93984</v>
      </c>
      <c r="R450" s="45">
        <v>150</v>
      </c>
      <c r="S450" s="45">
        <f t="shared" si="46"/>
        <v>24.6448</v>
      </c>
      <c r="T450" s="45">
        <f t="shared" si="47"/>
        <v>246.44799999999998</v>
      </c>
      <c r="U450" s="47">
        <f t="shared" si="48"/>
        <v>-278.15295999999995</v>
      </c>
    </row>
    <row r="451" spans="1:21" x14ac:dyDescent="0.3">
      <c r="A451" s="41" t="str">
        <f t="shared" si="49"/>
        <v>PBANBO</v>
      </c>
      <c r="B451" s="43">
        <v>45512</v>
      </c>
      <c r="C451" s="10" t="s">
        <v>493</v>
      </c>
      <c r="D451" s="10" t="s">
        <v>21</v>
      </c>
      <c r="E451" s="10" t="s">
        <v>26</v>
      </c>
      <c r="F451" s="10" t="s">
        <v>23</v>
      </c>
      <c r="G451" s="10" t="s">
        <v>49</v>
      </c>
      <c r="H451" s="10" t="s">
        <v>28</v>
      </c>
      <c r="I451" s="45">
        <v>2121</v>
      </c>
      <c r="J451" s="11">
        <v>0</v>
      </c>
      <c r="K451" s="45">
        <f t="shared" ref="K451:K514" si="50">I451*(1-J451)</f>
        <v>2121</v>
      </c>
      <c r="L451" s="10">
        <v>29</v>
      </c>
      <c r="M451" s="10">
        <v>4.7</v>
      </c>
      <c r="N451" s="10" t="b">
        <v>0</v>
      </c>
      <c r="O451" s="41"/>
      <c r="P451" s="45">
        <f t="shared" ref="P451:P514" si="51">K451*0.42</f>
        <v>890.81999999999994</v>
      </c>
      <c r="Q451" s="45">
        <f t="shared" ref="Q451:Q514" si="52">K451-P451</f>
        <v>1230.18</v>
      </c>
      <c r="R451" s="45">
        <v>0</v>
      </c>
      <c r="S451" s="45">
        <f t="shared" ref="S451:S514" si="53">IF(N451=TRUE,K451*0.1,0)</f>
        <v>0</v>
      </c>
      <c r="T451" s="45">
        <f t="shared" ref="T451:T514" si="54">IF(N451=TRUE,K451,0)</f>
        <v>0</v>
      </c>
      <c r="U451" s="47">
        <f t="shared" ref="U451:U514" si="55">Q451-R451-S451-T451</f>
        <v>1230.18</v>
      </c>
    </row>
    <row r="452" spans="1:21" x14ac:dyDescent="0.3">
      <c r="A452" s="41" t="str">
        <f t="shared" si="49"/>
        <v>PMANAC</v>
      </c>
      <c r="B452" s="43">
        <v>45513</v>
      </c>
      <c r="C452" s="10" t="s">
        <v>494</v>
      </c>
      <c r="D452" s="10" t="s">
        <v>31</v>
      </c>
      <c r="E452" s="10" t="s">
        <v>15</v>
      </c>
      <c r="F452" s="10" t="s">
        <v>54</v>
      </c>
      <c r="G452" s="10" t="s">
        <v>7</v>
      </c>
      <c r="H452" s="10" t="s">
        <v>58</v>
      </c>
      <c r="I452" s="45">
        <v>241</v>
      </c>
      <c r="J452" s="11">
        <v>0</v>
      </c>
      <c r="K452" s="45">
        <f t="shared" si="50"/>
        <v>241</v>
      </c>
      <c r="L452" s="10">
        <v>28</v>
      </c>
      <c r="M452" s="10">
        <v>2.4</v>
      </c>
      <c r="N452" s="10" t="b">
        <v>0</v>
      </c>
      <c r="O452" s="41"/>
      <c r="P452" s="45">
        <f t="shared" si="51"/>
        <v>101.22</v>
      </c>
      <c r="Q452" s="45">
        <f t="shared" si="52"/>
        <v>139.78</v>
      </c>
      <c r="R452" s="45">
        <v>0</v>
      </c>
      <c r="S452" s="45">
        <f t="shared" si="53"/>
        <v>0</v>
      </c>
      <c r="T452" s="45">
        <f t="shared" si="54"/>
        <v>0</v>
      </c>
      <c r="U452" s="47">
        <f t="shared" si="55"/>
        <v>139.78</v>
      </c>
    </row>
    <row r="453" spans="1:21" x14ac:dyDescent="0.3">
      <c r="A453" s="41" t="str">
        <f t="shared" si="49"/>
        <v>PZARTO</v>
      </c>
      <c r="B453" s="43">
        <v>45513</v>
      </c>
      <c r="C453" s="10" t="s">
        <v>495</v>
      </c>
      <c r="D453" s="10" t="s">
        <v>3</v>
      </c>
      <c r="E453" s="10" t="s">
        <v>9</v>
      </c>
      <c r="F453" s="10" t="s">
        <v>11</v>
      </c>
      <c r="G453" s="10" t="s">
        <v>5</v>
      </c>
      <c r="H453" s="10" t="s">
        <v>16</v>
      </c>
      <c r="I453" s="45">
        <v>994</v>
      </c>
      <c r="J453" s="11">
        <v>0.59399999999999997</v>
      </c>
      <c r="K453" s="45">
        <f t="shared" si="50"/>
        <v>403.56400000000002</v>
      </c>
      <c r="L453" s="10">
        <v>5</v>
      </c>
      <c r="M453" s="10">
        <v>4.9000000000000004</v>
      </c>
      <c r="N453" s="10" t="b">
        <v>1</v>
      </c>
      <c r="O453" s="41" t="s">
        <v>24</v>
      </c>
      <c r="P453" s="45">
        <f t="shared" si="51"/>
        <v>169.49688</v>
      </c>
      <c r="Q453" s="45">
        <f t="shared" si="52"/>
        <v>234.06712000000002</v>
      </c>
      <c r="R453" s="45">
        <v>150</v>
      </c>
      <c r="S453" s="45">
        <f t="shared" si="53"/>
        <v>40.356400000000008</v>
      </c>
      <c r="T453" s="45">
        <f t="shared" si="54"/>
        <v>403.56400000000002</v>
      </c>
      <c r="U453" s="47">
        <f t="shared" si="55"/>
        <v>-359.85328000000004</v>
      </c>
    </row>
    <row r="454" spans="1:21" x14ac:dyDescent="0.3">
      <c r="A454" s="41" t="str">
        <f t="shared" si="49"/>
        <v>PFORBO</v>
      </c>
      <c r="B454" s="43">
        <v>45513</v>
      </c>
      <c r="C454" s="10" t="s">
        <v>496</v>
      </c>
      <c r="D454" s="10" t="s">
        <v>65</v>
      </c>
      <c r="E454" s="10" t="s">
        <v>26</v>
      </c>
      <c r="F454" s="10" t="s">
        <v>23</v>
      </c>
      <c r="G454" s="10" t="s">
        <v>38</v>
      </c>
      <c r="H454" s="10" t="s">
        <v>43</v>
      </c>
      <c r="I454" s="45">
        <v>2725</v>
      </c>
      <c r="J454" s="11">
        <v>0</v>
      </c>
      <c r="K454" s="45">
        <f t="shared" si="50"/>
        <v>2725</v>
      </c>
      <c r="L454" s="10">
        <v>21</v>
      </c>
      <c r="M454" s="10">
        <v>1.2</v>
      </c>
      <c r="N454" s="10" t="b">
        <v>0</v>
      </c>
      <c r="O454" s="41"/>
      <c r="P454" s="45">
        <f t="shared" si="51"/>
        <v>1144.5</v>
      </c>
      <c r="Q454" s="45">
        <f t="shared" si="52"/>
        <v>1580.5</v>
      </c>
      <c r="R454" s="45">
        <v>0</v>
      </c>
      <c r="S454" s="45">
        <f t="shared" si="53"/>
        <v>0</v>
      </c>
      <c r="T454" s="45">
        <f t="shared" si="54"/>
        <v>0</v>
      </c>
      <c r="U454" s="47">
        <f t="shared" si="55"/>
        <v>1580.5</v>
      </c>
    </row>
    <row r="455" spans="1:21" x14ac:dyDescent="0.3">
      <c r="A455" s="41" t="str">
        <f t="shared" si="49"/>
        <v>PANNAC</v>
      </c>
      <c r="B455" s="43">
        <v>45514</v>
      </c>
      <c r="C455" s="10" t="s">
        <v>497</v>
      </c>
      <c r="D455" s="10" t="s">
        <v>42</v>
      </c>
      <c r="E455" s="10" t="s">
        <v>15</v>
      </c>
      <c r="F455" s="10" t="s">
        <v>4</v>
      </c>
      <c r="G455" s="10" t="s">
        <v>7</v>
      </c>
      <c r="H455" s="10" t="s">
        <v>43</v>
      </c>
      <c r="I455" s="45">
        <v>171</v>
      </c>
      <c r="J455" s="11">
        <v>0</v>
      </c>
      <c r="K455" s="45">
        <f t="shared" si="50"/>
        <v>171</v>
      </c>
      <c r="L455" s="10">
        <v>16</v>
      </c>
      <c r="M455" s="10">
        <v>2.8</v>
      </c>
      <c r="N455" s="10" t="b">
        <v>1</v>
      </c>
      <c r="O455" s="41" t="s">
        <v>44</v>
      </c>
      <c r="P455" s="45">
        <f t="shared" si="51"/>
        <v>71.819999999999993</v>
      </c>
      <c r="Q455" s="45">
        <f t="shared" si="52"/>
        <v>99.18</v>
      </c>
      <c r="R455" s="45">
        <v>150</v>
      </c>
      <c r="S455" s="45">
        <f t="shared" si="53"/>
        <v>17.100000000000001</v>
      </c>
      <c r="T455" s="45">
        <f t="shared" si="54"/>
        <v>171</v>
      </c>
      <c r="U455" s="47">
        <f t="shared" si="55"/>
        <v>-238.92</v>
      </c>
    </row>
    <row r="456" spans="1:21" x14ac:dyDescent="0.3">
      <c r="A456" s="41" t="str">
        <f t="shared" si="49"/>
        <v>PANNTO</v>
      </c>
      <c r="B456" s="43">
        <v>45514</v>
      </c>
      <c r="C456" s="10" t="s">
        <v>498</v>
      </c>
      <c r="D456" s="10" t="s">
        <v>42</v>
      </c>
      <c r="E456" s="10" t="s">
        <v>9</v>
      </c>
      <c r="F456" s="10" t="s">
        <v>11</v>
      </c>
      <c r="G456" s="10" t="s">
        <v>5</v>
      </c>
      <c r="H456" s="10" t="s">
        <v>16</v>
      </c>
      <c r="I456" s="45">
        <v>1134</v>
      </c>
      <c r="J456" s="11">
        <v>0.55000000000000004</v>
      </c>
      <c r="K456" s="45">
        <f t="shared" si="50"/>
        <v>510.29999999999995</v>
      </c>
      <c r="L456" s="10">
        <v>6</v>
      </c>
      <c r="M456" s="10">
        <v>1.6</v>
      </c>
      <c r="N456" s="10" t="b">
        <v>0</v>
      </c>
      <c r="O456" s="41"/>
      <c r="P456" s="45">
        <f t="shared" si="51"/>
        <v>214.32599999999996</v>
      </c>
      <c r="Q456" s="45">
        <f t="shared" si="52"/>
        <v>295.97399999999999</v>
      </c>
      <c r="R456" s="45">
        <v>0</v>
      </c>
      <c r="S456" s="45">
        <f t="shared" si="53"/>
        <v>0</v>
      </c>
      <c r="T456" s="45">
        <f t="shared" si="54"/>
        <v>0</v>
      </c>
      <c r="U456" s="47">
        <f t="shared" si="55"/>
        <v>295.97399999999999</v>
      </c>
    </row>
    <row r="457" spans="1:21" x14ac:dyDescent="0.3">
      <c r="A457" s="41" t="str">
        <f t="shared" si="49"/>
        <v>PMANBO</v>
      </c>
      <c r="B457" s="43">
        <v>45514</v>
      </c>
      <c r="C457" s="10" t="s">
        <v>499</v>
      </c>
      <c r="D457" s="10" t="s">
        <v>31</v>
      </c>
      <c r="E457" s="10" t="s">
        <v>26</v>
      </c>
      <c r="F457" s="10" t="s">
        <v>54</v>
      </c>
      <c r="G457" s="10" t="s">
        <v>38</v>
      </c>
      <c r="H457" s="10" t="s">
        <v>13</v>
      </c>
      <c r="I457" s="45">
        <v>2032</v>
      </c>
      <c r="J457" s="11">
        <v>0</v>
      </c>
      <c r="K457" s="45">
        <f t="shared" si="50"/>
        <v>2032</v>
      </c>
      <c r="L457" s="10">
        <v>17</v>
      </c>
      <c r="M457" s="10">
        <v>2.1</v>
      </c>
      <c r="N457" s="10" t="b">
        <v>0</v>
      </c>
      <c r="O457" s="41"/>
      <c r="P457" s="45">
        <f t="shared" si="51"/>
        <v>853.43999999999994</v>
      </c>
      <c r="Q457" s="45">
        <f t="shared" si="52"/>
        <v>1178.56</v>
      </c>
      <c r="R457" s="45">
        <v>0</v>
      </c>
      <c r="S457" s="45">
        <f t="shared" si="53"/>
        <v>0</v>
      </c>
      <c r="T457" s="45">
        <f t="shared" si="54"/>
        <v>0</v>
      </c>
      <c r="U457" s="47">
        <f t="shared" si="55"/>
        <v>1178.56</v>
      </c>
    </row>
    <row r="458" spans="1:21" x14ac:dyDescent="0.3">
      <c r="A458" s="41" t="str">
        <f t="shared" si="49"/>
        <v>PMANSH</v>
      </c>
      <c r="B458" s="43">
        <v>45514</v>
      </c>
      <c r="C458" s="10" t="s">
        <v>500</v>
      </c>
      <c r="D458" s="10" t="s">
        <v>31</v>
      </c>
      <c r="E458" s="10" t="s">
        <v>18</v>
      </c>
      <c r="F458" s="10" t="s">
        <v>23</v>
      </c>
      <c r="G458" s="10" t="s">
        <v>46</v>
      </c>
      <c r="H458" s="10" t="s">
        <v>47</v>
      </c>
      <c r="I458" s="45">
        <v>4075</v>
      </c>
      <c r="J458" s="11">
        <v>0.52900000000000003</v>
      </c>
      <c r="K458" s="45">
        <f t="shared" si="50"/>
        <v>1919.3249999999998</v>
      </c>
      <c r="L458" s="10">
        <v>2</v>
      </c>
      <c r="M458" s="10">
        <v>4.9000000000000004</v>
      </c>
      <c r="N458" s="10" t="b">
        <v>0</v>
      </c>
      <c r="O458" s="41"/>
      <c r="P458" s="45">
        <f t="shared" si="51"/>
        <v>806.11649999999986</v>
      </c>
      <c r="Q458" s="45">
        <f t="shared" si="52"/>
        <v>1113.2085</v>
      </c>
      <c r="R458" s="45">
        <v>0</v>
      </c>
      <c r="S458" s="45">
        <f t="shared" si="53"/>
        <v>0</v>
      </c>
      <c r="T458" s="45">
        <f t="shared" si="54"/>
        <v>0</v>
      </c>
      <c r="U458" s="47">
        <f t="shared" si="55"/>
        <v>1113.2085</v>
      </c>
    </row>
    <row r="459" spans="1:21" x14ac:dyDescent="0.3">
      <c r="A459" s="41" t="str">
        <f t="shared" si="49"/>
        <v>PMANSH</v>
      </c>
      <c r="B459" s="43">
        <v>45514</v>
      </c>
      <c r="C459" s="10" t="s">
        <v>501</v>
      </c>
      <c r="D459" s="10" t="s">
        <v>31</v>
      </c>
      <c r="E459" s="10" t="s">
        <v>18</v>
      </c>
      <c r="F459" s="10" t="s">
        <v>54</v>
      </c>
      <c r="G459" s="10" t="s">
        <v>49</v>
      </c>
      <c r="H459" s="10" t="s">
        <v>16</v>
      </c>
      <c r="I459" s="45">
        <v>4087</v>
      </c>
      <c r="J459" s="11">
        <v>0.317</v>
      </c>
      <c r="K459" s="45">
        <f t="shared" si="50"/>
        <v>2791.4210000000003</v>
      </c>
      <c r="L459" s="10">
        <v>3</v>
      </c>
      <c r="M459" s="10">
        <v>2.5</v>
      </c>
      <c r="N459" s="10" t="b">
        <v>0</v>
      </c>
      <c r="O459" s="41"/>
      <c r="P459" s="45">
        <f t="shared" si="51"/>
        <v>1172.3968200000002</v>
      </c>
      <c r="Q459" s="45">
        <f t="shared" si="52"/>
        <v>1619.0241800000001</v>
      </c>
      <c r="R459" s="45">
        <v>0</v>
      </c>
      <c r="S459" s="45">
        <f t="shared" si="53"/>
        <v>0</v>
      </c>
      <c r="T459" s="45">
        <f t="shared" si="54"/>
        <v>0</v>
      </c>
      <c r="U459" s="47">
        <f t="shared" si="55"/>
        <v>1619.0241800000001</v>
      </c>
    </row>
    <row r="460" spans="1:21" x14ac:dyDescent="0.3">
      <c r="A460" s="41" t="str">
        <f t="shared" si="49"/>
        <v>PGAPTO</v>
      </c>
      <c r="B460" s="43">
        <v>45515</v>
      </c>
      <c r="C460" s="10" t="s">
        <v>502</v>
      </c>
      <c r="D460" s="10" t="s">
        <v>53</v>
      </c>
      <c r="E460" s="10" t="s">
        <v>9</v>
      </c>
      <c r="F460" s="10" t="s">
        <v>4</v>
      </c>
      <c r="G460" s="10" t="s">
        <v>46</v>
      </c>
      <c r="H460" s="10" t="s">
        <v>6</v>
      </c>
      <c r="I460" s="45">
        <v>1247</v>
      </c>
      <c r="J460" s="11">
        <v>0</v>
      </c>
      <c r="K460" s="45">
        <f t="shared" si="50"/>
        <v>1247</v>
      </c>
      <c r="L460" s="10">
        <v>43</v>
      </c>
      <c r="M460" s="10">
        <v>3.4</v>
      </c>
      <c r="N460" s="10" t="b">
        <v>0</v>
      </c>
      <c r="O460" s="41"/>
      <c r="P460" s="45">
        <f t="shared" si="51"/>
        <v>523.74</v>
      </c>
      <c r="Q460" s="45">
        <f t="shared" si="52"/>
        <v>723.26</v>
      </c>
      <c r="R460" s="45">
        <v>0</v>
      </c>
      <c r="S460" s="45">
        <f t="shared" si="53"/>
        <v>0</v>
      </c>
      <c r="T460" s="45">
        <f t="shared" si="54"/>
        <v>0</v>
      </c>
      <c r="U460" s="47">
        <f t="shared" si="55"/>
        <v>723.26</v>
      </c>
    </row>
    <row r="461" spans="1:21" x14ac:dyDescent="0.3">
      <c r="A461" s="41" t="str">
        <f t="shared" si="49"/>
        <v>PH&amp;MDR</v>
      </c>
      <c r="B461" s="43">
        <v>45515</v>
      </c>
      <c r="C461" s="10" t="s">
        <v>503</v>
      </c>
      <c r="D461" s="10" t="s">
        <v>37</v>
      </c>
      <c r="E461" s="10" t="s">
        <v>30</v>
      </c>
      <c r="F461" s="10" t="s">
        <v>23</v>
      </c>
      <c r="G461" s="10" t="s">
        <v>46</v>
      </c>
      <c r="H461" s="10" t="s">
        <v>16</v>
      </c>
      <c r="I461" s="45">
        <v>2166</v>
      </c>
      <c r="J461" s="11">
        <v>0.50600000000000001</v>
      </c>
      <c r="K461" s="45">
        <f t="shared" si="50"/>
        <v>1070.0039999999999</v>
      </c>
      <c r="L461" s="10">
        <v>10</v>
      </c>
      <c r="M461" s="10">
        <v>4.4000000000000004</v>
      </c>
      <c r="N461" s="10" t="b">
        <v>1</v>
      </c>
      <c r="O461" s="41" t="s">
        <v>33</v>
      </c>
      <c r="P461" s="45">
        <f t="shared" si="51"/>
        <v>449.40167999999994</v>
      </c>
      <c r="Q461" s="45">
        <f t="shared" si="52"/>
        <v>620.60231999999996</v>
      </c>
      <c r="R461" s="45">
        <v>150</v>
      </c>
      <c r="S461" s="45">
        <f t="shared" si="53"/>
        <v>107.0004</v>
      </c>
      <c r="T461" s="45">
        <f t="shared" si="54"/>
        <v>1070.0039999999999</v>
      </c>
      <c r="U461" s="47">
        <f t="shared" si="55"/>
        <v>-706.40207999999996</v>
      </c>
    </row>
    <row r="462" spans="1:21" x14ac:dyDescent="0.3">
      <c r="A462" s="41" t="str">
        <f t="shared" si="49"/>
        <v>PBANDR</v>
      </c>
      <c r="B462" s="43">
        <v>45515</v>
      </c>
      <c r="C462" s="10" t="s">
        <v>504</v>
      </c>
      <c r="D462" s="10" t="s">
        <v>21</v>
      </c>
      <c r="E462" s="10" t="s">
        <v>30</v>
      </c>
      <c r="F462" s="10" t="s">
        <v>11</v>
      </c>
      <c r="G462" s="10" t="s">
        <v>49</v>
      </c>
      <c r="H462" s="10" t="s">
        <v>28</v>
      </c>
      <c r="I462" s="45">
        <v>2210</v>
      </c>
      <c r="J462" s="11">
        <v>0.56399999999999995</v>
      </c>
      <c r="K462" s="45">
        <f t="shared" si="50"/>
        <v>963.56000000000017</v>
      </c>
      <c r="L462" s="10">
        <v>30</v>
      </c>
      <c r="M462" s="10">
        <v>1.8</v>
      </c>
      <c r="N462" s="10" t="b">
        <v>0</v>
      </c>
      <c r="O462" s="41"/>
      <c r="P462" s="45">
        <f t="shared" si="51"/>
        <v>404.69520000000006</v>
      </c>
      <c r="Q462" s="45">
        <f t="shared" si="52"/>
        <v>558.86480000000006</v>
      </c>
      <c r="R462" s="45">
        <v>0</v>
      </c>
      <c r="S462" s="45">
        <f t="shared" si="53"/>
        <v>0</v>
      </c>
      <c r="T462" s="45">
        <f t="shared" si="54"/>
        <v>0</v>
      </c>
      <c r="U462" s="47">
        <f t="shared" si="55"/>
        <v>558.86480000000006</v>
      </c>
    </row>
    <row r="463" spans="1:21" x14ac:dyDescent="0.3">
      <c r="A463" s="41" t="str">
        <f t="shared" si="49"/>
        <v>PH&amp;MAC</v>
      </c>
      <c r="B463" s="43">
        <v>45516</v>
      </c>
      <c r="C463" s="10" t="s">
        <v>505</v>
      </c>
      <c r="D463" s="10" t="s">
        <v>37</v>
      </c>
      <c r="E463" s="10" t="s">
        <v>15</v>
      </c>
      <c r="F463" s="10" t="s">
        <v>11</v>
      </c>
      <c r="G463" s="10" t="s">
        <v>7</v>
      </c>
      <c r="H463" s="10" t="s">
        <v>7</v>
      </c>
      <c r="I463" s="45">
        <v>327</v>
      </c>
      <c r="J463" s="11">
        <v>0</v>
      </c>
      <c r="K463" s="45">
        <f t="shared" si="50"/>
        <v>327</v>
      </c>
      <c r="L463" s="10">
        <v>30</v>
      </c>
      <c r="M463" s="10"/>
      <c r="N463" s="10" t="b">
        <v>0</v>
      </c>
      <c r="O463" s="41"/>
      <c r="P463" s="45">
        <f t="shared" si="51"/>
        <v>137.34</v>
      </c>
      <c r="Q463" s="45">
        <f t="shared" si="52"/>
        <v>189.66</v>
      </c>
      <c r="R463" s="45">
        <v>0</v>
      </c>
      <c r="S463" s="45">
        <f t="shared" si="53"/>
        <v>0</v>
      </c>
      <c r="T463" s="45">
        <f t="shared" si="54"/>
        <v>0</v>
      </c>
      <c r="U463" s="47">
        <f t="shared" si="55"/>
        <v>189.66</v>
      </c>
    </row>
    <row r="464" spans="1:21" x14ac:dyDescent="0.3">
      <c r="A464" s="41" t="str">
        <f t="shared" si="49"/>
        <v>PBANOU</v>
      </c>
      <c r="B464" s="43">
        <v>45516</v>
      </c>
      <c r="C464" s="10" t="s">
        <v>506</v>
      </c>
      <c r="D464" s="10" t="s">
        <v>21</v>
      </c>
      <c r="E464" s="10" t="s">
        <v>2</v>
      </c>
      <c r="F464" s="10" t="s">
        <v>23</v>
      </c>
      <c r="G464" s="10" t="s">
        <v>38</v>
      </c>
      <c r="H464" s="10" t="s">
        <v>43</v>
      </c>
      <c r="I464" s="45">
        <v>4280</v>
      </c>
      <c r="J464" s="11">
        <v>0.58200000000000007</v>
      </c>
      <c r="K464" s="45">
        <f t="shared" si="50"/>
        <v>1789.0399999999997</v>
      </c>
      <c r="L464" s="10">
        <v>44</v>
      </c>
      <c r="M464" s="10">
        <v>3.2</v>
      </c>
      <c r="N464" s="10" t="b">
        <v>0</v>
      </c>
      <c r="O464" s="41"/>
      <c r="P464" s="45">
        <f t="shared" si="51"/>
        <v>751.39679999999987</v>
      </c>
      <c r="Q464" s="45">
        <f t="shared" si="52"/>
        <v>1037.6432</v>
      </c>
      <c r="R464" s="45">
        <v>0</v>
      </c>
      <c r="S464" s="45">
        <f t="shared" si="53"/>
        <v>0</v>
      </c>
      <c r="T464" s="45">
        <f t="shared" si="54"/>
        <v>0</v>
      </c>
      <c r="U464" s="47">
        <f t="shared" si="55"/>
        <v>1037.6432</v>
      </c>
    </row>
    <row r="465" spans="1:21" x14ac:dyDescent="0.3">
      <c r="A465" s="41" t="str">
        <f t="shared" si="49"/>
        <v>PH&amp;MBO</v>
      </c>
      <c r="B465" s="43">
        <v>45516</v>
      </c>
      <c r="C465" s="10" t="s">
        <v>507</v>
      </c>
      <c r="D465" s="10" t="s">
        <v>37</v>
      </c>
      <c r="E465" s="10" t="s">
        <v>26</v>
      </c>
      <c r="F465" s="10" t="s">
        <v>4</v>
      </c>
      <c r="G465" s="10" t="s">
        <v>5</v>
      </c>
      <c r="H465" s="10" t="s">
        <v>6</v>
      </c>
      <c r="I465" s="45">
        <v>2714</v>
      </c>
      <c r="J465" s="11">
        <v>0</v>
      </c>
      <c r="K465" s="45">
        <f t="shared" si="50"/>
        <v>2714</v>
      </c>
      <c r="L465" s="10">
        <v>0</v>
      </c>
      <c r="M465" s="10">
        <v>4.4000000000000004</v>
      </c>
      <c r="N465" s="10" t="b">
        <v>0</v>
      </c>
      <c r="O465" s="41"/>
      <c r="P465" s="45">
        <f t="shared" si="51"/>
        <v>1139.8799999999999</v>
      </c>
      <c r="Q465" s="45">
        <f t="shared" si="52"/>
        <v>1574.1200000000001</v>
      </c>
      <c r="R465" s="45">
        <v>0</v>
      </c>
      <c r="S465" s="45">
        <f t="shared" si="53"/>
        <v>0</v>
      </c>
      <c r="T465" s="45">
        <f t="shared" si="54"/>
        <v>0</v>
      </c>
      <c r="U465" s="47">
        <f t="shared" si="55"/>
        <v>1574.1200000000001</v>
      </c>
    </row>
    <row r="466" spans="1:21" x14ac:dyDescent="0.3">
      <c r="A466" s="41" t="str">
        <f t="shared" si="49"/>
        <v>PANNOU</v>
      </c>
      <c r="B466" s="43">
        <v>45516</v>
      </c>
      <c r="C466" s="10" t="s">
        <v>508</v>
      </c>
      <c r="D466" s="10" t="s">
        <v>42</v>
      </c>
      <c r="E466" s="10" t="s">
        <v>2</v>
      </c>
      <c r="F466" s="10" t="s">
        <v>11</v>
      </c>
      <c r="G466" s="10" t="s">
        <v>46</v>
      </c>
      <c r="H466" s="10" t="s">
        <v>16</v>
      </c>
      <c r="I466" s="45">
        <v>4210</v>
      </c>
      <c r="J466" s="11">
        <v>3.0000000000000001E-3</v>
      </c>
      <c r="K466" s="45">
        <f t="shared" si="50"/>
        <v>4197.37</v>
      </c>
      <c r="L466" s="10">
        <v>30</v>
      </c>
      <c r="M466" s="10">
        <v>3.4</v>
      </c>
      <c r="N466" s="10" t="b">
        <v>1</v>
      </c>
      <c r="O466" s="41" t="s">
        <v>33</v>
      </c>
      <c r="P466" s="45">
        <f t="shared" si="51"/>
        <v>1762.8953999999999</v>
      </c>
      <c r="Q466" s="45">
        <f t="shared" si="52"/>
        <v>2434.4746</v>
      </c>
      <c r="R466" s="45">
        <v>150</v>
      </c>
      <c r="S466" s="45">
        <f t="shared" si="53"/>
        <v>419.73700000000002</v>
      </c>
      <c r="T466" s="45">
        <f t="shared" si="54"/>
        <v>4197.37</v>
      </c>
      <c r="U466" s="47">
        <f t="shared" si="55"/>
        <v>-2332.6324</v>
      </c>
    </row>
    <row r="467" spans="1:21" x14ac:dyDescent="0.3">
      <c r="A467" s="41" t="str">
        <f t="shared" si="49"/>
        <v>PANNTO</v>
      </c>
      <c r="B467" s="43">
        <v>45517</v>
      </c>
      <c r="C467" s="10" t="s">
        <v>509</v>
      </c>
      <c r="D467" s="10" t="s">
        <v>42</v>
      </c>
      <c r="E467" s="10" t="s">
        <v>9</v>
      </c>
      <c r="F467" s="10" t="s">
        <v>4</v>
      </c>
      <c r="G467" s="10" t="s">
        <v>27</v>
      </c>
      <c r="H467" s="10" t="s">
        <v>56</v>
      </c>
      <c r="I467" s="45">
        <v>1480</v>
      </c>
      <c r="J467" s="11">
        <v>0</v>
      </c>
      <c r="K467" s="45">
        <f t="shared" si="50"/>
        <v>1480</v>
      </c>
      <c r="L467" s="10">
        <v>35</v>
      </c>
      <c r="M467" s="10">
        <v>3.4</v>
      </c>
      <c r="N467" s="10" t="b">
        <v>0</v>
      </c>
      <c r="O467" s="41"/>
      <c r="P467" s="45">
        <f t="shared" si="51"/>
        <v>621.6</v>
      </c>
      <c r="Q467" s="45">
        <f t="shared" si="52"/>
        <v>858.4</v>
      </c>
      <c r="R467" s="45">
        <v>0</v>
      </c>
      <c r="S467" s="45">
        <f t="shared" si="53"/>
        <v>0</v>
      </c>
      <c r="T467" s="45">
        <f t="shared" si="54"/>
        <v>0</v>
      </c>
      <c r="U467" s="47">
        <f t="shared" si="55"/>
        <v>858.4</v>
      </c>
    </row>
    <row r="468" spans="1:21" x14ac:dyDescent="0.3">
      <c r="A468" s="41" t="str">
        <f t="shared" si="49"/>
        <v>PBANBO</v>
      </c>
      <c r="B468" s="43">
        <v>45517</v>
      </c>
      <c r="C468" s="10" t="s">
        <v>510</v>
      </c>
      <c r="D468" s="10" t="s">
        <v>21</v>
      </c>
      <c r="E468" s="10" t="s">
        <v>26</v>
      </c>
      <c r="F468" s="10" t="s">
        <v>4</v>
      </c>
      <c r="G468" s="10" t="s">
        <v>46</v>
      </c>
      <c r="H468" s="10" t="s">
        <v>88</v>
      </c>
      <c r="I468" s="45">
        <v>2207</v>
      </c>
      <c r="J468" s="11">
        <v>0</v>
      </c>
      <c r="K468" s="45">
        <f t="shared" si="50"/>
        <v>2207</v>
      </c>
      <c r="L468" s="10">
        <v>14</v>
      </c>
      <c r="M468" s="10">
        <v>2.4</v>
      </c>
      <c r="N468" s="10" t="b">
        <v>0</v>
      </c>
      <c r="O468" s="41"/>
      <c r="P468" s="45">
        <f t="shared" si="51"/>
        <v>926.93999999999994</v>
      </c>
      <c r="Q468" s="45">
        <f t="shared" si="52"/>
        <v>1280.06</v>
      </c>
      <c r="R468" s="45">
        <v>0</v>
      </c>
      <c r="S468" s="45">
        <f t="shared" si="53"/>
        <v>0</v>
      </c>
      <c r="T468" s="45">
        <f t="shared" si="54"/>
        <v>0</v>
      </c>
      <c r="U468" s="47">
        <f t="shared" si="55"/>
        <v>1280.06</v>
      </c>
    </row>
    <row r="469" spans="1:21" x14ac:dyDescent="0.3">
      <c r="A469" s="41" t="str">
        <f t="shared" si="49"/>
        <v>PANNTO</v>
      </c>
      <c r="B469" s="43">
        <v>45517</v>
      </c>
      <c r="C469" s="10" t="s">
        <v>511</v>
      </c>
      <c r="D469" s="10" t="s">
        <v>42</v>
      </c>
      <c r="E469" s="10" t="s">
        <v>9</v>
      </c>
      <c r="F469" s="10" t="s">
        <v>4</v>
      </c>
      <c r="G469" s="10" t="s">
        <v>12</v>
      </c>
      <c r="H469" s="10" t="s">
        <v>58</v>
      </c>
      <c r="I469" s="45">
        <v>1038</v>
      </c>
      <c r="J469" s="11">
        <v>1.3999999999999999E-2</v>
      </c>
      <c r="K469" s="45">
        <f t="shared" si="50"/>
        <v>1023.468</v>
      </c>
      <c r="L469" s="10">
        <v>29</v>
      </c>
      <c r="M469" s="10">
        <v>1.5</v>
      </c>
      <c r="N469" s="10" t="b">
        <v>0</v>
      </c>
      <c r="O469" s="41"/>
      <c r="P469" s="45">
        <f t="shared" si="51"/>
        <v>429.85655999999994</v>
      </c>
      <c r="Q469" s="45">
        <f t="shared" si="52"/>
        <v>593.61144000000002</v>
      </c>
      <c r="R469" s="45">
        <v>0</v>
      </c>
      <c r="S469" s="45">
        <f t="shared" si="53"/>
        <v>0</v>
      </c>
      <c r="T469" s="45">
        <f t="shared" si="54"/>
        <v>0</v>
      </c>
      <c r="U469" s="47">
        <f t="shared" si="55"/>
        <v>593.61144000000002</v>
      </c>
    </row>
    <row r="470" spans="1:21" x14ac:dyDescent="0.3">
      <c r="A470" s="41" t="str">
        <f t="shared" si="49"/>
        <v>PZARAC</v>
      </c>
      <c r="B470" s="43">
        <v>45518</v>
      </c>
      <c r="C470" s="10" t="s">
        <v>512</v>
      </c>
      <c r="D470" s="10" t="s">
        <v>3</v>
      </c>
      <c r="E470" s="10" t="s">
        <v>15</v>
      </c>
      <c r="F470" s="10" t="s">
        <v>54</v>
      </c>
      <c r="G470" s="10" t="s">
        <v>7</v>
      </c>
      <c r="H470" s="10" t="s">
        <v>58</v>
      </c>
      <c r="I470" s="45">
        <v>227</v>
      </c>
      <c r="J470" s="11">
        <v>0.11800000000000001</v>
      </c>
      <c r="K470" s="45">
        <f t="shared" si="50"/>
        <v>200.214</v>
      </c>
      <c r="L470" s="10">
        <v>30</v>
      </c>
      <c r="M470" s="10">
        <v>3.4</v>
      </c>
      <c r="N470" s="10" t="b">
        <v>0</v>
      </c>
      <c r="O470" s="41"/>
      <c r="P470" s="45">
        <f t="shared" si="51"/>
        <v>84.089879999999994</v>
      </c>
      <c r="Q470" s="45">
        <f t="shared" si="52"/>
        <v>116.12412</v>
      </c>
      <c r="R470" s="45">
        <v>0</v>
      </c>
      <c r="S470" s="45">
        <f t="shared" si="53"/>
        <v>0</v>
      </c>
      <c r="T470" s="45">
        <f t="shared" si="54"/>
        <v>0</v>
      </c>
      <c r="U470" s="47">
        <f t="shared" si="55"/>
        <v>116.12412</v>
      </c>
    </row>
    <row r="471" spans="1:21" x14ac:dyDescent="0.3">
      <c r="A471" s="41" t="str">
        <f t="shared" si="49"/>
        <v>PUNIOU</v>
      </c>
      <c r="B471" s="43">
        <v>45518</v>
      </c>
      <c r="C471" s="10" t="s">
        <v>513</v>
      </c>
      <c r="D471" s="10" t="s">
        <v>10</v>
      </c>
      <c r="E471" s="10" t="s">
        <v>2</v>
      </c>
      <c r="F471" s="10" t="s">
        <v>54</v>
      </c>
      <c r="G471" s="10" t="s">
        <v>27</v>
      </c>
      <c r="H471" s="10" t="s">
        <v>88</v>
      </c>
      <c r="I471" s="45">
        <v>3236</v>
      </c>
      <c r="J471" s="11">
        <v>0</v>
      </c>
      <c r="K471" s="45">
        <f t="shared" si="50"/>
        <v>3236</v>
      </c>
      <c r="L471" s="10">
        <v>28</v>
      </c>
      <c r="M471" s="10"/>
      <c r="N471" s="10" t="b">
        <v>0</v>
      </c>
      <c r="O471" s="41"/>
      <c r="P471" s="45">
        <f t="shared" si="51"/>
        <v>1359.12</v>
      </c>
      <c r="Q471" s="45">
        <f t="shared" si="52"/>
        <v>1876.88</v>
      </c>
      <c r="R471" s="45">
        <v>0</v>
      </c>
      <c r="S471" s="45">
        <f t="shared" si="53"/>
        <v>0</v>
      </c>
      <c r="T471" s="45">
        <f t="shared" si="54"/>
        <v>0</v>
      </c>
      <c r="U471" s="47">
        <f t="shared" si="55"/>
        <v>1876.88</v>
      </c>
    </row>
    <row r="472" spans="1:21" x14ac:dyDescent="0.3">
      <c r="A472" s="41" t="str">
        <f t="shared" si="49"/>
        <v>PUNIBO</v>
      </c>
      <c r="B472" s="43">
        <v>45518</v>
      </c>
      <c r="C472" s="10" t="s">
        <v>514</v>
      </c>
      <c r="D472" s="10" t="s">
        <v>10</v>
      </c>
      <c r="E472" s="10" t="s">
        <v>26</v>
      </c>
      <c r="F472" s="10" t="s">
        <v>54</v>
      </c>
      <c r="G472" s="10" t="s">
        <v>46</v>
      </c>
      <c r="H472" s="10" t="s">
        <v>43</v>
      </c>
      <c r="I472" s="45">
        <v>2322</v>
      </c>
      <c r="J472" s="11">
        <v>0</v>
      </c>
      <c r="K472" s="45">
        <f t="shared" si="50"/>
        <v>2322</v>
      </c>
      <c r="L472" s="10">
        <v>17</v>
      </c>
      <c r="M472" s="10">
        <v>4.4000000000000004</v>
      </c>
      <c r="N472" s="10" t="b">
        <v>0</v>
      </c>
      <c r="O472" s="41"/>
      <c r="P472" s="45">
        <f t="shared" si="51"/>
        <v>975.24</v>
      </c>
      <c r="Q472" s="45">
        <f t="shared" si="52"/>
        <v>1346.76</v>
      </c>
      <c r="R472" s="45">
        <v>0</v>
      </c>
      <c r="S472" s="45">
        <f t="shared" si="53"/>
        <v>0</v>
      </c>
      <c r="T472" s="45">
        <f t="shared" si="54"/>
        <v>0</v>
      </c>
      <c r="U472" s="47">
        <f t="shared" si="55"/>
        <v>1346.76</v>
      </c>
    </row>
    <row r="473" spans="1:21" x14ac:dyDescent="0.3">
      <c r="A473" s="41" t="str">
        <f t="shared" si="49"/>
        <v>PANNBO</v>
      </c>
      <c r="B473" s="43">
        <v>45518</v>
      </c>
      <c r="C473" s="10" t="s">
        <v>515</v>
      </c>
      <c r="D473" s="10" t="s">
        <v>42</v>
      </c>
      <c r="E473" s="10" t="s">
        <v>26</v>
      </c>
      <c r="F473" s="10" t="s">
        <v>23</v>
      </c>
      <c r="G473" s="10" t="s">
        <v>7</v>
      </c>
      <c r="H473" s="10" t="s">
        <v>13</v>
      </c>
      <c r="I473" s="45">
        <v>2243</v>
      </c>
      <c r="J473" s="11">
        <v>0.54299999999999993</v>
      </c>
      <c r="K473" s="45">
        <f t="shared" si="50"/>
        <v>1025.0510000000002</v>
      </c>
      <c r="L473" s="10">
        <v>38</v>
      </c>
      <c r="M473" s="10">
        <v>2.9</v>
      </c>
      <c r="N473" s="10" t="b">
        <v>0</v>
      </c>
      <c r="O473" s="41"/>
      <c r="P473" s="45">
        <f t="shared" si="51"/>
        <v>430.52142000000003</v>
      </c>
      <c r="Q473" s="45">
        <f t="shared" si="52"/>
        <v>594.52958000000012</v>
      </c>
      <c r="R473" s="45">
        <v>0</v>
      </c>
      <c r="S473" s="45">
        <f t="shared" si="53"/>
        <v>0</v>
      </c>
      <c r="T473" s="45">
        <f t="shared" si="54"/>
        <v>0</v>
      </c>
      <c r="U473" s="47">
        <f t="shared" si="55"/>
        <v>594.52958000000012</v>
      </c>
    </row>
    <row r="474" spans="1:21" x14ac:dyDescent="0.3">
      <c r="A474" s="41" t="str">
        <f t="shared" si="49"/>
        <v>PGAPSH</v>
      </c>
      <c r="B474" s="43">
        <v>45519</v>
      </c>
      <c r="C474" s="10" t="s">
        <v>516</v>
      </c>
      <c r="D474" s="10" t="s">
        <v>53</v>
      </c>
      <c r="E474" s="10" t="s">
        <v>18</v>
      </c>
      <c r="F474" s="10" t="s">
        <v>23</v>
      </c>
      <c r="G474" s="10" t="s">
        <v>46</v>
      </c>
      <c r="H474" s="10" t="s">
        <v>43</v>
      </c>
      <c r="I474" s="45">
        <v>3615</v>
      </c>
      <c r="J474" s="11">
        <v>0</v>
      </c>
      <c r="K474" s="45">
        <f t="shared" si="50"/>
        <v>3615</v>
      </c>
      <c r="L474" s="10">
        <v>45</v>
      </c>
      <c r="M474" s="10">
        <v>3.3</v>
      </c>
      <c r="N474" s="10" t="b">
        <v>0</v>
      </c>
      <c r="O474" s="41"/>
      <c r="P474" s="45">
        <f t="shared" si="51"/>
        <v>1518.3</v>
      </c>
      <c r="Q474" s="45">
        <f t="shared" si="52"/>
        <v>2096.6999999999998</v>
      </c>
      <c r="R474" s="45">
        <v>0</v>
      </c>
      <c r="S474" s="45">
        <f t="shared" si="53"/>
        <v>0</v>
      </c>
      <c r="T474" s="45">
        <f t="shared" si="54"/>
        <v>0</v>
      </c>
      <c r="U474" s="47">
        <f t="shared" si="55"/>
        <v>2096.6999999999998</v>
      </c>
    </row>
    <row r="475" spans="1:21" x14ac:dyDescent="0.3">
      <c r="A475" s="41" t="str">
        <f t="shared" si="49"/>
        <v>PGAPSH</v>
      </c>
      <c r="B475" s="43">
        <v>45519</v>
      </c>
      <c r="C475" s="10" t="s">
        <v>517</v>
      </c>
      <c r="D475" s="10" t="s">
        <v>53</v>
      </c>
      <c r="E475" s="10" t="s">
        <v>18</v>
      </c>
      <c r="F475" s="10" t="s">
        <v>23</v>
      </c>
      <c r="G475" s="10" t="s">
        <v>12</v>
      </c>
      <c r="H475" s="10" t="s">
        <v>32</v>
      </c>
      <c r="I475" s="45">
        <v>3858</v>
      </c>
      <c r="J475" s="11">
        <v>9.9000000000000005E-2</v>
      </c>
      <c r="K475" s="45">
        <f t="shared" si="50"/>
        <v>3476.058</v>
      </c>
      <c r="L475" s="10">
        <v>37</v>
      </c>
      <c r="M475" s="10">
        <v>2.5</v>
      </c>
      <c r="N475" s="10" t="b">
        <v>1</v>
      </c>
      <c r="O475" s="41" t="s">
        <v>33</v>
      </c>
      <c r="P475" s="45">
        <f t="shared" si="51"/>
        <v>1459.94436</v>
      </c>
      <c r="Q475" s="45">
        <f t="shared" si="52"/>
        <v>2016.11364</v>
      </c>
      <c r="R475" s="45">
        <v>150</v>
      </c>
      <c r="S475" s="45">
        <f t="shared" si="53"/>
        <v>347.60580000000004</v>
      </c>
      <c r="T475" s="45">
        <f t="shared" si="54"/>
        <v>3476.058</v>
      </c>
      <c r="U475" s="47">
        <f t="shared" si="55"/>
        <v>-1957.55016</v>
      </c>
    </row>
    <row r="476" spans="1:21" x14ac:dyDescent="0.3">
      <c r="A476" s="41" t="str">
        <f t="shared" si="49"/>
        <v>PZAROU</v>
      </c>
      <c r="B476" s="43">
        <v>45519</v>
      </c>
      <c r="C476" s="10" t="s">
        <v>518</v>
      </c>
      <c r="D476" s="10" t="s">
        <v>3</v>
      </c>
      <c r="E476" s="10" t="s">
        <v>2</v>
      </c>
      <c r="F476" s="10" t="s">
        <v>11</v>
      </c>
      <c r="G476" s="10" t="s">
        <v>12</v>
      </c>
      <c r="H476" s="10" t="s">
        <v>35</v>
      </c>
      <c r="I476" s="45">
        <v>3965</v>
      </c>
      <c r="J476" s="11">
        <v>0</v>
      </c>
      <c r="K476" s="45">
        <f t="shared" si="50"/>
        <v>3965</v>
      </c>
      <c r="L476" s="10">
        <v>13</v>
      </c>
      <c r="M476" s="10">
        <v>1.6</v>
      </c>
      <c r="N476" s="10" t="b">
        <v>0</v>
      </c>
      <c r="O476" s="41"/>
      <c r="P476" s="45">
        <f t="shared" si="51"/>
        <v>1665.3</v>
      </c>
      <c r="Q476" s="45">
        <f t="shared" si="52"/>
        <v>2299.6999999999998</v>
      </c>
      <c r="R476" s="45">
        <v>0</v>
      </c>
      <c r="S476" s="45">
        <f t="shared" si="53"/>
        <v>0</v>
      </c>
      <c r="T476" s="45">
        <f t="shared" si="54"/>
        <v>0</v>
      </c>
      <c r="U476" s="47">
        <f t="shared" si="55"/>
        <v>2299.6999999999998</v>
      </c>
    </row>
    <row r="477" spans="1:21" x14ac:dyDescent="0.3">
      <c r="A477" s="41" t="str">
        <f t="shared" si="49"/>
        <v>PMANSH</v>
      </c>
      <c r="B477" s="43">
        <v>45519</v>
      </c>
      <c r="C477" s="10" t="s">
        <v>519</v>
      </c>
      <c r="D477" s="10" t="s">
        <v>31</v>
      </c>
      <c r="E477" s="10" t="s">
        <v>18</v>
      </c>
      <c r="F477" s="10" t="s">
        <v>54</v>
      </c>
      <c r="G477" s="10" t="s">
        <v>49</v>
      </c>
      <c r="H477" s="10" t="s">
        <v>56</v>
      </c>
      <c r="I477" s="45">
        <v>4344</v>
      </c>
      <c r="J477" s="11">
        <v>0.54100000000000004</v>
      </c>
      <c r="K477" s="45">
        <f t="shared" si="50"/>
        <v>1993.8959999999997</v>
      </c>
      <c r="L477" s="10">
        <v>36</v>
      </c>
      <c r="M477" s="10">
        <v>4.5</v>
      </c>
      <c r="N477" s="10" t="b">
        <v>1</v>
      </c>
      <c r="O477" s="41" t="s">
        <v>33</v>
      </c>
      <c r="P477" s="45">
        <f t="shared" si="51"/>
        <v>837.43631999999991</v>
      </c>
      <c r="Q477" s="45">
        <f t="shared" si="52"/>
        <v>1156.4596799999999</v>
      </c>
      <c r="R477" s="45">
        <v>150</v>
      </c>
      <c r="S477" s="45">
        <f t="shared" si="53"/>
        <v>199.38959999999997</v>
      </c>
      <c r="T477" s="45">
        <f t="shared" si="54"/>
        <v>1993.8959999999997</v>
      </c>
      <c r="U477" s="47">
        <f t="shared" si="55"/>
        <v>-1186.8259199999998</v>
      </c>
    </row>
    <row r="478" spans="1:21" x14ac:dyDescent="0.3">
      <c r="A478" s="41" t="str">
        <f t="shared" si="49"/>
        <v>PZARTO</v>
      </c>
      <c r="B478" s="43">
        <v>45520</v>
      </c>
      <c r="C478" s="10" t="s">
        <v>520</v>
      </c>
      <c r="D478" s="10" t="s">
        <v>3</v>
      </c>
      <c r="E478" s="10" t="s">
        <v>9</v>
      </c>
      <c r="F478" s="10" t="s">
        <v>23</v>
      </c>
      <c r="G478" s="10" t="s">
        <v>27</v>
      </c>
      <c r="H478" s="10" t="s">
        <v>43</v>
      </c>
      <c r="I478" s="45">
        <v>1263</v>
      </c>
      <c r="J478" s="11">
        <v>0</v>
      </c>
      <c r="K478" s="45">
        <f t="shared" si="50"/>
        <v>1263</v>
      </c>
      <c r="L478" s="10">
        <v>12</v>
      </c>
      <c r="M478" s="10"/>
      <c r="N478" s="10" t="b">
        <v>1</v>
      </c>
      <c r="O478" s="41" t="s">
        <v>19</v>
      </c>
      <c r="P478" s="45">
        <f t="shared" si="51"/>
        <v>530.46</v>
      </c>
      <c r="Q478" s="45">
        <f t="shared" si="52"/>
        <v>732.54</v>
      </c>
      <c r="R478" s="45">
        <v>150</v>
      </c>
      <c r="S478" s="45">
        <f t="shared" si="53"/>
        <v>126.30000000000001</v>
      </c>
      <c r="T478" s="45">
        <f t="shared" si="54"/>
        <v>1263</v>
      </c>
      <c r="U478" s="47">
        <f t="shared" si="55"/>
        <v>-806.76</v>
      </c>
    </row>
    <row r="479" spans="1:21" x14ac:dyDescent="0.3">
      <c r="A479" s="41" t="str">
        <f t="shared" si="49"/>
        <v>PGAPAC</v>
      </c>
      <c r="B479" s="43">
        <v>45520</v>
      </c>
      <c r="C479" s="10" t="s">
        <v>521</v>
      </c>
      <c r="D479" s="10" t="s">
        <v>53</v>
      </c>
      <c r="E479" s="10" t="s">
        <v>15</v>
      </c>
      <c r="F479" s="10" t="s">
        <v>4</v>
      </c>
      <c r="G479" s="10" t="s">
        <v>7</v>
      </c>
      <c r="H479" s="10" t="s">
        <v>13</v>
      </c>
      <c r="I479" s="45">
        <v>351</v>
      </c>
      <c r="J479" s="11">
        <v>0</v>
      </c>
      <c r="K479" s="45">
        <f t="shared" si="50"/>
        <v>351</v>
      </c>
      <c r="L479" s="10">
        <v>38</v>
      </c>
      <c r="M479" s="10">
        <v>1.5</v>
      </c>
      <c r="N479" s="10" t="b">
        <v>0</v>
      </c>
      <c r="O479" s="41"/>
      <c r="P479" s="45">
        <f t="shared" si="51"/>
        <v>147.41999999999999</v>
      </c>
      <c r="Q479" s="45">
        <f t="shared" si="52"/>
        <v>203.58</v>
      </c>
      <c r="R479" s="45">
        <v>0</v>
      </c>
      <c r="S479" s="45">
        <f t="shared" si="53"/>
        <v>0</v>
      </c>
      <c r="T479" s="45">
        <f t="shared" si="54"/>
        <v>0</v>
      </c>
      <c r="U479" s="47">
        <f t="shared" si="55"/>
        <v>203.58</v>
      </c>
    </row>
    <row r="480" spans="1:21" x14ac:dyDescent="0.3">
      <c r="A480" s="41" t="str">
        <f t="shared" si="49"/>
        <v>PZARDR</v>
      </c>
      <c r="B480" s="43">
        <v>45520</v>
      </c>
      <c r="C480" s="10" t="s">
        <v>522</v>
      </c>
      <c r="D480" s="10" t="s">
        <v>3</v>
      </c>
      <c r="E480" s="10" t="s">
        <v>30</v>
      </c>
      <c r="F480" s="10" t="s">
        <v>11</v>
      </c>
      <c r="G480" s="10" t="s">
        <v>5</v>
      </c>
      <c r="H480" s="10" t="s">
        <v>6</v>
      </c>
      <c r="I480" s="45">
        <v>2210</v>
      </c>
      <c r="J480" s="11">
        <v>0.191</v>
      </c>
      <c r="K480" s="45">
        <f t="shared" si="50"/>
        <v>1787.8899999999999</v>
      </c>
      <c r="L480" s="10">
        <v>14</v>
      </c>
      <c r="M480" s="10"/>
      <c r="N480" s="10" t="b">
        <v>0</v>
      </c>
      <c r="O480" s="41"/>
      <c r="P480" s="45">
        <f t="shared" si="51"/>
        <v>750.91379999999992</v>
      </c>
      <c r="Q480" s="45">
        <f t="shared" si="52"/>
        <v>1036.9762000000001</v>
      </c>
      <c r="R480" s="45">
        <v>0</v>
      </c>
      <c r="S480" s="45">
        <f t="shared" si="53"/>
        <v>0</v>
      </c>
      <c r="T480" s="45">
        <f t="shared" si="54"/>
        <v>0</v>
      </c>
      <c r="U480" s="47">
        <f t="shared" si="55"/>
        <v>1036.9762000000001</v>
      </c>
    </row>
    <row r="481" spans="1:21" x14ac:dyDescent="0.3">
      <c r="A481" s="41" t="str">
        <f t="shared" si="49"/>
        <v>PMANSH</v>
      </c>
      <c r="B481" s="43">
        <v>45521</v>
      </c>
      <c r="C481" s="10" t="s">
        <v>523</v>
      </c>
      <c r="D481" s="10" t="s">
        <v>31</v>
      </c>
      <c r="E481" s="10" t="s">
        <v>18</v>
      </c>
      <c r="F481" s="10" t="s">
        <v>4</v>
      </c>
      <c r="G481" s="10" t="s">
        <v>46</v>
      </c>
      <c r="H481" s="10" t="s">
        <v>13</v>
      </c>
      <c r="I481" s="45">
        <v>3372</v>
      </c>
      <c r="J481" s="11">
        <v>0</v>
      </c>
      <c r="K481" s="45">
        <f t="shared" si="50"/>
        <v>3372</v>
      </c>
      <c r="L481" s="10">
        <v>44</v>
      </c>
      <c r="M481" s="10">
        <v>4</v>
      </c>
      <c r="N481" s="10" t="b">
        <v>0</v>
      </c>
      <c r="O481" s="41"/>
      <c r="P481" s="45">
        <f t="shared" si="51"/>
        <v>1416.24</v>
      </c>
      <c r="Q481" s="45">
        <f t="shared" si="52"/>
        <v>1955.76</v>
      </c>
      <c r="R481" s="45">
        <v>0</v>
      </c>
      <c r="S481" s="45">
        <f t="shared" si="53"/>
        <v>0</v>
      </c>
      <c r="T481" s="45">
        <f t="shared" si="54"/>
        <v>0</v>
      </c>
      <c r="U481" s="47">
        <f t="shared" si="55"/>
        <v>1955.76</v>
      </c>
    </row>
    <row r="482" spans="1:21" x14ac:dyDescent="0.3">
      <c r="A482" s="41" t="str">
        <f t="shared" si="49"/>
        <v>PBANSH</v>
      </c>
      <c r="B482" s="43">
        <v>45521</v>
      </c>
      <c r="C482" s="10" t="s">
        <v>524</v>
      </c>
      <c r="D482" s="10" t="s">
        <v>21</v>
      </c>
      <c r="E482" s="10" t="s">
        <v>18</v>
      </c>
      <c r="F482" s="10" t="s">
        <v>11</v>
      </c>
      <c r="G482" s="10" t="s">
        <v>27</v>
      </c>
      <c r="H482" s="10" t="s">
        <v>16</v>
      </c>
      <c r="I482" s="45">
        <v>3842</v>
      </c>
      <c r="J482" s="11">
        <v>0</v>
      </c>
      <c r="K482" s="45">
        <f t="shared" si="50"/>
        <v>3842</v>
      </c>
      <c r="L482" s="10">
        <v>15</v>
      </c>
      <c r="M482" s="10">
        <v>3.1</v>
      </c>
      <c r="N482" s="10" t="b">
        <v>1</v>
      </c>
      <c r="O482" s="41" t="s">
        <v>33</v>
      </c>
      <c r="P482" s="45">
        <f t="shared" si="51"/>
        <v>1613.6399999999999</v>
      </c>
      <c r="Q482" s="45">
        <f t="shared" si="52"/>
        <v>2228.36</v>
      </c>
      <c r="R482" s="45">
        <v>150</v>
      </c>
      <c r="S482" s="45">
        <f t="shared" si="53"/>
        <v>384.20000000000005</v>
      </c>
      <c r="T482" s="45">
        <f t="shared" si="54"/>
        <v>3842</v>
      </c>
      <c r="U482" s="47">
        <f t="shared" si="55"/>
        <v>-2147.84</v>
      </c>
    </row>
    <row r="483" spans="1:21" x14ac:dyDescent="0.3">
      <c r="A483" s="41" t="str">
        <f t="shared" si="49"/>
        <v>PH&amp;MDR</v>
      </c>
      <c r="B483" s="43">
        <v>45521</v>
      </c>
      <c r="C483" s="10" t="s">
        <v>525</v>
      </c>
      <c r="D483" s="10" t="s">
        <v>37</v>
      </c>
      <c r="E483" s="10" t="s">
        <v>30</v>
      </c>
      <c r="F483" s="10" t="s">
        <v>4</v>
      </c>
      <c r="G483" s="10" t="s">
        <v>27</v>
      </c>
      <c r="H483" s="10" t="s">
        <v>56</v>
      </c>
      <c r="I483" s="45">
        <v>1866</v>
      </c>
      <c r="J483" s="11">
        <v>0.3</v>
      </c>
      <c r="K483" s="45">
        <f t="shared" si="50"/>
        <v>1306.1999999999998</v>
      </c>
      <c r="L483" s="10">
        <v>39</v>
      </c>
      <c r="M483" s="10">
        <v>1.9</v>
      </c>
      <c r="N483" s="10" t="b">
        <v>0</v>
      </c>
      <c r="O483" s="41"/>
      <c r="P483" s="45">
        <f t="shared" si="51"/>
        <v>548.60399999999993</v>
      </c>
      <c r="Q483" s="45">
        <f t="shared" si="52"/>
        <v>757.59599999999989</v>
      </c>
      <c r="R483" s="45">
        <v>0</v>
      </c>
      <c r="S483" s="45">
        <f t="shared" si="53"/>
        <v>0</v>
      </c>
      <c r="T483" s="45">
        <f t="shared" si="54"/>
        <v>0</v>
      </c>
      <c r="U483" s="47">
        <f t="shared" si="55"/>
        <v>757.59599999999989</v>
      </c>
    </row>
    <row r="484" spans="1:21" x14ac:dyDescent="0.3">
      <c r="A484" s="41" t="str">
        <f t="shared" si="49"/>
        <v>PZARSH</v>
      </c>
      <c r="B484" s="43">
        <v>45521</v>
      </c>
      <c r="C484" s="10" t="s">
        <v>526</v>
      </c>
      <c r="D484" s="10" t="s">
        <v>3</v>
      </c>
      <c r="E484" s="10" t="s">
        <v>18</v>
      </c>
      <c r="F484" s="10" t="s">
        <v>54</v>
      </c>
      <c r="G484" s="10" t="s">
        <v>7</v>
      </c>
      <c r="H484" s="10" t="s">
        <v>47</v>
      </c>
      <c r="I484" s="45">
        <v>3834</v>
      </c>
      <c r="J484" s="11">
        <v>0</v>
      </c>
      <c r="K484" s="45">
        <f t="shared" si="50"/>
        <v>3834</v>
      </c>
      <c r="L484" s="10">
        <v>12</v>
      </c>
      <c r="M484" s="10">
        <v>4.7</v>
      </c>
      <c r="N484" s="10" t="b">
        <v>0</v>
      </c>
      <c r="O484" s="41"/>
      <c r="P484" s="45">
        <f t="shared" si="51"/>
        <v>1610.28</v>
      </c>
      <c r="Q484" s="45">
        <f t="shared" si="52"/>
        <v>2223.7200000000003</v>
      </c>
      <c r="R484" s="45">
        <v>0</v>
      </c>
      <c r="S484" s="45">
        <f t="shared" si="53"/>
        <v>0</v>
      </c>
      <c r="T484" s="45">
        <f t="shared" si="54"/>
        <v>0</v>
      </c>
      <c r="U484" s="47">
        <f t="shared" si="55"/>
        <v>2223.7200000000003</v>
      </c>
    </row>
    <row r="485" spans="1:21" x14ac:dyDescent="0.3">
      <c r="A485" s="41" t="str">
        <f t="shared" si="49"/>
        <v>PUNISH</v>
      </c>
      <c r="B485" s="43">
        <v>45521</v>
      </c>
      <c r="C485" s="10" t="s">
        <v>527</v>
      </c>
      <c r="D485" s="10" t="s">
        <v>10</v>
      </c>
      <c r="E485" s="10" t="s">
        <v>18</v>
      </c>
      <c r="F485" s="10" t="s">
        <v>4</v>
      </c>
      <c r="G485" s="10" t="s">
        <v>46</v>
      </c>
      <c r="H485" s="10" t="s">
        <v>32</v>
      </c>
      <c r="I485" s="45">
        <v>3363</v>
      </c>
      <c r="J485" s="11">
        <v>0</v>
      </c>
      <c r="K485" s="45">
        <f t="shared" si="50"/>
        <v>3363</v>
      </c>
      <c r="L485" s="10">
        <v>4</v>
      </c>
      <c r="M485" s="10">
        <v>3.5</v>
      </c>
      <c r="N485" s="10" t="b">
        <v>0</v>
      </c>
      <c r="O485" s="41"/>
      <c r="P485" s="45">
        <f t="shared" si="51"/>
        <v>1412.46</v>
      </c>
      <c r="Q485" s="45">
        <f t="shared" si="52"/>
        <v>1950.54</v>
      </c>
      <c r="R485" s="45">
        <v>0</v>
      </c>
      <c r="S485" s="45">
        <f t="shared" si="53"/>
        <v>0</v>
      </c>
      <c r="T485" s="45">
        <f t="shared" si="54"/>
        <v>0</v>
      </c>
      <c r="U485" s="47">
        <f t="shared" si="55"/>
        <v>1950.54</v>
      </c>
    </row>
    <row r="486" spans="1:21" x14ac:dyDescent="0.3">
      <c r="A486" s="41" t="str">
        <f t="shared" si="49"/>
        <v>PGAPTO</v>
      </c>
      <c r="B486" s="43">
        <v>45522</v>
      </c>
      <c r="C486" s="10" t="s">
        <v>528</v>
      </c>
      <c r="D486" s="10" t="s">
        <v>53</v>
      </c>
      <c r="E486" s="10" t="s">
        <v>9</v>
      </c>
      <c r="F486" s="10" t="s">
        <v>54</v>
      </c>
      <c r="G486" s="10" t="s">
        <v>27</v>
      </c>
      <c r="H486" s="10" t="s">
        <v>13</v>
      </c>
      <c r="I486" s="45">
        <v>1306</v>
      </c>
      <c r="J486" s="11">
        <v>0</v>
      </c>
      <c r="K486" s="45">
        <f t="shared" si="50"/>
        <v>1306</v>
      </c>
      <c r="L486" s="10">
        <v>2</v>
      </c>
      <c r="M486" s="10"/>
      <c r="N486" s="10" t="b">
        <v>0</v>
      </c>
      <c r="O486" s="41"/>
      <c r="P486" s="45">
        <f t="shared" si="51"/>
        <v>548.52</v>
      </c>
      <c r="Q486" s="45">
        <f t="shared" si="52"/>
        <v>757.48</v>
      </c>
      <c r="R486" s="45">
        <v>0</v>
      </c>
      <c r="S486" s="45">
        <f t="shared" si="53"/>
        <v>0</v>
      </c>
      <c r="T486" s="45">
        <f t="shared" si="54"/>
        <v>0</v>
      </c>
      <c r="U486" s="47">
        <f t="shared" si="55"/>
        <v>757.48</v>
      </c>
    </row>
    <row r="487" spans="1:21" x14ac:dyDescent="0.3">
      <c r="A487" s="41" t="str">
        <f t="shared" si="49"/>
        <v>PGAPAC</v>
      </c>
      <c r="B487" s="43">
        <v>45522</v>
      </c>
      <c r="C487" s="10" t="s">
        <v>529</v>
      </c>
      <c r="D487" s="10" t="s">
        <v>53</v>
      </c>
      <c r="E487" s="10" t="s">
        <v>15</v>
      </c>
      <c r="F487" s="10" t="s">
        <v>23</v>
      </c>
      <c r="G487" s="10" t="s">
        <v>7</v>
      </c>
      <c r="H487" s="10" t="s">
        <v>43</v>
      </c>
      <c r="I487" s="45">
        <v>383</v>
      </c>
      <c r="J487" s="11">
        <v>0.27600000000000002</v>
      </c>
      <c r="K487" s="45">
        <f t="shared" si="50"/>
        <v>277.29199999999997</v>
      </c>
      <c r="L487" s="10">
        <v>36</v>
      </c>
      <c r="M487" s="10"/>
      <c r="N487" s="10" t="b">
        <v>0</v>
      </c>
      <c r="O487" s="41"/>
      <c r="P487" s="45">
        <f t="shared" si="51"/>
        <v>116.46263999999998</v>
      </c>
      <c r="Q487" s="45">
        <f t="shared" si="52"/>
        <v>160.82936000000001</v>
      </c>
      <c r="R487" s="45">
        <v>0</v>
      </c>
      <c r="S487" s="45">
        <f t="shared" si="53"/>
        <v>0</v>
      </c>
      <c r="T487" s="45">
        <f t="shared" si="54"/>
        <v>0</v>
      </c>
      <c r="U487" s="47">
        <f t="shared" si="55"/>
        <v>160.82936000000001</v>
      </c>
    </row>
    <row r="488" spans="1:21" x14ac:dyDescent="0.3">
      <c r="A488" s="41" t="str">
        <f t="shared" si="49"/>
        <v>PBANSH</v>
      </c>
      <c r="B488" s="43">
        <v>45522</v>
      </c>
      <c r="C488" s="10" t="s">
        <v>530</v>
      </c>
      <c r="D488" s="10" t="s">
        <v>21</v>
      </c>
      <c r="E488" s="10" t="s">
        <v>18</v>
      </c>
      <c r="F488" s="10" t="s">
        <v>54</v>
      </c>
      <c r="G488" s="10" t="s">
        <v>5</v>
      </c>
      <c r="H488" s="10" t="s">
        <v>32</v>
      </c>
      <c r="I488" s="45">
        <v>4071</v>
      </c>
      <c r="J488" s="11">
        <v>0</v>
      </c>
      <c r="K488" s="45">
        <f t="shared" si="50"/>
        <v>4071</v>
      </c>
      <c r="L488" s="10">
        <v>17</v>
      </c>
      <c r="M488" s="10">
        <v>3.2</v>
      </c>
      <c r="N488" s="10" t="b">
        <v>0</v>
      </c>
      <c r="O488" s="41"/>
      <c r="P488" s="45">
        <f t="shared" si="51"/>
        <v>1709.82</v>
      </c>
      <c r="Q488" s="45">
        <f t="shared" si="52"/>
        <v>2361.1800000000003</v>
      </c>
      <c r="R488" s="45">
        <v>0</v>
      </c>
      <c r="S488" s="45">
        <f t="shared" si="53"/>
        <v>0</v>
      </c>
      <c r="T488" s="45">
        <f t="shared" si="54"/>
        <v>0</v>
      </c>
      <c r="U488" s="47">
        <f t="shared" si="55"/>
        <v>2361.1800000000003</v>
      </c>
    </row>
    <row r="489" spans="1:21" x14ac:dyDescent="0.3">
      <c r="A489" s="41" t="str">
        <f t="shared" si="49"/>
        <v>PUNIAC</v>
      </c>
      <c r="B489" s="43">
        <v>45522</v>
      </c>
      <c r="C489" s="10" t="s">
        <v>531</v>
      </c>
      <c r="D489" s="10" t="s">
        <v>10</v>
      </c>
      <c r="E489" s="10" t="s">
        <v>15</v>
      </c>
      <c r="F489" s="10" t="s">
        <v>23</v>
      </c>
      <c r="G489" s="10" t="s">
        <v>7</v>
      </c>
      <c r="H489" s="10" t="s">
        <v>28</v>
      </c>
      <c r="I489" s="45">
        <v>244</v>
      </c>
      <c r="J489" s="11">
        <v>0.377</v>
      </c>
      <c r="K489" s="45">
        <f t="shared" si="50"/>
        <v>152.012</v>
      </c>
      <c r="L489" s="10">
        <v>16</v>
      </c>
      <c r="M489" s="10">
        <v>3.1</v>
      </c>
      <c r="N489" s="10" t="b">
        <v>1</v>
      </c>
      <c r="O489" s="41" t="s">
        <v>44</v>
      </c>
      <c r="P489" s="45">
        <f t="shared" si="51"/>
        <v>63.845039999999997</v>
      </c>
      <c r="Q489" s="45">
        <f t="shared" si="52"/>
        <v>88.166960000000003</v>
      </c>
      <c r="R489" s="45">
        <v>150</v>
      </c>
      <c r="S489" s="45">
        <f t="shared" si="53"/>
        <v>15.2012</v>
      </c>
      <c r="T489" s="45">
        <f t="shared" si="54"/>
        <v>152.012</v>
      </c>
      <c r="U489" s="47">
        <f t="shared" si="55"/>
        <v>-229.04624000000001</v>
      </c>
    </row>
    <row r="490" spans="1:21" x14ac:dyDescent="0.3">
      <c r="A490" s="41" t="str">
        <f t="shared" si="49"/>
        <v>PBANOU</v>
      </c>
      <c r="B490" s="43">
        <v>45523</v>
      </c>
      <c r="C490" s="10" t="s">
        <v>532</v>
      </c>
      <c r="D490" s="10" t="s">
        <v>21</v>
      </c>
      <c r="E490" s="10" t="s">
        <v>2</v>
      </c>
      <c r="F490" s="10" t="s">
        <v>23</v>
      </c>
      <c r="G490" s="10" t="s">
        <v>7</v>
      </c>
      <c r="H490" s="10" t="s">
        <v>13</v>
      </c>
      <c r="I490" s="45">
        <v>4400</v>
      </c>
      <c r="J490" s="11">
        <v>6.3E-2</v>
      </c>
      <c r="K490" s="45">
        <f t="shared" si="50"/>
        <v>4122.8</v>
      </c>
      <c r="L490" s="10">
        <v>18</v>
      </c>
      <c r="M490" s="10">
        <v>1.9</v>
      </c>
      <c r="N490" s="10" t="b">
        <v>0</v>
      </c>
      <c r="O490" s="41"/>
      <c r="P490" s="45">
        <f t="shared" si="51"/>
        <v>1731.576</v>
      </c>
      <c r="Q490" s="45">
        <f t="shared" si="52"/>
        <v>2391.2240000000002</v>
      </c>
      <c r="R490" s="45">
        <v>0</v>
      </c>
      <c r="S490" s="45">
        <f t="shared" si="53"/>
        <v>0</v>
      </c>
      <c r="T490" s="45">
        <f t="shared" si="54"/>
        <v>0</v>
      </c>
      <c r="U490" s="47">
        <f t="shared" si="55"/>
        <v>2391.2240000000002</v>
      </c>
    </row>
    <row r="491" spans="1:21" x14ac:dyDescent="0.3">
      <c r="A491" s="41" t="str">
        <f t="shared" si="49"/>
        <v>PMANAC</v>
      </c>
      <c r="B491" s="43">
        <v>45523</v>
      </c>
      <c r="C491" s="10" t="s">
        <v>533</v>
      </c>
      <c r="D491" s="10" t="s">
        <v>31</v>
      </c>
      <c r="E491" s="10" t="s">
        <v>15</v>
      </c>
      <c r="F491" s="10" t="s">
        <v>54</v>
      </c>
      <c r="G491" s="10" t="s">
        <v>7</v>
      </c>
      <c r="H491" s="10" t="s">
        <v>32</v>
      </c>
      <c r="I491" s="45">
        <v>435</v>
      </c>
      <c r="J491" s="11">
        <v>0</v>
      </c>
      <c r="K491" s="45">
        <f t="shared" si="50"/>
        <v>435</v>
      </c>
      <c r="L491" s="10">
        <v>3</v>
      </c>
      <c r="M491" s="10">
        <v>1.4</v>
      </c>
      <c r="N491" s="10" t="b">
        <v>0</v>
      </c>
      <c r="O491" s="41"/>
      <c r="P491" s="45">
        <f t="shared" si="51"/>
        <v>182.7</v>
      </c>
      <c r="Q491" s="45">
        <f t="shared" si="52"/>
        <v>252.3</v>
      </c>
      <c r="R491" s="45">
        <v>0</v>
      </c>
      <c r="S491" s="45">
        <f t="shared" si="53"/>
        <v>0</v>
      </c>
      <c r="T491" s="45">
        <f t="shared" si="54"/>
        <v>0</v>
      </c>
      <c r="U491" s="47">
        <f t="shared" si="55"/>
        <v>252.3</v>
      </c>
    </row>
    <row r="492" spans="1:21" x14ac:dyDescent="0.3">
      <c r="A492" s="41" t="str">
        <f t="shared" si="49"/>
        <v>PZARDR</v>
      </c>
      <c r="B492" s="43">
        <v>45523</v>
      </c>
      <c r="C492" s="10" t="s">
        <v>534</v>
      </c>
      <c r="D492" s="10" t="s">
        <v>3</v>
      </c>
      <c r="E492" s="10" t="s">
        <v>30</v>
      </c>
      <c r="F492" s="10" t="s">
        <v>54</v>
      </c>
      <c r="G492" s="10" t="s">
        <v>49</v>
      </c>
      <c r="H492" s="10" t="s">
        <v>6</v>
      </c>
      <c r="I492" s="45">
        <v>2794</v>
      </c>
      <c r="J492" s="11">
        <v>0.33299999999999996</v>
      </c>
      <c r="K492" s="45">
        <f t="shared" si="50"/>
        <v>1863.5980000000002</v>
      </c>
      <c r="L492" s="10">
        <v>33</v>
      </c>
      <c r="M492" s="10">
        <v>2.8</v>
      </c>
      <c r="N492" s="10" t="b">
        <v>0</v>
      </c>
      <c r="O492" s="41"/>
      <c r="P492" s="45">
        <f t="shared" si="51"/>
        <v>782.71116000000006</v>
      </c>
      <c r="Q492" s="45">
        <f t="shared" si="52"/>
        <v>1080.8868400000001</v>
      </c>
      <c r="R492" s="45">
        <v>0</v>
      </c>
      <c r="S492" s="45">
        <f t="shared" si="53"/>
        <v>0</v>
      </c>
      <c r="T492" s="45">
        <f t="shared" si="54"/>
        <v>0</v>
      </c>
      <c r="U492" s="47">
        <f t="shared" si="55"/>
        <v>1080.8868400000001</v>
      </c>
    </row>
    <row r="493" spans="1:21" x14ac:dyDescent="0.3">
      <c r="A493" s="41" t="str">
        <f t="shared" si="49"/>
        <v>PGAPOU</v>
      </c>
      <c r="B493" s="43">
        <v>45523</v>
      </c>
      <c r="C493" s="10" t="s">
        <v>535</v>
      </c>
      <c r="D493" s="10" t="s">
        <v>53</v>
      </c>
      <c r="E493" s="10" t="s">
        <v>2</v>
      </c>
      <c r="F493" s="10" t="s">
        <v>11</v>
      </c>
      <c r="G493" s="10" t="s">
        <v>46</v>
      </c>
      <c r="H493" s="10" t="s">
        <v>58</v>
      </c>
      <c r="I493" s="45">
        <v>4385</v>
      </c>
      <c r="J493" s="11">
        <v>0.53</v>
      </c>
      <c r="K493" s="45">
        <f t="shared" si="50"/>
        <v>2060.9499999999998</v>
      </c>
      <c r="L493" s="10">
        <v>2</v>
      </c>
      <c r="M493" s="10">
        <v>4.5999999999999996</v>
      </c>
      <c r="N493" s="10" t="b">
        <v>1</v>
      </c>
      <c r="O493" s="41" t="s">
        <v>19</v>
      </c>
      <c r="P493" s="45">
        <f t="shared" si="51"/>
        <v>865.59899999999993</v>
      </c>
      <c r="Q493" s="45">
        <f t="shared" si="52"/>
        <v>1195.3509999999999</v>
      </c>
      <c r="R493" s="45">
        <v>150</v>
      </c>
      <c r="S493" s="45">
        <f t="shared" si="53"/>
        <v>206.095</v>
      </c>
      <c r="T493" s="45">
        <f t="shared" si="54"/>
        <v>2060.9499999999998</v>
      </c>
      <c r="U493" s="47">
        <f t="shared" si="55"/>
        <v>-1221.694</v>
      </c>
    </row>
    <row r="494" spans="1:21" x14ac:dyDescent="0.3">
      <c r="A494" s="41" t="str">
        <f t="shared" si="49"/>
        <v>PFORDR</v>
      </c>
      <c r="B494" s="43">
        <v>45524</v>
      </c>
      <c r="C494" s="10" t="s">
        <v>536</v>
      </c>
      <c r="D494" s="10" t="s">
        <v>65</v>
      </c>
      <c r="E494" s="10" t="s">
        <v>30</v>
      </c>
      <c r="F494" s="10" t="s">
        <v>54</v>
      </c>
      <c r="G494" s="10" t="s">
        <v>38</v>
      </c>
      <c r="H494" s="10" t="s">
        <v>43</v>
      </c>
      <c r="I494" s="45">
        <v>2871</v>
      </c>
      <c r="J494" s="11">
        <v>0</v>
      </c>
      <c r="K494" s="45">
        <f t="shared" si="50"/>
        <v>2871</v>
      </c>
      <c r="L494" s="10">
        <v>48</v>
      </c>
      <c r="M494" s="10">
        <v>4.9000000000000004</v>
      </c>
      <c r="N494" s="10" t="b">
        <v>0</v>
      </c>
      <c r="O494" s="41"/>
      <c r="P494" s="45">
        <f t="shared" si="51"/>
        <v>1205.82</v>
      </c>
      <c r="Q494" s="45">
        <f t="shared" si="52"/>
        <v>1665.18</v>
      </c>
      <c r="R494" s="45">
        <v>0</v>
      </c>
      <c r="S494" s="45">
        <f t="shared" si="53"/>
        <v>0</v>
      </c>
      <c r="T494" s="45">
        <f t="shared" si="54"/>
        <v>0</v>
      </c>
      <c r="U494" s="47">
        <f t="shared" si="55"/>
        <v>1665.18</v>
      </c>
    </row>
    <row r="495" spans="1:21" x14ac:dyDescent="0.3">
      <c r="A495" s="41" t="str">
        <f t="shared" si="49"/>
        <v>PBANOU</v>
      </c>
      <c r="B495" s="43">
        <v>45524</v>
      </c>
      <c r="C495" s="10" t="s">
        <v>537</v>
      </c>
      <c r="D495" s="10" t="s">
        <v>21</v>
      </c>
      <c r="E495" s="10" t="s">
        <v>2</v>
      </c>
      <c r="F495" s="10" t="s">
        <v>11</v>
      </c>
      <c r="G495" s="10" t="s">
        <v>46</v>
      </c>
      <c r="H495" s="10" t="s">
        <v>13</v>
      </c>
      <c r="I495" s="45">
        <v>4379</v>
      </c>
      <c r="J495" s="11">
        <v>0</v>
      </c>
      <c r="K495" s="45">
        <f t="shared" si="50"/>
        <v>4379</v>
      </c>
      <c r="L495" s="10">
        <v>38</v>
      </c>
      <c r="M495" s="10">
        <v>2.4</v>
      </c>
      <c r="N495" s="10" t="b">
        <v>0</v>
      </c>
      <c r="O495" s="41"/>
      <c r="P495" s="45">
        <f t="shared" si="51"/>
        <v>1839.1799999999998</v>
      </c>
      <c r="Q495" s="45">
        <f t="shared" si="52"/>
        <v>2539.8200000000002</v>
      </c>
      <c r="R495" s="45">
        <v>0</v>
      </c>
      <c r="S495" s="45">
        <f t="shared" si="53"/>
        <v>0</v>
      </c>
      <c r="T495" s="45">
        <f t="shared" si="54"/>
        <v>0</v>
      </c>
      <c r="U495" s="47">
        <f t="shared" si="55"/>
        <v>2539.8200000000002</v>
      </c>
    </row>
    <row r="496" spans="1:21" x14ac:dyDescent="0.3">
      <c r="A496" s="41" t="str">
        <f t="shared" si="49"/>
        <v>PZAROU</v>
      </c>
      <c r="B496" s="43">
        <v>45524</v>
      </c>
      <c r="C496" s="10" t="s">
        <v>538</v>
      </c>
      <c r="D496" s="10" t="s">
        <v>3</v>
      </c>
      <c r="E496" s="10" t="s">
        <v>2</v>
      </c>
      <c r="F496" s="10" t="s">
        <v>11</v>
      </c>
      <c r="G496" s="10" t="s">
        <v>38</v>
      </c>
      <c r="H496" s="10" t="s">
        <v>43</v>
      </c>
      <c r="I496" s="45">
        <v>3961</v>
      </c>
      <c r="J496" s="11">
        <v>0</v>
      </c>
      <c r="K496" s="45">
        <f t="shared" si="50"/>
        <v>3961</v>
      </c>
      <c r="L496" s="10">
        <v>43</v>
      </c>
      <c r="M496" s="10">
        <v>3.5</v>
      </c>
      <c r="N496" s="10" t="b">
        <v>1</v>
      </c>
      <c r="O496" s="41" t="s">
        <v>44</v>
      </c>
      <c r="P496" s="45">
        <f t="shared" si="51"/>
        <v>1663.62</v>
      </c>
      <c r="Q496" s="45">
        <f t="shared" si="52"/>
        <v>2297.38</v>
      </c>
      <c r="R496" s="45">
        <v>150</v>
      </c>
      <c r="S496" s="45">
        <f t="shared" si="53"/>
        <v>396.1</v>
      </c>
      <c r="T496" s="45">
        <f t="shared" si="54"/>
        <v>3961</v>
      </c>
      <c r="U496" s="47">
        <f t="shared" si="55"/>
        <v>-2209.7199999999998</v>
      </c>
    </row>
    <row r="497" spans="1:21" x14ac:dyDescent="0.3">
      <c r="A497" s="41" t="str">
        <f t="shared" si="49"/>
        <v>PANNTO</v>
      </c>
      <c r="B497" s="43">
        <v>45524</v>
      </c>
      <c r="C497" s="10" t="s">
        <v>539</v>
      </c>
      <c r="D497" s="10" t="s">
        <v>42</v>
      </c>
      <c r="E497" s="10" t="s">
        <v>9</v>
      </c>
      <c r="F497" s="10" t="s">
        <v>4</v>
      </c>
      <c r="G497" s="10" t="s">
        <v>7</v>
      </c>
      <c r="H497" s="10" t="s">
        <v>47</v>
      </c>
      <c r="I497" s="45">
        <v>1715</v>
      </c>
      <c r="J497" s="11">
        <v>0.33399999999999996</v>
      </c>
      <c r="K497" s="45">
        <f t="shared" si="50"/>
        <v>1142.19</v>
      </c>
      <c r="L497" s="10">
        <v>36</v>
      </c>
      <c r="M497" s="10">
        <v>3.4</v>
      </c>
      <c r="N497" s="10" t="b">
        <v>1</v>
      </c>
      <c r="O497" s="41" t="s">
        <v>44</v>
      </c>
      <c r="P497" s="45">
        <f t="shared" si="51"/>
        <v>479.71980000000002</v>
      </c>
      <c r="Q497" s="45">
        <f t="shared" si="52"/>
        <v>662.47019999999998</v>
      </c>
      <c r="R497" s="45">
        <v>150</v>
      </c>
      <c r="S497" s="45">
        <f t="shared" si="53"/>
        <v>114.21900000000001</v>
      </c>
      <c r="T497" s="45">
        <f t="shared" si="54"/>
        <v>1142.19</v>
      </c>
      <c r="U497" s="47">
        <f t="shared" si="55"/>
        <v>-743.93880000000013</v>
      </c>
    </row>
    <row r="498" spans="1:21" x14ac:dyDescent="0.3">
      <c r="A498" s="41" t="str">
        <f t="shared" si="49"/>
        <v>PANNOU</v>
      </c>
      <c r="B498" s="43">
        <v>45525</v>
      </c>
      <c r="C498" s="10" t="s">
        <v>540</v>
      </c>
      <c r="D498" s="10" t="s">
        <v>42</v>
      </c>
      <c r="E498" s="10" t="s">
        <v>2</v>
      </c>
      <c r="F498" s="10" t="s">
        <v>54</v>
      </c>
      <c r="G498" s="10" t="s">
        <v>12</v>
      </c>
      <c r="H498" s="10" t="s">
        <v>13</v>
      </c>
      <c r="I498" s="45">
        <v>3695</v>
      </c>
      <c r="J498" s="11">
        <v>0</v>
      </c>
      <c r="K498" s="45">
        <f t="shared" si="50"/>
        <v>3695</v>
      </c>
      <c r="L498" s="10">
        <v>43</v>
      </c>
      <c r="M498" s="10">
        <v>3.5</v>
      </c>
      <c r="N498" s="10" t="b">
        <v>1</v>
      </c>
      <c r="O498" s="41" t="s">
        <v>44</v>
      </c>
      <c r="P498" s="45">
        <f t="shared" si="51"/>
        <v>1551.8999999999999</v>
      </c>
      <c r="Q498" s="45">
        <f t="shared" si="52"/>
        <v>2143.1000000000004</v>
      </c>
      <c r="R498" s="45">
        <v>150</v>
      </c>
      <c r="S498" s="45">
        <f t="shared" si="53"/>
        <v>369.5</v>
      </c>
      <c r="T498" s="45">
        <f t="shared" si="54"/>
        <v>3695</v>
      </c>
      <c r="U498" s="47">
        <f t="shared" si="55"/>
        <v>-2071.3999999999996</v>
      </c>
    </row>
    <row r="499" spans="1:21" x14ac:dyDescent="0.3">
      <c r="A499" s="41" t="str">
        <f t="shared" si="49"/>
        <v>PFORBO</v>
      </c>
      <c r="B499" s="43">
        <v>45525</v>
      </c>
      <c r="C499" s="10" t="s">
        <v>541</v>
      </c>
      <c r="D499" s="10" t="s">
        <v>65</v>
      </c>
      <c r="E499" s="10" t="s">
        <v>26</v>
      </c>
      <c r="F499" s="10" t="s">
        <v>23</v>
      </c>
      <c r="G499" s="10" t="s">
        <v>38</v>
      </c>
      <c r="H499" s="10" t="s">
        <v>35</v>
      </c>
      <c r="I499" s="45">
        <v>2759</v>
      </c>
      <c r="J499" s="11">
        <v>0.38799999999999996</v>
      </c>
      <c r="K499" s="45">
        <f t="shared" si="50"/>
        <v>1688.5080000000003</v>
      </c>
      <c r="L499" s="10">
        <v>46</v>
      </c>
      <c r="M499" s="10">
        <v>1.7</v>
      </c>
      <c r="N499" s="10" t="b">
        <v>0</v>
      </c>
      <c r="O499" s="41"/>
      <c r="P499" s="45">
        <f t="shared" si="51"/>
        <v>709.17336000000012</v>
      </c>
      <c r="Q499" s="45">
        <f t="shared" si="52"/>
        <v>979.33464000000015</v>
      </c>
      <c r="R499" s="45">
        <v>0</v>
      </c>
      <c r="S499" s="45">
        <f t="shared" si="53"/>
        <v>0</v>
      </c>
      <c r="T499" s="45">
        <f t="shared" si="54"/>
        <v>0</v>
      </c>
      <c r="U499" s="47">
        <f t="shared" si="55"/>
        <v>979.33464000000015</v>
      </c>
    </row>
    <row r="500" spans="1:21" x14ac:dyDescent="0.3">
      <c r="A500" s="41" t="str">
        <f t="shared" si="49"/>
        <v>PH&amp;MBO</v>
      </c>
      <c r="B500" s="43">
        <v>45525</v>
      </c>
      <c r="C500" s="10" t="s">
        <v>542</v>
      </c>
      <c r="D500" s="10" t="s">
        <v>37</v>
      </c>
      <c r="E500" s="10" t="s">
        <v>26</v>
      </c>
      <c r="F500" s="10" t="s">
        <v>4</v>
      </c>
      <c r="G500" s="10" t="s">
        <v>49</v>
      </c>
      <c r="H500" s="10" t="s">
        <v>58</v>
      </c>
      <c r="I500" s="45">
        <v>2927</v>
      </c>
      <c r="J500" s="11">
        <v>0.38100000000000001</v>
      </c>
      <c r="K500" s="45">
        <f t="shared" si="50"/>
        <v>1811.8129999999999</v>
      </c>
      <c r="L500" s="10">
        <v>50</v>
      </c>
      <c r="M500" s="10">
        <v>1.2</v>
      </c>
      <c r="N500" s="10" t="b">
        <v>1</v>
      </c>
      <c r="O500" s="41" t="s">
        <v>50</v>
      </c>
      <c r="P500" s="45">
        <f t="shared" si="51"/>
        <v>760.96145999999987</v>
      </c>
      <c r="Q500" s="45">
        <f t="shared" si="52"/>
        <v>1050.8515400000001</v>
      </c>
      <c r="R500" s="45">
        <v>150</v>
      </c>
      <c r="S500" s="45">
        <f t="shared" si="53"/>
        <v>181.18129999999999</v>
      </c>
      <c r="T500" s="45">
        <f t="shared" si="54"/>
        <v>1811.8129999999999</v>
      </c>
      <c r="U500" s="47">
        <f t="shared" si="55"/>
        <v>-1092.1427599999997</v>
      </c>
    </row>
    <row r="501" spans="1:21" x14ac:dyDescent="0.3">
      <c r="A501" s="41" t="str">
        <f t="shared" si="49"/>
        <v>PGAPOU</v>
      </c>
      <c r="B501" s="43">
        <v>45525</v>
      </c>
      <c r="C501" s="10" t="s">
        <v>543</v>
      </c>
      <c r="D501" s="10" t="s">
        <v>53</v>
      </c>
      <c r="E501" s="10" t="s">
        <v>2</v>
      </c>
      <c r="F501" s="10" t="s">
        <v>11</v>
      </c>
      <c r="G501" s="10" t="s">
        <v>27</v>
      </c>
      <c r="H501" s="10" t="s">
        <v>35</v>
      </c>
      <c r="I501" s="45">
        <v>3790</v>
      </c>
      <c r="J501" s="11">
        <v>0</v>
      </c>
      <c r="K501" s="45">
        <f t="shared" si="50"/>
        <v>3790</v>
      </c>
      <c r="L501" s="10">
        <v>33</v>
      </c>
      <c r="M501" s="10">
        <v>3.1</v>
      </c>
      <c r="N501" s="10" t="b">
        <v>1</v>
      </c>
      <c r="O501" s="41" t="s">
        <v>44</v>
      </c>
      <c r="P501" s="45">
        <f t="shared" si="51"/>
        <v>1591.8</v>
      </c>
      <c r="Q501" s="45">
        <f t="shared" si="52"/>
        <v>2198.1999999999998</v>
      </c>
      <c r="R501" s="45">
        <v>150</v>
      </c>
      <c r="S501" s="45">
        <f t="shared" si="53"/>
        <v>379</v>
      </c>
      <c r="T501" s="45">
        <f t="shared" si="54"/>
        <v>3790</v>
      </c>
      <c r="U501" s="47">
        <f t="shared" si="55"/>
        <v>-2120.8000000000002</v>
      </c>
    </row>
    <row r="502" spans="1:21" x14ac:dyDescent="0.3">
      <c r="A502" s="41" t="str">
        <f t="shared" si="49"/>
        <v>PFORBO</v>
      </c>
      <c r="B502" s="43">
        <v>45526</v>
      </c>
      <c r="C502" s="10" t="s">
        <v>544</v>
      </c>
      <c r="D502" s="10" t="s">
        <v>65</v>
      </c>
      <c r="E502" s="10" t="s">
        <v>26</v>
      </c>
      <c r="F502" s="10" t="s">
        <v>4</v>
      </c>
      <c r="G502" s="10" t="s">
        <v>12</v>
      </c>
      <c r="H502" s="10" t="s">
        <v>43</v>
      </c>
      <c r="I502" s="45">
        <v>2426</v>
      </c>
      <c r="J502" s="11">
        <v>0</v>
      </c>
      <c r="K502" s="45">
        <f t="shared" si="50"/>
        <v>2426</v>
      </c>
      <c r="L502" s="10">
        <v>29</v>
      </c>
      <c r="M502" s="10"/>
      <c r="N502" s="10" t="b">
        <v>1</v>
      </c>
      <c r="O502" s="41" t="s">
        <v>44</v>
      </c>
      <c r="P502" s="45">
        <f t="shared" si="51"/>
        <v>1018.92</v>
      </c>
      <c r="Q502" s="45">
        <f t="shared" si="52"/>
        <v>1407.08</v>
      </c>
      <c r="R502" s="45">
        <v>150</v>
      </c>
      <c r="S502" s="45">
        <f t="shared" si="53"/>
        <v>242.60000000000002</v>
      </c>
      <c r="T502" s="45">
        <f t="shared" si="54"/>
        <v>2426</v>
      </c>
      <c r="U502" s="47">
        <f t="shared" si="55"/>
        <v>-1411.52</v>
      </c>
    </row>
    <row r="503" spans="1:21" x14ac:dyDescent="0.3">
      <c r="A503" s="41" t="str">
        <f t="shared" si="49"/>
        <v>PGAPOU</v>
      </c>
      <c r="B503" s="43">
        <v>45526</v>
      </c>
      <c r="C503" s="10" t="s">
        <v>545</v>
      </c>
      <c r="D503" s="10" t="s">
        <v>53</v>
      </c>
      <c r="E503" s="10" t="s">
        <v>2</v>
      </c>
      <c r="F503" s="10" t="s">
        <v>54</v>
      </c>
      <c r="G503" s="10" t="s">
        <v>38</v>
      </c>
      <c r="H503" s="10" t="s">
        <v>43</v>
      </c>
      <c r="I503" s="45">
        <v>3556</v>
      </c>
      <c r="J503" s="11">
        <v>0</v>
      </c>
      <c r="K503" s="45">
        <f t="shared" si="50"/>
        <v>3556</v>
      </c>
      <c r="L503" s="10">
        <v>1</v>
      </c>
      <c r="M503" s="10">
        <v>2.5</v>
      </c>
      <c r="N503" s="10" t="b">
        <v>0</v>
      </c>
      <c r="O503" s="41"/>
      <c r="P503" s="45">
        <f t="shared" si="51"/>
        <v>1493.52</v>
      </c>
      <c r="Q503" s="45">
        <f t="shared" si="52"/>
        <v>2062.48</v>
      </c>
      <c r="R503" s="45">
        <v>0</v>
      </c>
      <c r="S503" s="45">
        <f t="shared" si="53"/>
        <v>0</v>
      </c>
      <c r="T503" s="45">
        <f t="shared" si="54"/>
        <v>0</v>
      </c>
      <c r="U503" s="47">
        <f t="shared" si="55"/>
        <v>2062.48</v>
      </c>
    </row>
    <row r="504" spans="1:21" x14ac:dyDescent="0.3">
      <c r="A504" s="41" t="str">
        <f t="shared" si="49"/>
        <v>PGAPBO</v>
      </c>
      <c r="B504" s="43">
        <v>45526</v>
      </c>
      <c r="C504" s="10" t="s">
        <v>546</v>
      </c>
      <c r="D504" s="10" t="s">
        <v>53</v>
      </c>
      <c r="E504" s="10" t="s">
        <v>26</v>
      </c>
      <c r="F504" s="10" t="s">
        <v>23</v>
      </c>
      <c r="G504" s="10" t="s">
        <v>5</v>
      </c>
      <c r="H504" s="10" t="s">
        <v>56</v>
      </c>
      <c r="I504" s="45">
        <v>2059</v>
      </c>
      <c r="J504" s="11">
        <v>0</v>
      </c>
      <c r="K504" s="45">
        <f t="shared" si="50"/>
        <v>2059</v>
      </c>
      <c r="L504" s="10">
        <v>13</v>
      </c>
      <c r="M504" s="10">
        <v>2.4</v>
      </c>
      <c r="N504" s="10" t="b">
        <v>0</v>
      </c>
      <c r="O504" s="41"/>
      <c r="P504" s="45">
        <f t="shared" si="51"/>
        <v>864.78</v>
      </c>
      <c r="Q504" s="45">
        <f t="shared" si="52"/>
        <v>1194.22</v>
      </c>
      <c r="R504" s="45">
        <v>0</v>
      </c>
      <c r="S504" s="45">
        <f t="shared" si="53"/>
        <v>0</v>
      </c>
      <c r="T504" s="45">
        <f t="shared" si="54"/>
        <v>0</v>
      </c>
      <c r="U504" s="47">
        <f t="shared" si="55"/>
        <v>1194.22</v>
      </c>
    </row>
    <row r="505" spans="1:21" x14ac:dyDescent="0.3">
      <c r="A505" s="41" t="str">
        <f t="shared" si="49"/>
        <v>PMANDR</v>
      </c>
      <c r="B505" s="43">
        <v>45526</v>
      </c>
      <c r="C505" s="10" t="s">
        <v>547</v>
      </c>
      <c r="D505" s="10" t="s">
        <v>31</v>
      </c>
      <c r="E505" s="10" t="s">
        <v>30</v>
      </c>
      <c r="F505" s="10" t="s">
        <v>23</v>
      </c>
      <c r="G505" s="10" t="s">
        <v>38</v>
      </c>
      <c r="H505" s="10" t="s">
        <v>43</v>
      </c>
      <c r="I505" s="45">
        <v>2919</v>
      </c>
      <c r="J505" s="11">
        <v>0.03</v>
      </c>
      <c r="K505" s="45">
        <f t="shared" si="50"/>
        <v>2831.43</v>
      </c>
      <c r="L505" s="10">
        <v>45</v>
      </c>
      <c r="M505" s="10">
        <v>1.4</v>
      </c>
      <c r="N505" s="10" t="b">
        <v>1</v>
      </c>
      <c r="O505" s="41" t="s">
        <v>44</v>
      </c>
      <c r="P505" s="45">
        <f t="shared" si="51"/>
        <v>1189.2005999999999</v>
      </c>
      <c r="Q505" s="45">
        <f t="shared" si="52"/>
        <v>1642.2293999999999</v>
      </c>
      <c r="R505" s="45">
        <v>150</v>
      </c>
      <c r="S505" s="45">
        <f t="shared" si="53"/>
        <v>283.14299999999997</v>
      </c>
      <c r="T505" s="45">
        <f t="shared" si="54"/>
        <v>2831.43</v>
      </c>
      <c r="U505" s="47">
        <f t="shared" si="55"/>
        <v>-1622.3435999999999</v>
      </c>
    </row>
    <row r="506" spans="1:21" x14ac:dyDescent="0.3">
      <c r="A506" s="41" t="str">
        <f t="shared" si="49"/>
        <v>PANNDR</v>
      </c>
      <c r="B506" s="43">
        <v>45527</v>
      </c>
      <c r="C506" s="10" t="s">
        <v>548</v>
      </c>
      <c r="D506" s="10" t="s">
        <v>42</v>
      </c>
      <c r="E506" s="10" t="s">
        <v>30</v>
      </c>
      <c r="F506" s="10" t="s">
        <v>11</v>
      </c>
      <c r="G506" s="10" t="s">
        <v>5</v>
      </c>
      <c r="H506" s="10" t="s">
        <v>35</v>
      </c>
      <c r="I506" s="45">
        <v>2490</v>
      </c>
      <c r="J506" s="11">
        <v>5.9000000000000004E-2</v>
      </c>
      <c r="K506" s="45">
        <f t="shared" si="50"/>
        <v>2343.0899999999997</v>
      </c>
      <c r="L506" s="10">
        <v>47</v>
      </c>
      <c r="M506" s="10"/>
      <c r="N506" s="10" t="b">
        <v>0</v>
      </c>
      <c r="O506" s="41"/>
      <c r="P506" s="45">
        <f t="shared" si="51"/>
        <v>984.09779999999978</v>
      </c>
      <c r="Q506" s="45">
        <f t="shared" si="52"/>
        <v>1358.9921999999999</v>
      </c>
      <c r="R506" s="45">
        <v>0</v>
      </c>
      <c r="S506" s="45">
        <f t="shared" si="53"/>
        <v>0</v>
      </c>
      <c r="T506" s="45">
        <f t="shared" si="54"/>
        <v>0</v>
      </c>
      <c r="U506" s="47">
        <f t="shared" si="55"/>
        <v>1358.9921999999999</v>
      </c>
    </row>
    <row r="507" spans="1:21" x14ac:dyDescent="0.3">
      <c r="A507" s="41" t="str">
        <f t="shared" si="49"/>
        <v>PZARAC</v>
      </c>
      <c r="B507" s="43">
        <v>45527</v>
      </c>
      <c r="C507" s="10" t="s">
        <v>549</v>
      </c>
      <c r="D507" s="10" t="s">
        <v>3</v>
      </c>
      <c r="E507" s="10" t="s">
        <v>15</v>
      </c>
      <c r="F507" s="10" t="s">
        <v>54</v>
      </c>
      <c r="G507" s="10" t="s">
        <v>7</v>
      </c>
      <c r="H507" s="10" t="s">
        <v>28</v>
      </c>
      <c r="I507" s="45">
        <v>385</v>
      </c>
      <c r="J507" s="11">
        <v>0</v>
      </c>
      <c r="K507" s="45">
        <f t="shared" si="50"/>
        <v>385</v>
      </c>
      <c r="L507" s="10">
        <v>43</v>
      </c>
      <c r="M507" s="10">
        <v>3</v>
      </c>
      <c r="N507" s="10" t="b">
        <v>0</v>
      </c>
      <c r="O507" s="41"/>
      <c r="P507" s="45">
        <f t="shared" si="51"/>
        <v>161.69999999999999</v>
      </c>
      <c r="Q507" s="45">
        <f t="shared" si="52"/>
        <v>223.3</v>
      </c>
      <c r="R507" s="45">
        <v>0</v>
      </c>
      <c r="S507" s="45">
        <f t="shared" si="53"/>
        <v>0</v>
      </c>
      <c r="T507" s="45">
        <f t="shared" si="54"/>
        <v>0</v>
      </c>
      <c r="U507" s="47">
        <f t="shared" si="55"/>
        <v>223.3</v>
      </c>
    </row>
    <row r="508" spans="1:21" x14ac:dyDescent="0.3">
      <c r="A508" s="41" t="str">
        <f t="shared" si="49"/>
        <v>PBANBO</v>
      </c>
      <c r="B508" s="43">
        <v>45527</v>
      </c>
      <c r="C508" s="10" t="s">
        <v>550</v>
      </c>
      <c r="D508" s="10" t="s">
        <v>21</v>
      </c>
      <c r="E508" s="10" t="s">
        <v>26</v>
      </c>
      <c r="F508" s="10" t="s">
        <v>4</v>
      </c>
      <c r="G508" s="10" t="s">
        <v>49</v>
      </c>
      <c r="H508" s="10" t="s">
        <v>28</v>
      </c>
      <c r="I508" s="45">
        <v>2423</v>
      </c>
      <c r="J508" s="11">
        <v>0</v>
      </c>
      <c r="K508" s="45">
        <f t="shared" si="50"/>
        <v>2423</v>
      </c>
      <c r="L508" s="10">
        <v>18</v>
      </c>
      <c r="M508" s="10">
        <v>3.7</v>
      </c>
      <c r="N508" s="10" t="b">
        <v>1</v>
      </c>
      <c r="O508" s="41" t="s">
        <v>33</v>
      </c>
      <c r="P508" s="45">
        <f t="shared" si="51"/>
        <v>1017.66</v>
      </c>
      <c r="Q508" s="45">
        <f t="shared" si="52"/>
        <v>1405.3400000000001</v>
      </c>
      <c r="R508" s="45">
        <v>150</v>
      </c>
      <c r="S508" s="45">
        <f t="shared" si="53"/>
        <v>242.3</v>
      </c>
      <c r="T508" s="45">
        <f t="shared" si="54"/>
        <v>2423</v>
      </c>
      <c r="U508" s="47">
        <f t="shared" si="55"/>
        <v>-1409.9599999999998</v>
      </c>
    </row>
    <row r="509" spans="1:21" x14ac:dyDescent="0.3">
      <c r="A509" s="41" t="str">
        <f t="shared" si="49"/>
        <v>PH&amp;MAC</v>
      </c>
      <c r="B509" s="43">
        <v>45528</v>
      </c>
      <c r="C509" s="10" t="s">
        <v>551</v>
      </c>
      <c r="D509" s="10" t="s">
        <v>37</v>
      </c>
      <c r="E509" s="10" t="s">
        <v>15</v>
      </c>
      <c r="F509" s="10" t="s">
        <v>54</v>
      </c>
      <c r="G509" s="10" t="s">
        <v>7</v>
      </c>
      <c r="H509" s="10" t="s">
        <v>88</v>
      </c>
      <c r="I509" s="45">
        <v>289</v>
      </c>
      <c r="J509" s="11">
        <v>0</v>
      </c>
      <c r="K509" s="45">
        <f t="shared" si="50"/>
        <v>289</v>
      </c>
      <c r="L509" s="10">
        <v>2</v>
      </c>
      <c r="M509" s="10">
        <v>2</v>
      </c>
      <c r="N509" s="10" t="b">
        <v>0</v>
      </c>
      <c r="O509" s="41"/>
      <c r="P509" s="45">
        <f t="shared" si="51"/>
        <v>121.38</v>
      </c>
      <c r="Q509" s="45">
        <f t="shared" si="52"/>
        <v>167.62</v>
      </c>
      <c r="R509" s="45">
        <v>0</v>
      </c>
      <c r="S509" s="45">
        <f t="shared" si="53"/>
        <v>0</v>
      </c>
      <c r="T509" s="45">
        <f t="shared" si="54"/>
        <v>0</v>
      </c>
      <c r="U509" s="47">
        <f t="shared" si="55"/>
        <v>167.62</v>
      </c>
    </row>
    <row r="510" spans="1:21" x14ac:dyDescent="0.3">
      <c r="A510" s="41" t="str">
        <f t="shared" si="49"/>
        <v>PMANBO</v>
      </c>
      <c r="B510" s="43">
        <v>45528</v>
      </c>
      <c r="C510" s="10" t="s">
        <v>552</v>
      </c>
      <c r="D510" s="10" t="s">
        <v>31</v>
      </c>
      <c r="E510" s="10" t="s">
        <v>26</v>
      </c>
      <c r="F510" s="10" t="s">
        <v>4</v>
      </c>
      <c r="G510" s="10" t="s">
        <v>5</v>
      </c>
      <c r="H510" s="10" t="s">
        <v>58</v>
      </c>
      <c r="I510" s="45">
        <v>2064</v>
      </c>
      <c r="J510" s="11">
        <v>0</v>
      </c>
      <c r="K510" s="45">
        <f t="shared" si="50"/>
        <v>2064</v>
      </c>
      <c r="L510" s="10">
        <v>33</v>
      </c>
      <c r="M510" s="10">
        <v>4.5</v>
      </c>
      <c r="N510" s="10" t="b">
        <v>1</v>
      </c>
      <c r="O510" s="41" t="s">
        <v>44</v>
      </c>
      <c r="P510" s="45">
        <f t="shared" si="51"/>
        <v>866.88</v>
      </c>
      <c r="Q510" s="45">
        <f t="shared" si="52"/>
        <v>1197.1199999999999</v>
      </c>
      <c r="R510" s="45">
        <v>150</v>
      </c>
      <c r="S510" s="45">
        <f t="shared" si="53"/>
        <v>206.4</v>
      </c>
      <c r="T510" s="45">
        <f t="shared" si="54"/>
        <v>2064</v>
      </c>
      <c r="U510" s="47">
        <f t="shared" si="55"/>
        <v>-1223.2800000000002</v>
      </c>
    </row>
    <row r="511" spans="1:21" x14ac:dyDescent="0.3">
      <c r="A511" s="41" t="str">
        <f t="shared" si="49"/>
        <v>PBANDR</v>
      </c>
      <c r="B511" s="43">
        <v>45528</v>
      </c>
      <c r="C511" s="10" t="s">
        <v>553</v>
      </c>
      <c r="D511" s="10" t="s">
        <v>21</v>
      </c>
      <c r="E511" s="10" t="s">
        <v>30</v>
      </c>
      <c r="F511" s="10" t="s">
        <v>54</v>
      </c>
      <c r="G511" s="10" t="s">
        <v>5</v>
      </c>
      <c r="H511" s="10" t="s">
        <v>58</v>
      </c>
      <c r="I511" s="45">
        <v>2411</v>
      </c>
      <c r="J511" s="11">
        <v>0</v>
      </c>
      <c r="K511" s="45">
        <f t="shared" si="50"/>
        <v>2411</v>
      </c>
      <c r="L511" s="10">
        <v>16</v>
      </c>
      <c r="M511" s="10"/>
      <c r="N511" s="10" t="b">
        <v>0</v>
      </c>
      <c r="O511" s="41"/>
      <c r="P511" s="45">
        <f t="shared" si="51"/>
        <v>1012.62</v>
      </c>
      <c r="Q511" s="45">
        <f t="shared" si="52"/>
        <v>1398.38</v>
      </c>
      <c r="R511" s="45">
        <v>0</v>
      </c>
      <c r="S511" s="45">
        <f t="shared" si="53"/>
        <v>0</v>
      </c>
      <c r="T511" s="45">
        <f t="shared" si="54"/>
        <v>0</v>
      </c>
      <c r="U511" s="47">
        <f t="shared" si="55"/>
        <v>1398.38</v>
      </c>
    </row>
    <row r="512" spans="1:21" x14ac:dyDescent="0.3">
      <c r="A512" s="41" t="str">
        <f t="shared" si="49"/>
        <v>PZARSH</v>
      </c>
      <c r="B512" s="43">
        <v>45528</v>
      </c>
      <c r="C512" s="10" t="s">
        <v>554</v>
      </c>
      <c r="D512" s="10" t="s">
        <v>3</v>
      </c>
      <c r="E512" s="10" t="s">
        <v>18</v>
      </c>
      <c r="F512" s="10" t="s">
        <v>23</v>
      </c>
      <c r="G512" s="10" t="s">
        <v>46</v>
      </c>
      <c r="H512" s="10" t="s">
        <v>35</v>
      </c>
      <c r="I512" s="45">
        <v>3487</v>
      </c>
      <c r="J512" s="11">
        <v>0.318</v>
      </c>
      <c r="K512" s="45">
        <f t="shared" si="50"/>
        <v>2378.134</v>
      </c>
      <c r="L512" s="10">
        <v>9</v>
      </c>
      <c r="M512" s="10">
        <v>4.5999999999999996</v>
      </c>
      <c r="N512" s="10" t="b">
        <v>0</v>
      </c>
      <c r="O512" s="41"/>
      <c r="P512" s="45">
        <f t="shared" si="51"/>
        <v>998.81628000000001</v>
      </c>
      <c r="Q512" s="45">
        <f t="shared" si="52"/>
        <v>1379.31772</v>
      </c>
      <c r="R512" s="45">
        <v>0</v>
      </c>
      <c r="S512" s="45">
        <f t="shared" si="53"/>
        <v>0</v>
      </c>
      <c r="T512" s="45">
        <f t="shared" si="54"/>
        <v>0</v>
      </c>
      <c r="U512" s="47">
        <f t="shared" si="55"/>
        <v>1379.31772</v>
      </c>
    </row>
    <row r="513" spans="1:21" x14ac:dyDescent="0.3">
      <c r="A513" s="41" t="str">
        <f t="shared" si="49"/>
        <v>PANNAC</v>
      </c>
      <c r="B513" s="43">
        <v>45529</v>
      </c>
      <c r="C513" s="10" t="s">
        <v>555</v>
      </c>
      <c r="D513" s="10" t="s">
        <v>42</v>
      </c>
      <c r="E513" s="10" t="s">
        <v>15</v>
      </c>
      <c r="F513" s="10" t="s">
        <v>11</v>
      </c>
      <c r="G513" s="10" t="s">
        <v>7</v>
      </c>
      <c r="H513" s="10" t="s">
        <v>7</v>
      </c>
      <c r="I513" s="45">
        <v>410</v>
      </c>
      <c r="J513" s="11">
        <v>0</v>
      </c>
      <c r="K513" s="45">
        <f t="shared" si="50"/>
        <v>410</v>
      </c>
      <c r="L513" s="10">
        <v>42</v>
      </c>
      <c r="M513" s="10">
        <v>4.5</v>
      </c>
      <c r="N513" s="10" t="b">
        <v>0</v>
      </c>
      <c r="O513" s="41"/>
      <c r="P513" s="45">
        <f t="shared" si="51"/>
        <v>172.2</v>
      </c>
      <c r="Q513" s="45">
        <f t="shared" si="52"/>
        <v>237.8</v>
      </c>
      <c r="R513" s="45">
        <v>0</v>
      </c>
      <c r="S513" s="45">
        <f t="shared" si="53"/>
        <v>0</v>
      </c>
      <c r="T513" s="45">
        <f t="shared" si="54"/>
        <v>0</v>
      </c>
      <c r="U513" s="47">
        <f t="shared" si="55"/>
        <v>237.8</v>
      </c>
    </row>
    <row r="514" spans="1:21" x14ac:dyDescent="0.3">
      <c r="A514" s="41" t="str">
        <f t="shared" ref="A514:A577" si="56">UPPER("P"&amp;LEFT(D514,3)&amp;LEFT(E514,2))</f>
        <v>PH&amp;MDR</v>
      </c>
      <c r="B514" s="43">
        <v>45529</v>
      </c>
      <c r="C514" s="10" t="s">
        <v>556</v>
      </c>
      <c r="D514" s="10" t="s">
        <v>37</v>
      </c>
      <c r="E514" s="10" t="s">
        <v>30</v>
      </c>
      <c r="F514" s="10" t="s">
        <v>54</v>
      </c>
      <c r="G514" s="10" t="s">
        <v>49</v>
      </c>
      <c r="H514" s="10" t="s">
        <v>56</v>
      </c>
      <c r="I514" s="45">
        <v>2581</v>
      </c>
      <c r="J514" s="11">
        <v>0</v>
      </c>
      <c r="K514" s="45">
        <f t="shared" si="50"/>
        <v>2581</v>
      </c>
      <c r="L514" s="10">
        <v>6</v>
      </c>
      <c r="M514" s="10">
        <v>4.5999999999999996</v>
      </c>
      <c r="N514" s="10" t="b">
        <v>0</v>
      </c>
      <c r="O514" s="41"/>
      <c r="P514" s="45">
        <f t="shared" si="51"/>
        <v>1084.02</v>
      </c>
      <c r="Q514" s="45">
        <f t="shared" si="52"/>
        <v>1496.98</v>
      </c>
      <c r="R514" s="45">
        <v>0</v>
      </c>
      <c r="S514" s="45">
        <f t="shared" si="53"/>
        <v>0</v>
      </c>
      <c r="T514" s="45">
        <f t="shared" si="54"/>
        <v>0</v>
      </c>
      <c r="U514" s="47">
        <f t="shared" si="55"/>
        <v>1496.98</v>
      </c>
    </row>
    <row r="515" spans="1:21" x14ac:dyDescent="0.3">
      <c r="A515" s="41" t="str">
        <f t="shared" si="56"/>
        <v>PBANAC</v>
      </c>
      <c r="B515" s="43">
        <v>45529</v>
      </c>
      <c r="C515" s="10" t="s">
        <v>557</v>
      </c>
      <c r="D515" s="10" t="s">
        <v>21</v>
      </c>
      <c r="E515" s="10" t="s">
        <v>15</v>
      </c>
      <c r="F515" s="10" t="s">
        <v>4</v>
      </c>
      <c r="G515" s="10" t="s">
        <v>7</v>
      </c>
      <c r="H515" s="10" t="s">
        <v>88</v>
      </c>
      <c r="I515" s="45">
        <v>276</v>
      </c>
      <c r="J515" s="11">
        <v>0.51300000000000001</v>
      </c>
      <c r="K515" s="45">
        <f t="shared" ref="K515:K578" si="57">I515*(1-J515)</f>
        <v>134.41200000000001</v>
      </c>
      <c r="L515" s="10">
        <v>31</v>
      </c>
      <c r="M515" s="10">
        <v>1.9</v>
      </c>
      <c r="N515" s="10" t="b">
        <v>1</v>
      </c>
      <c r="O515" s="41" t="s">
        <v>33</v>
      </c>
      <c r="P515" s="45">
        <f t="shared" ref="P515:P578" si="58">K515*0.42</f>
        <v>56.453040000000001</v>
      </c>
      <c r="Q515" s="45">
        <f t="shared" ref="Q515:Q578" si="59">K515-P515</f>
        <v>77.958960000000005</v>
      </c>
      <c r="R515" s="45">
        <v>150</v>
      </c>
      <c r="S515" s="45">
        <f t="shared" ref="S515:S578" si="60">IF(N515=TRUE,K515*0.1,0)</f>
        <v>13.441200000000002</v>
      </c>
      <c r="T515" s="45">
        <f t="shared" ref="T515:T578" si="61">IF(N515=TRUE,K515,0)</f>
        <v>134.41200000000001</v>
      </c>
      <c r="U515" s="47">
        <f t="shared" ref="U515:U578" si="62">Q515-R515-S515-T515</f>
        <v>-219.89424</v>
      </c>
    </row>
    <row r="516" spans="1:21" x14ac:dyDescent="0.3">
      <c r="A516" s="41" t="str">
        <f t="shared" si="56"/>
        <v>PANNOU</v>
      </c>
      <c r="B516" s="43">
        <v>45529</v>
      </c>
      <c r="C516" s="10" t="s">
        <v>558</v>
      </c>
      <c r="D516" s="10" t="s">
        <v>42</v>
      </c>
      <c r="E516" s="10" t="s">
        <v>2</v>
      </c>
      <c r="F516" s="10" t="s">
        <v>54</v>
      </c>
      <c r="G516" s="10" t="s">
        <v>7</v>
      </c>
      <c r="H516" s="10" t="s">
        <v>43</v>
      </c>
      <c r="I516" s="45">
        <v>3185</v>
      </c>
      <c r="J516" s="11">
        <v>0</v>
      </c>
      <c r="K516" s="45">
        <f t="shared" si="57"/>
        <v>3185</v>
      </c>
      <c r="L516" s="10">
        <v>28</v>
      </c>
      <c r="M516" s="10">
        <v>2.9</v>
      </c>
      <c r="N516" s="10" t="b">
        <v>0</v>
      </c>
      <c r="O516" s="41"/>
      <c r="P516" s="45">
        <f t="shared" si="58"/>
        <v>1337.7</v>
      </c>
      <c r="Q516" s="45">
        <f t="shared" si="59"/>
        <v>1847.3</v>
      </c>
      <c r="R516" s="45">
        <v>0</v>
      </c>
      <c r="S516" s="45">
        <f t="shared" si="60"/>
        <v>0</v>
      </c>
      <c r="T516" s="45">
        <f t="shared" si="61"/>
        <v>0</v>
      </c>
      <c r="U516" s="47">
        <f t="shared" si="62"/>
        <v>1847.3</v>
      </c>
    </row>
    <row r="517" spans="1:21" x14ac:dyDescent="0.3">
      <c r="A517" s="41" t="str">
        <f t="shared" si="56"/>
        <v>PBANBO</v>
      </c>
      <c r="B517" s="43">
        <v>45529</v>
      </c>
      <c r="C517" s="10" t="s">
        <v>559</v>
      </c>
      <c r="D517" s="10" t="s">
        <v>21</v>
      </c>
      <c r="E517" s="10" t="s">
        <v>26</v>
      </c>
      <c r="F517" s="10" t="s">
        <v>11</v>
      </c>
      <c r="G517" s="10" t="s">
        <v>5</v>
      </c>
      <c r="H517" s="10" t="s">
        <v>28</v>
      </c>
      <c r="I517" s="45">
        <v>2025</v>
      </c>
      <c r="J517" s="11">
        <v>0</v>
      </c>
      <c r="K517" s="45">
        <f t="shared" si="57"/>
        <v>2025</v>
      </c>
      <c r="L517" s="10">
        <v>35</v>
      </c>
      <c r="M517" s="10">
        <v>1.4</v>
      </c>
      <c r="N517" s="10" t="b">
        <v>0</v>
      </c>
      <c r="O517" s="41"/>
      <c r="P517" s="45">
        <f t="shared" si="58"/>
        <v>850.5</v>
      </c>
      <c r="Q517" s="45">
        <f t="shared" si="59"/>
        <v>1174.5</v>
      </c>
      <c r="R517" s="45">
        <v>0</v>
      </c>
      <c r="S517" s="45">
        <f t="shared" si="60"/>
        <v>0</v>
      </c>
      <c r="T517" s="45">
        <f t="shared" si="61"/>
        <v>0</v>
      </c>
      <c r="U517" s="47">
        <f t="shared" si="62"/>
        <v>1174.5</v>
      </c>
    </row>
    <row r="518" spans="1:21" x14ac:dyDescent="0.3">
      <c r="A518" s="41" t="str">
        <f t="shared" si="56"/>
        <v>PGAPTO</v>
      </c>
      <c r="B518" s="43">
        <v>45530</v>
      </c>
      <c r="C518" s="10" t="s">
        <v>560</v>
      </c>
      <c r="D518" s="10" t="s">
        <v>53</v>
      </c>
      <c r="E518" s="10" t="s">
        <v>9</v>
      </c>
      <c r="F518" s="10" t="s">
        <v>11</v>
      </c>
      <c r="G518" s="10" t="s">
        <v>46</v>
      </c>
      <c r="H518" s="10" t="s">
        <v>88</v>
      </c>
      <c r="I518" s="45">
        <v>1752</v>
      </c>
      <c r="J518" s="11">
        <v>0.42499999999999999</v>
      </c>
      <c r="K518" s="45">
        <f t="shared" si="57"/>
        <v>1007.4</v>
      </c>
      <c r="L518" s="10">
        <v>8</v>
      </c>
      <c r="M518" s="10"/>
      <c r="N518" s="10" t="b">
        <v>1</v>
      </c>
      <c r="O518" s="41" t="s">
        <v>50</v>
      </c>
      <c r="P518" s="45">
        <f t="shared" si="58"/>
        <v>423.10799999999995</v>
      </c>
      <c r="Q518" s="45">
        <f t="shared" si="59"/>
        <v>584.29200000000003</v>
      </c>
      <c r="R518" s="45">
        <v>150</v>
      </c>
      <c r="S518" s="45">
        <f t="shared" si="60"/>
        <v>100.74000000000001</v>
      </c>
      <c r="T518" s="45">
        <f t="shared" si="61"/>
        <v>1007.4</v>
      </c>
      <c r="U518" s="47">
        <f t="shared" si="62"/>
        <v>-673.84799999999996</v>
      </c>
    </row>
    <row r="519" spans="1:21" x14ac:dyDescent="0.3">
      <c r="A519" s="41" t="str">
        <f t="shared" si="56"/>
        <v>PH&amp;MOU</v>
      </c>
      <c r="B519" s="43">
        <v>45530</v>
      </c>
      <c r="C519" s="10" t="s">
        <v>561</v>
      </c>
      <c r="D519" s="10" t="s">
        <v>37</v>
      </c>
      <c r="E519" s="10" t="s">
        <v>2</v>
      </c>
      <c r="F519" s="10" t="s">
        <v>23</v>
      </c>
      <c r="G519" s="10" t="s">
        <v>49</v>
      </c>
      <c r="H519" s="10" t="s">
        <v>56</v>
      </c>
      <c r="I519" s="45">
        <v>3552</v>
      </c>
      <c r="J519" s="11">
        <v>0.43799999999999994</v>
      </c>
      <c r="K519" s="45">
        <f t="shared" si="57"/>
        <v>1996.2240000000002</v>
      </c>
      <c r="L519" s="10">
        <v>33</v>
      </c>
      <c r="M519" s="10">
        <v>1.5</v>
      </c>
      <c r="N519" s="10" t="b">
        <v>0</v>
      </c>
      <c r="O519" s="41"/>
      <c r="P519" s="45">
        <f t="shared" si="58"/>
        <v>838.41408000000001</v>
      </c>
      <c r="Q519" s="45">
        <f t="shared" si="59"/>
        <v>1157.8099200000001</v>
      </c>
      <c r="R519" s="45">
        <v>0</v>
      </c>
      <c r="S519" s="45">
        <f t="shared" si="60"/>
        <v>0</v>
      </c>
      <c r="T519" s="45">
        <f t="shared" si="61"/>
        <v>0</v>
      </c>
      <c r="U519" s="47">
        <f t="shared" si="62"/>
        <v>1157.8099200000001</v>
      </c>
    </row>
    <row r="520" spans="1:21" x14ac:dyDescent="0.3">
      <c r="A520" s="41" t="str">
        <f t="shared" si="56"/>
        <v>PUNIAC</v>
      </c>
      <c r="B520" s="43">
        <v>45530</v>
      </c>
      <c r="C520" s="10" t="s">
        <v>562</v>
      </c>
      <c r="D520" s="10" t="s">
        <v>10</v>
      </c>
      <c r="E520" s="10" t="s">
        <v>15</v>
      </c>
      <c r="F520" s="10" t="s">
        <v>23</v>
      </c>
      <c r="G520" s="10" t="s">
        <v>7</v>
      </c>
      <c r="H520" s="10" t="s">
        <v>13</v>
      </c>
      <c r="I520" s="45">
        <v>314</v>
      </c>
      <c r="J520" s="11">
        <v>0</v>
      </c>
      <c r="K520" s="45">
        <f t="shared" si="57"/>
        <v>314</v>
      </c>
      <c r="L520" s="10">
        <v>4</v>
      </c>
      <c r="M520" s="10">
        <v>3.1</v>
      </c>
      <c r="N520" s="10" t="b">
        <v>0</v>
      </c>
      <c r="O520" s="41"/>
      <c r="P520" s="45">
        <f t="shared" si="58"/>
        <v>131.88</v>
      </c>
      <c r="Q520" s="45">
        <f t="shared" si="59"/>
        <v>182.12</v>
      </c>
      <c r="R520" s="45">
        <v>0</v>
      </c>
      <c r="S520" s="45">
        <f t="shared" si="60"/>
        <v>0</v>
      </c>
      <c r="T520" s="45">
        <f t="shared" si="61"/>
        <v>0</v>
      </c>
      <c r="U520" s="47">
        <f t="shared" si="62"/>
        <v>182.12</v>
      </c>
    </row>
    <row r="521" spans="1:21" x14ac:dyDescent="0.3">
      <c r="A521" s="41" t="str">
        <f t="shared" si="56"/>
        <v>PZARBO</v>
      </c>
      <c r="B521" s="43">
        <v>45531</v>
      </c>
      <c r="C521" s="10" t="s">
        <v>563</v>
      </c>
      <c r="D521" s="10" t="s">
        <v>3</v>
      </c>
      <c r="E521" s="10" t="s">
        <v>26</v>
      </c>
      <c r="F521" s="10" t="s">
        <v>54</v>
      </c>
      <c r="G521" s="10" t="s">
        <v>49</v>
      </c>
      <c r="H521" s="10" t="s">
        <v>28</v>
      </c>
      <c r="I521" s="45">
        <v>2993</v>
      </c>
      <c r="J521" s="11">
        <v>0</v>
      </c>
      <c r="K521" s="45">
        <f t="shared" si="57"/>
        <v>2993</v>
      </c>
      <c r="L521" s="10">
        <v>40</v>
      </c>
      <c r="M521" s="10">
        <v>3.8</v>
      </c>
      <c r="N521" s="10" t="b">
        <v>0</v>
      </c>
      <c r="O521" s="41"/>
      <c r="P521" s="45">
        <f t="shared" si="58"/>
        <v>1257.06</v>
      </c>
      <c r="Q521" s="45">
        <f t="shared" si="59"/>
        <v>1735.94</v>
      </c>
      <c r="R521" s="45">
        <v>0</v>
      </c>
      <c r="S521" s="45">
        <f t="shared" si="60"/>
        <v>0</v>
      </c>
      <c r="T521" s="45">
        <f t="shared" si="61"/>
        <v>0</v>
      </c>
      <c r="U521" s="47">
        <f t="shared" si="62"/>
        <v>1735.94</v>
      </c>
    </row>
    <row r="522" spans="1:21" x14ac:dyDescent="0.3">
      <c r="A522" s="41" t="str">
        <f t="shared" si="56"/>
        <v>PMANAC</v>
      </c>
      <c r="B522" s="43">
        <v>45531</v>
      </c>
      <c r="C522" s="10" t="s">
        <v>564</v>
      </c>
      <c r="D522" s="10" t="s">
        <v>31</v>
      </c>
      <c r="E522" s="10" t="s">
        <v>15</v>
      </c>
      <c r="F522" s="10" t="s">
        <v>23</v>
      </c>
      <c r="G522" s="10" t="s">
        <v>7</v>
      </c>
      <c r="H522" s="10" t="s">
        <v>56</v>
      </c>
      <c r="I522" s="45">
        <v>390</v>
      </c>
      <c r="J522" s="11">
        <v>0</v>
      </c>
      <c r="K522" s="45">
        <f t="shared" si="57"/>
        <v>390</v>
      </c>
      <c r="L522" s="10">
        <v>27</v>
      </c>
      <c r="M522" s="10">
        <v>2.5</v>
      </c>
      <c r="N522" s="10" t="b">
        <v>0</v>
      </c>
      <c r="O522" s="41"/>
      <c r="P522" s="45">
        <f t="shared" si="58"/>
        <v>163.79999999999998</v>
      </c>
      <c r="Q522" s="45">
        <f t="shared" si="59"/>
        <v>226.20000000000002</v>
      </c>
      <c r="R522" s="45">
        <v>0</v>
      </c>
      <c r="S522" s="45">
        <f t="shared" si="60"/>
        <v>0</v>
      </c>
      <c r="T522" s="45">
        <f t="shared" si="61"/>
        <v>0</v>
      </c>
      <c r="U522" s="47">
        <f t="shared" si="62"/>
        <v>226.20000000000002</v>
      </c>
    </row>
    <row r="523" spans="1:21" x14ac:dyDescent="0.3">
      <c r="A523" s="41" t="str">
        <f t="shared" si="56"/>
        <v>PH&amp;MBO</v>
      </c>
      <c r="B523" s="43">
        <v>45531</v>
      </c>
      <c r="C523" s="10" t="s">
        <v>565</v>
      </c>
      <c r="D523" s="10" t="s">
        <v>37</v>
      </c>
      <c r="E523" s="10" t="s">
        <v>26</v>
      </c>
      <c r="F523" s="10" t="s">
        <v>23</v>
      </c>
      <c r="G523" s="10" t="s">
        <v>12</v>
      </c>
      <c r="H523" s="10" t="s">
        <v>32</v>
      </c>
      <c r="I523" s="45">
        <v>2932</v>
      </c>
      <c r="J523" s="11">
        <v>0</v>
      </c>
      <c r="K523" s="45">
        <f t="shared" si="57"/>
        <v>2932</v>
      </c>
      <c r="L523" s="10">
        <v>10</v>
      </c>
      <c r="M523" s="10">
        <v>3.5</v>
      </c>
      <c r="N523" s="10" t="b">
        <v>0</v>
      </c>
      <c r="O523" s="41"/>
      <c r="P523" s="45">
        <f t="shared" si="58"/>
        <v>1231.44</v>
      </c>
      <c r="Q523" s="45">
        <f t="shared" si="59"/>
        <v>1700.56</v>
      </c>
      <c r="R523" s="45">
        <v>0</v>
      </c>
      <c r="S523" s="45">
        <f t="shared" si="60"/>
        <v>0</v>
      </c>
      <c r="T523" s="45">
        <f t="shared" si="61"/>
        <v>0</v>
      </c>
      <c r="U523" s="47">
        <f t="shared" si="62"/>
        <v>1700.56</v>
      </c>
    </row>
    <row r="524" spans="1:21" x14ac:dyDescent="0.3">
      <c r="A524" s="41" t="str">
        <f t="shared" si="56"/>
        <v>PZARDR</v>
      </c>
      <c r="B524" s="43">
        <v>45531</v>
      </c>
      <c r="C524" s="10" t="s">
        <v>566</v>
      </c>
      <c r="D524" s="10" t="s">
        <v>3</v>
      </c>
      <c r="E524" s="10" t="s">
        <v>30</v>
      </c>
      <c r="F524" s="10" t="s">
        <v>11</v>
      </c>
      <c r="G524" s="10" t="s">
        <v>27</v>
      </c>
      <c r="H524" s="10" t="s">
        <v>28</v>
      </c>
      <c r="I524" s="45">
        <v>2147</v>
      </c>
      <c r="J524" s="11">
        <v>0</v>
      </c>
      <c r="K524" s="45">
        <f t="shared" si="57"/>
        <v>2147</v>
      </c>
      <c r="L524" s="10">
        <v>12</v>
      </c>
      <c r="M524" s="10">
        <v>4.4000000000000004</v>
      </c>
      <c r="N524" s="10" t="b">
        <v>0</v>
      </c>
      <c r="O524" s="41"/>
      <c r="P524" s="45">
        <f t="shared" si="58"/>
        <v>901.74</v>
      </c>
      <c r="Q524" s="45">
        <f t="shared" si="59"/>
        <v>1245.26</v>
      </c>
      <c r="R524" s="45">
        <v>0</v>
      </c>
      <c r="S524" s="45">
        <f t="shared" si="60"/>
        <v>0</v>
      </c>
      <c r="T524" s="45">
        <f t="shared" si="61"/>
        <v>0</v>
      </c>
      <c r="U524" s="47">
        <f t="shared" si="62"/>
        <v>1245.26</v>
      </c>
    </row>
    <row r="525" spans="1:21" x14ac:dyDescent="0.3">
      <c r="A525" s="41" t="str">
        <f t="shared" si="56"/>
        <v>PFORAC</v>
      </c>
      <c r="B525" s="43">
        <v>45532</v>
      </c>
      <c r="C525" s="10" t="s">
        <v>567</v>
      </c>
      <c r="D525" s="10" t="s">
        <v>65</v>
      </c>
      <c r="E525" s="10" t="s">
        <v>15</v>
      </c>
      <c r="F525" s="10" t="s">
        <v>4</v>
      </c>
      <c r="G525" s="10" t="s">
        <v>7</v>
      </c>
      <c r="H525" s="10" t="s">
        <v>56</v>
      </c>
      <c r="I525" s="45">
        <v>364</v>
      </c>
      <c r="J525" s="11">
        <v>0</v>
      </c>
      <c r="K525" s="45">
        <f t="shared" si="57"/>
        <v>364</v>
      </c>
      <c r="L525" s="10">
        <v>17</v>
      </c>
      <c r="M525" s="10">
        <v>3.3</v>
      </c>
      <c r="N525" s="10" t="b">
        <v>0</v>
      </c>
      <c r="O525" s="41"/>
      <c r="P525" s="45">
        <f t="shared" si="58"/>
        <v>152.88</v>
      </c>
      <c r="Q525" s="45">
        <f t="shared" si="59"/>
        <v>211.12</v>
      </c>
      <c r="R525" s="45">
        <v>0</v>
      </c>
      <c r="S525" s="45">
        <f t="shared" si="60"/>
        <v>0</v>
      </c>
      <c r="T525" s="45">
        <f t="shared" si="61"/>
        <v>0</v>
      </c>
      <c r="U525" s="47">
        <f t="shared" si="62"/>
        <v>211.12</v>
      </c>
    </row>
    <row r="526" spans="1:21" x14ac:dyDescent="0.3">
      <c r="A526" s="41" t="str">
        <f t="shared" si="56"/>
        <v>PMANTO</v>
      </c>
      <c r="B526" s="43">
        <v>45532</v>
      </c>
      <c r="C526" s="10" t="s">
        <v>568</v>
      </c>
      <c r="D526" s="10" t="s">
        <v>31</v>
      </c>
      <c r="E526" s="10" t="s">
        <v>9</v>
      </c>
      <c r="F526" s="10" t="s">
        <v>4</v>
      </c>
      <c r="G526" s="10" t="s">
        <v>12</v>
      </c>
      <c r="H526" s="10" t="s">
        <v>16</v>
      </c>
      <c r="I526" s="45">
        <v>974</v>
      </c>
      <c r="J526" s="11">
        <v>0.56700000000000006</v>
      </c>
      <c r="K526" s="45">
        <f t="shared" si="57"/>
        <v>421.74199999999996</v>
      </c>
      <c r="L526" s="10">
        <v>44</v>
      </c>
      <c r="M526" s="10">
        <v>2.6</v>
      </c>
      <c r="N526" s="10" t="b">
        <v>1</v>
      </c>
      <c r="O526" s="41" t="s">
        <v>44</v>
      </c>
      <c r="P526" s="45">
        <f t="shared" si="58"/>
        <v>177.13163999999998</v>
      </c>
      <c r="Q526" s="45">
        <f t="shared" si="59"/>
        <v>244.61035999999999</v>
      </c>
      <c r="R526" s="45">
        <v>150</v>
      </c>
      <c r="S526" s="45">
        <f t="shared" si="60"/>
        <v>42.174199999999999</v>
      </c>
      <c r="T526" s="45">
        <f t="shared" si="61"/>
        <v>421.74199999999996</v>
      </c>
      <c r="U526" s="47">
        <f t="shared" si="62"/>
        <v>-369.30583999999999</v>
      </c>
    </row>
    <row r="527" spans="1:21" x14ac:dyDescent="0.3">
      <c r="A527" s="41" t="str">
        <f t="shared" si="56"/>
        <v>PBANTO</v>
      </c>
      <c r="B527" s="43">
        <v>45532</v>
      </c>
      <c r="C527" s="10" t="s">
        <v>569</v>
      </c>
      <c r="D527" s="10" t="s">
        <v>21</v>
      </c>
      <c r="E527" s="10" t="s">
        <v>9</v>
      </c>
      <c r="F527" s="10" t="s">
        <v>4</v>
      </c>
      <c r="G527" s="10" t="s">
        <v>46</v>
      </c>
      <c r="H527" s="10" t="s">
        <v>58</v>
      </c>
      <c r="I527" s="45">
        <v>1214</v>
      </c>
      <c r="J527" s="11">
        <v>0</v>
      </c>
      <c r="K527" s="45">
        <f t="shared" si="57"/>
        <v>1214</v>
      </c>
      <c r="L527" s="10">
        <v>35</v>
      </c>
      <c r="M527" s="10">
        <v>1.7</v>
      </c>
      <c r="N527" s="10" t="b">
        <v>1</v>
      </c>
      <c r="O527" s="41" t="s">
        <v>50</v>
      </c>
      <c r="P527" s="45">
        <f t="shared" si="58"/>
        <v>509.88</v>
      </c>
      <c r="Q527" s="45">
        <f t="shared" si="59"/>
        <v>704.12</v>
      </c>
      <c r="R527" s="45">
        <v>150</v>
      </c>
      <c r="S527" s="45">
        <f t="shared" si="60"/>
        <v>121.4</v>
      </c>
      <c r="T527" s="45">
        <f t="shared" si="61"/>
        <v>1214</v>
      </c>
      <c r="U527" s="47">
        <f t="shared" si="62"/>
        <v>-781.28</v>
      </c>
    </row>
    <row r="528" spans="1:21" x14ac:dyDescent="0.3">
      <c r="A528" s="41" t="str">
        <f t="shared" si="56"/>
        <v>PZARDR</v>
      </c>
      <c r="B528" s="43">
        <v>45532</v>
      </c>
      <c r="C528" s="10" t="s">
        <v>570</v>
      </c>
      <c r="D528" s="10" t="s">
        <v>3</v>
      </c>
      <c r="E528" s="10" t="s">
        <v>30</v>
      </c>
      <c r="F528" s="10" t="s">
        <v>11</v>
      </c>
      <c r="G528" s="10" t="s">
        <v>27</v>
      </c>
      <c r="H528" s="10" t="s">
        <v>13</v>
      </c>
      <c r="I528" s="45">
        <v>1998</v>
      </c>
      <c r="J528" s="11">
        <v>7.400000000000001E-2</v>
      </c>
      <c r="K528" s="45">
        <f t="shared" si="57"/>
        <v>1850.1479999999999</v>
      </c>
      <c r="L528" s="10">
        <v>0</v>
      </c>
      <c r="M528" s="10">
        <v>4.2</v>
      </c>
      <c r="N528" s="10" t="b">
        <v>0</v>
      </c>
      <c r="O528" s="41"/>
      <c r="P528" s="45">
        <f t="shared" si="58"/>
        <v>777.06215999999995</v>
      </c>
      <c r="Q528" s="45">
        <f t="shared" si="59"/>
        <v>1073.08584</v>
      </c>
      <c r="R528" s="45">
        <v>0</v>
      </c>
      <c r="S528" s="45">
        <f t="shared" si="60"/>
        <v>0</v>
      </c>
      <c r="T528" s="45">
        <f t="shared" si="61"/>
        <v>0</v>
      </c>
      <c r="U528" s="47">
        <f t="shared" si="62"/>
        <v>1073.08584</v>
      </c>
    </row>
    <row r="529" spans="1:21" x14ac:dyDescent="0.3">
      <c r="A529" s="41" t="str">
        <f t="shared" si="56"/>
        <v>PANNOU</v>
      </c>
      <c r="B529" s="43">
        <v>45533</v>
      </c>
      <c r="C529" s="10" t="s">
        <v>571</v>
      </c>
      <c r="D529" s="10" t="s">
        <v>42</v>
      </c>
      <c r="E529" s="10" t="s">
        <v>2</v>
      </c>
      <c r="F529" s="10" t="s">
        <v>23</v>
      </c>
      <c r="G529" s="10" t="s">
        <v>5</v>
      </c>
      <c r="H529" s="10" t="s">
        <v>13</v>
      </c>
      <c r="I529" s="45">
        <v>3979</v>
      </c>
      <c r="J529" s="11">
        <v>0</v>
      </c>
      <c r="K529" s="45">
        <f t="shared" si="57"/>
        <v>3979</v>
      </c>
      <c r="L529" s="10">
        <v>40</v>
      </c>
      <c r="M529" s="10">
        <v>1.7</v>
      </c>
      <c r="N529" s="10" t="b">
        <v>0</v>
      </c>
      <c r="O529" s="41"/>
      <c r="P529" s="45">
        <f t="shared" si="58"/>
        <v>1671.1799999999998</v>
      </c>
      <c r="Q529" s="45">
        <f t="shared" si="59"/>
        <v>2307.8200000000002</v>
      </c>
      <c r="R529" s="45">
        <v>0</v>
      </c>
      <c r="S529" s="45">
        <f t="shared" si="60"/>
        <v>0</v>
      </c>
      <c r="T529" s="45">
        <f t="shared" si="61"/>
        <v>0</v>
      </c>
      <c r="U529" s="47">
        <f t="shared" si="62"/>
        <v>2307.8200000000002</v>
      </c>
    </row>
    <row r="530" spans="1:21" x14ac:dyDescent="0.3">
      <c r="A530" s="41" t="str">
        <f t="shared" si="56"/>
        <v>PH&amp;MAC</v>
      </c>
      <c r="B530" s="43">
        <v>45533</v>
      </c>
      <c r="C530" s="10" t="s">
        <v>572</v>
      </c>
      <c r="D530" s="10" t="s">
        <v>37</v>
      </c>
      <c r="E530" s="10" t="s">
        <v>15</v>
      </c>
      <c r="F530" s="10" t="s">
        <v>23</v>
      </c>
      <c r="G530" s="10" t="s">
        <v>7</v>
      </c>
      <c r="H530" s="10" t="s">
        <v>16</v>
      </c>
      <c r="I530" s="45">
        <v>272</v>
      </c>
      <c r="J530" s="11">
        <v>0.48200000000000004</v>
      </c>
      <c r="K530" s="45">
        <f t="shared" si="57"/>
        <v>140.89600000000002</v>
      </c>
      <c r="L530" s="10">
        <v>32</v>
      </c>
      <c r="M530" s="10">
        <v>4.5</v>
      </c>
      <c r="N530" s="10" t="b">
        <v>0</v>
      </c>
      <c r="O530" s="41"/>
      <c r="P530" s="45">
        <f t="shared" si="58"/>
        <v>59.176320000000004</v>
      </c>
      <c r="Q530" s="45">
        <f t="shared" si="59"/>
        <v>81.719680000000011</v>
      </c>
      <c r="R530" s="45">
        <v>0</v>
      </c>
      <c r="S530" s="45">
        <f t="shared" si="60"/>
        <v>0</v>
      </c>
      <c r="T530" s="45">
        <f t="shared" si="61"/>
        <v>0</v>
      </c>
      <c r="U530" s="47">
        <f t="shared" si="62"/>
        <v>81.719680000000011</v>
      </c>
    </row>
    <row r="531" spans="1:21" x14ac:dyDescent="0.3">
      <c r="A531" s="41" t="str">
        <f t="shared" si="56"/>
        <v>PUNIAC</v>
      </c>
      <c r="B531" s="43">
        <v>45533</v>
      </c>
      <c r="C531" s="10" t="s">
        <v>573</v>
      </c>
      <c r="D531" s="10" t="s">
        <v>10</v>
      </c>
      <c r="E531" s="10" t="s">
        <v>15</v>
      </c>
      <c r="F531" s="10" t="s">
        <v>4</v>
      </c>
      <c r="G531" s="10" t="s">
        <v>7</v>
      </c>
      <c r="H531" s="10" t="s">
        <v>28</v>
      </c>
      <c r="I531" s="45">
        <v>271</v>
      </c>
      <c r="J531" s="11">
        <v>0.36700000000000005</v>
      </c>
      <c r="K531" s="45">
        <f t="shared" si="57"/>
        <v>171.54300000000001</v>
      </c>
      <c r="L531" s="10">
        <v>41</v>
      </c>
      <c r="M531" s="10">
        <v>3.8</v>
      </c>
      <c r="N531" s="10" t="b">
        <v>0</v>
      </c>
      <c r="O531" s="41"/>
      <c r="P531" s="45">
        <f t="shared" si="58"/>
        <v>72.048060000000007</v>
      </c>
      <c r="Q531" s="45">
        <f t="shared" si="59"/>
        <v>99.49494</v>
      </c>
      <c r="R531" s="45">
        <v>0</v>
      </c>
      <c r="S531" s="45">
        <f t="shared" si="60"/>
        <v>0</v>
      </c>
      <c r="T531" s="45">
        <f t="shared" si="61"/>
        <v>0</v>
      </c>
      <c r="U531" s="47">
        <f t="shared" si="62"/>
        <v>99.49494</v>
      </c>
    </row>
    <row r="532" spans="1:21" x14ac:dyDescent="0.3">
      <c r="A532" s="41" t="str">
        <f t="shared" si="56"/>
        <v>PH&amp;MSH</v>
      </c>
      <c r="B532" s="43">
        <v>45534</v>
      </c>
      <c r="C532" s="10" t="s">
        <v>574</v>
      </c>
      <c r="D532" s="10" t="s">
        <v>37</v>
      </c>
      <c r="E532" s="10" t="s">
        <v>18</v>
      </c>
      <c r="F532" s="10" t="s">
        <v>11</v>
      </c>
      <c r="G532" s="10" t="s">
        <v>46</v>
      </c>
      <c r="H532" s="10" t="s">
        <v>58</v>
      </c>
      <c r="I532" s="45">
        <v>3714</v>
      </c>
      <c r="J532" s="11">
        <v>0</v>
      </c>
      <c r="K532" s="45">
        <f t="shared" si="57"/>
        <v>3714</v>
      </c>
      <c r="L532" s="10">
        <v>48</v>
      </c>
      <c r="M532" s="10">
        <v>1.1000000000000001</v>
      </c>
      <c r="N532" s="10" t="b">
        <v>0</v>
      </c>
      <c r="O532" s="41"/>
      <c r="P532" s="45">
        <f t="shared" si="58"/>
        <v>1559.8799999999999</v>
      </c>
      <c r="Q532" s="45">
        <f t="shared" si="59"/>
        <v>2154.12</v>
      </c>
      <c r="R532" s="45">
        <v>0</v>
      </c>
      <c r="S532" s="45">
        <f t="shared" si="60"/>
        <v>0</v>
      </c>
      <c r="T532" s="45">
        <f t="shared" si="61"/>
        <v>0</v>
      </c>
      <c r="U532" s="47">
        <f t="shared" si="62"/>
        <v>2154.12</v>
      </c>
    </row>
    <row r="533" spans="1:21" x14ac:dyDescent="0.3">
      <c r="A533" s="41" t="str">
        <f t="shared" si="56"/>
        <v>PZARAC</v>
      </c>
      <c r="B533" s="43">
        <v>45534</v>
      </c>
      <c r="C533" s="10" t="s">
        <v>575</v>
      </c>
      <c r="D533" s="10" t="s">
        <v>3</v>
      </c>
      <c r="E533" s="10" t="s">
        <v>15</v>
      </c>
      <c r="F533" s="10" t="s">
        <v>4</v>
      </c>
      <c r="G533" s="10" t="s">
        <v>7</v>
      </c>
      <c r="H533" s="10" t="s">
        <v>28</v>
      </c>
      <c r="I533" s="45">
        <v>344</v>
      </c>
      <c r="J533" s="11">
        <v>0</v>
      </c>
      <c r="K533" s="45">
        <f t="shared" si="57"/>
        <v>344</v>
      </c>
      <c r="L533" s="10">
        <v>38</v>
      </c>
      <c r="M533" s="10">
        <v>4.9000000000000004</v>
      </c>
      <c r="N533" s="10" t="b">
        <v>0</v>
      </c>
      <c r="O533" s="41"/>
      <c r="P533" s="45">
        <f t="shared" si="58"/>
        <v>144.47999999999999</v>
      </c>
      <c r="Q533" s="45">
        <f t="shared" si="59"/>
        <v>199.52</v>
      </c>
      <c r="R533" s="45">
        <v>0</v>
      </c>
      <c r="S533" s="45">
        <f t="shared" si="60"/>
        <v>0</v>
      </c>
      <c r="T533" s="45">
        <f t="shared" si="61"/>
        <v>0</v>
      </c>
      <c r="U533" s="47">
        <f t="shared" si="62"/>
        <v>199.52</v>
      </c>
    </row>
    <row r="534" spans="1:21" x14ac:dyDescent="0.3">
      <c r="A534" s="41" t="str">
        <f t="shared" si="56"/>
        <v>PGAPOU</v>
      </c>
      <c r="B534" s="43">
        <v>45534</v>
      </c>
      <c r="C534" s="10" t="s">
        <v>576</v>
      </c>
      <c r="D534" s="10" t="s">
        <v>53</v>
      </c>
      <c r="E534" s="10" t="s">
        <v>2</v>
      </c>
      <c r="F534" s="10" t="s">
        <v>23</v>
      </c>
      <c r="G534" s="10" t="s">
        <v>49</v>
      </c>
      <c r="H534" s="10" t="s">
        <v>88</v>
      </c>
      <c r="I534" s="45">
        <v>4085</v>
      </c>
      <c r="J534" s="11">
        <v>0</v>
      </c>
      <c r="K534" s="45">
        <f t="shared" si="57"/>
        <v>4085</v>
      </c>
      <c r="L534" s="10">
        <v>28</v>
      </c>
      <c r="M534" s="10">
        <v>4</v>
      </c>
      <c r="N534" s="10" t="b">
        <v>1</v>
      </c>
      <c r="O534" s="41" t="s">
        <v>44</v>
      </c>
      <c r="P534" s="45">
        <f t="shared" si="58"/>
        <v>1715.7</v>
      </c>
      <c r="Q534" s="45">
        <f t="shared" si="59"/>
        <v>2369.3000000000002</v>
      </c>
      <c r="R534" s="45">
        <v>150</v>
      </c>
      <c r="S534" s="45">
        <f t="shared" si="60"/>
        <v>408.5</v>
      </c>
      <c r="T534" s="45">
        <f t="shared" si="61"/>
        <v>4085</v>
      </c>
      <c r="U534" s="47">
        <f t="shared" si="62"/>
        <v>-2274.1999999999998</v>
      </c>
    </row>
    <row r="535" spans="1:21" x14ac:dyDescent="0.3">
      <c r="A535" s="41" t="str">
        <f t="shared" si="56"/>
        <v>PH&amp;MBO</v>
      </c>
      <c r="B535" s="43">
        <v>45534</v>
      </c>
      <c r="C535" s="10" t="s">
        <v>577</v>
      </c>
      <c r="D535" s="10" t="s">
        <v>37</v>
      </c>
      <c r="E535" s="10" t="s">
        <v>26</v>
      </c>
      <c r="F535" s="10" t="s">
        <v>4</v>
      </c>
      <c r="G535" s="10" t="s">
        <v>12</v>
      </c>
      <c r="H535" s="10" t="s">
        <v>43</v>
      </c>
      <c r="I535" s="45">
        <v>2457</v>
      </c>
      <c r="J535" s="11">
        <v>0.38900000000000001</v>
      </c>
      <c r="K535" s="45">
        <f t="shared" si="57"/>
        <v>1501.2269999999999</v>
      </c>
      <c r="L535" s="10">
        <v>39</v>
      </c>
      <c r="M535" s="10">
        <v>4.7</v>
      </c>
      <c r="N535" s="10" t="b">
        <v>0</v>
      </c>
      <c r="O535" s="41"/>
      <c r="P535" s="45">
        <f t="shared" si="58"/>
        <v>630.51533999999992</v>
      </c>
      <c r="Q535" s="45">
        <f t="shared" si="59"/>
        <v>870.71165999999994</v>
      </c>
      <c r="R535" s="45">
        <v>0</v>
      </c>
      <c r="S535" s="45">
        <f t="shared" si="60"/>
        <v>0</v>
      </c>
      <c r="T535" s="45">
        <f t="shared" si="61"/>
        <v>0</v>
      </c>
      <c r="U535" s="47">
        <f t="shared" si="62"/>
        <v>870.71165999999994</v>
      </c>
    </row>
    <row r="536" spans="1:21" x14ac:dyDescent="0.3">
      <c r="A536" s="41" t="str">
        <f t="shared" si="56"/>
        <v>PANNSH</v>
      </c>
      <c r="B536" s="43">
        <v>45535</v>
      </c>
      <c r="C536" s="10" t="s">
        <v>578</v>
      </c>
      <c r="D536" s="10" t="s">
        <v>42</v>
      </c>
      <c r="E536" s="10" t="s">
        <v>18</v>
      </c>
      <c r="F536" s="10" t="s">
        <v>4</v>
      </c>
      <c r="G536" s="10" t="s">
        <v>5</v>
      </c>
      <c r="H536" s="10" t="s">
        <v>6</v>
      </c>
      <c r="I536" s="45">
        <v>4468</v>
      </c>
      <c r="J536" s="11">
        <v>0.22</v>
      </c>
      <c r="K536" s="45">
        <f t="shared" si="57"/>
        <v>3485.04</v>
      </c>
      <c r="L536" s="10">
        <v>29</v>
      </c>
      <c r="M536" s="10">
        <v>2.1</v>
      </c>
      <c r="N536" s="10" t="b">
        <v>0</v>
      </c>
      <c r="O536" s="41"/>
      <c r="P536" s="45">
        <f t="shared" si="58"/>
        <v>1463.7167999999999</v>
      </c>
      <c r="Q536" s="45">
        <f t="shared" si="59"/>
        <v>2021.3232</v>
      </c>
      <c r="R536" s="45">
        <v>0</v>
      </c>
      <c r="S536" s="45">
        <f t="shared" si="60"/>
        <v>0</v>
      </c>
      <c r="T536" s="45">
        <f t="shared" si="61"/>
        <v>0</v>
      </c>
      <c r="U536" s="47">
        <f t="shared" si="62"/>
        <v>2021.3232</v>
      </c>
    </row>
    <row r="537" spans="1:21" x14ac:dyDescent="0.3">
      <c r="A537" s="41" t="str">
        <f t="shared" si="56"/>
        <v>PZARBO</v>
      </c>
      <c r="B537" s="43">
        <v>45535</v>
      </c>
      <c r="C537" s="10" t="s">
        <v>579</v>
      </c>
      <c r="D537" s="10" t="s">
        <v>3</v>
      </c>
      <c r="E537" s="10" t="s">
        <v>26</v>
      </c>
      <c r="F537" s="10" t="s">
        <v>54</v>
      </c>
      <c r="G537" s="10" t="s">
        <v>12</v>
      </c>
      <c r="H537" s="10" t="s">
        <v>58</v>
      </c>
      <c r="I537" s="45">
        <v>2106</v>
      </c>
      <c r="J537" s="11">
        <v>0</v>
      </c>
      <c r="K537" s="45">
        <f t="shared" si="57"/>
        <v>2106</v>
      </c>
      <c r="L537" s="10">
        <v>21</v>
      </c>
      <c r="M537" s="10">
        <v>1.6</v>
      </c>
      <c r="N537" s="10" t="b">
        <v>0</v>
      </c>
      <c r="O537" s="41"/>
      <c r="P537" s="45">
        <f t="shared" si="58"/>
        <v>884.52</v>
      </c>
      <c r="Q537" s="45">
        <f t="shared" si="59"/>
        <v>1221.48</v>
      </c>
      <c r="R537" s="45">
        <v>0</v>
      </c>
      <c r="S537" s="45">
        <f t="shared" si="60"/>
        <v>0</v>
      </c>
      <c r="T537" s="45">
        <f t="shared" si="61"/>
        <v>0</v>
      </c>
      <c r="U537" s="47">
        <f t="shared" si="62"/>
        <v>1221.48</v>
      </c>
    </row>
    <row r="538" spans="1:21" x14ac:dyDescent="0.3">
      <c r="A538" s="41" t="str">
        <f t="shared" si="56"/>
        <v>PGAPOU</v>
      </c>
      <c r="B538" s="43">
        <v>45535</v>
      </c>
      <c r="C538" s="10" t="s">
        <v>580</v>
      </c>
      <c r="D538" s="10" t="s">
        <v>53</v>
      </c>
      <c r="E538" s="10" t="s">
        <v>2</v>
      </c>
      <c r="F538" s="10" t="s">
        <v>11</v>
      </c>
      <c r="G538" s="10" t="s">
        <v>38</v>
      </c>
      <c r="H538" s="10" t="s">
        <v>28</v>
      </c>
      <c r="I538" s="45">
        <v>3336</v>
      </c>
      <c r="J538" s="11">
        <v>0</v>
      </c>
      <c r="K538" s="45">
        <f t="shared" si="57"/>
        <v>3336</v>
      </c>
      <c r="L538" s="10">
        <v>15</v>
      </c>
      <c r="M538" s="10">
        <v>1.7</v>
      </c>
      <c r="N538" s="10" t="b">
        <v>1</v>
      </c>
      <c r="O538" s="41" t="s">
        <v>33</v>
      </c>
      <c r="P538" s="45">
        <f t="shared" si="58"/>
        <v>1401.12</v>
      </c>
      <c r="Q538" s="45">
        <f t="shared" si="59"/>
        <v>1934.88</v>
      </c>
      <c r="R538" s="45">
        <v>150</v>
      </c>
      <c r="S538" s="45">
        <f t="shared" si="60"/>
        <v>333.6</v>
      </c>
      <c r="T538" s="45">
        <f t="shared" si="61"/>
        <v>3336</v>
      </c>
      <c r="U538" s="47">
        <f t="shared" si="62"/>
        <v>-1884.7199999999998</v>
      </c>
    </row>
    <row r="539" spans="1:21" x14ac:dyDescent="0.3">
      <c r="A539" s="41" t="str">
        <f t="shared" si="56"/>
        <v>PUNIOU</v>
      </c>
      <c r="B539" s="43">
        <v>45536</v>
      </c>
      <c r="C539" s="10" t="s">
        <v>581</v>
      </c>
      <c r="D539" s="10" t="s">
        <v>10</v>
      </c>
      <c r="E539" s="10" t="s">
        <v>2</v>
      </c>
      <c r="F539" s="10" t="s">
        <v>4</v>
      </c>
      <c r="G539" s="10" t="s">
        <v>12</v>
      </c>
      <c r="H539" s="10" t="s">
        <v>7</v>
      </c>
      <c r="I539" s="45">
        <v>3759</v>
      </c>
      <c r="J539" s="11">
        <v>0.49399999999999999</v>
      </c>
      <c r="K539" s="45">
        <f t="shared" si="57"/>
        <v>1902.0540000000001</v>
      </c>
      <c r="L539" s="10">
        <v>42</v>
      </c>
      <c r="M539" s="10">
        <v>2.9</v>
      </c>
      <c r="N539" s="10" t="b">
        <v>0</v>
      </c>
      <c r="O539" s="41"/>
      <c r="P539" s="45">
        <f t="shared" si="58"/>
        <v>798.86267999999995</v>
      </c>
      <c r="Q539" s="45">
        <f t="shared" si="59"/>
        <v>1103.1913200000001</v>
      </c>
      <c r="R539" s="45">
        <v>0</v>
      </c>
      <c r="S539" s="45">
        <f t="shared" si="60"/>
        <v>0</v>
      </c>
      <c r="T539" s="45">
        <f t="shared" si="61"/>
        <v>0</v>
      </c>
      <c r="U539" s="47">
        <f t="shared" si="62"/>
        <v>1103.1913200000001</v>
      </c>
    </row>
    <row r="540" spans="1:21" x14ac:dyDescent="0.3">
      <c r="A540" s="41" t="str">
        <f t="shared" si="56"/>
        <v>PMANSH</v>
      </c>
      <c r="B540" s="43">
        <v>45536</v>
      </c>
      <c r="C540" s="10" t="s">
        <v>582</v>
      </c>
      <c r="D540" s="10" t="s">
        <v>31</v>
      </c>
      <c r="E540" s="10" t="s">
        <v>18</v>
      </c>
      <c r="F540" s="10" t="s">
        <v>11</v>
      </c>
      <c r="G540" s="10" t="s">
        <v>12</v>
      </c>
      <c r="H540" s="10" t="s">
        <v>16</v>
      </c>
      <c r="I540" s="45">
        <v>4271</v>
      </c>
      <c r="J540" s="11">
        <v>0</v>
      </c>
      <c r="K540" s="45">
        <f t="shared" si="57"/>
        <v>4271</v>
      </c>
      <c r="L540" s="10">
        <v>15</v>
      </c>
      <c r="M540" s="10">
        <v>1.8</v>
      </c>
      <c r="N540" s="10" t="b">
        <v>1</v>
      </c>
      <c r="O540" s="41" t="s">
        <v>33</v>
      </c>
      <c r="P540" s="45">
        <f t="shared" si="58"/>
        <v>1793.82</v>
      </c>
      <c r="Q540" s="45">
        <f t="shared" si="59"/>
        <v>2477.1800000000003</v>
      </c>
      <c r="R540" s="45">
        <v>150</v>
      </c>
      <c r="S540" s="45">
        <f t="shared" si="60"/>
        <v>427.1</v>
      </c>
      <c r="T540" s="45">
        <f t="shared" si="61"/>
        <v>4271</v>
      </c>
      <c r="U540" s="47">
        <f t="shared" si="62"/>
        <v>-2370.9199999999996</v>
      </c>
    </row>
    <row r="541" spans="1:21" x14ac:dyDescent="0.3">
      <c r="A541" s="41" t="str">
        <f t="shared" si="56"/>
        <v>PANNTO</v>
      </c>
      <c r="B541" s="43">
        <v>45536</v>
      </c>
      <c r="C541" s="10" t="s">
        <v>583</v>
      </c>
      <c r="D541" s="10" t="s">
        <v>42</v>
      </c>
      <c r="E541" s="10" t="s">
        <v>9</v>
      </c>
      <c r="F541" s="10" t="s">
        <v>11</v>
      </c>
      <c r="G541" s="10" t="s">
        <v>5</v>
      </c>
      <c r="H541" s="10" t="s">
        <v>56</v>
      </c>
      <c r="I541" s="45">
        <v>1045</v>
      </c>
      <c r="J541" s="11">
        <v>0</v>
      </c>
      <c r="K541" s="45">
        <f t="shared" si="57"/>
        <v>1045</v>
      </c>
      <c r="L541" s="10">
        <v>23</v>
      </c>
      <c r="M541" s="10">
        <v>3.3</v>
      </c>
      <c r="N541" s="10" t="b">
        <v>0</v>
      </c>
      <c r="O541" s="41"/>
      <c r="P541" s="45">
        <f t="shared" si="58"/>
        <v>438.9</v>
      </c>
      <c r="Q541" s="45">
        <f t="shared" si="59"/>
        <v>606.1</v>
      </c>
      <c r="R541" s="45">
        <v>0</v>
      </c>
      <c r="S541" s="45">
        <f t="shared" si="60"/>
        <v>0</v>
      </c>
      <c r="T541" s="45">
        <f t="shared" si="61"/>
        <v>0</v>
      </c>
      <c r="U541" s="47">
        <f t="shared" si="62"/>
        <v>606.1</v>
      </c>
    </row>
    <row r="542" spans="1:21" x14ac:dyDescent="0.3">
      <c r="A542" s="41" t="str">
        <f t="shared" si="56"/>
        <v>PH&amp;MDR</v>
      </c>
      <c r="B542" s="43">
        <v>45536</v>
      </c>
      <c r="C542" s="10" t="s">
        <v>584</v>
      </c>
      <c r="D542" s="10" t="s">
        <v>37</v>
      </c>
      <c r="E542" s="10" t="s">
        <v>30</v>
      </c>
      <c r="F542" s="10" t="s">
        <v>4</v>
      </c>
      <c r="G542" s="10" t="s">
        <v>5</v>
      </c>
      <c r="H542" s="10" t="s">
        <v>32</v>
      </c>
      <c r="I542" s="45">
        <v>1990</v>
      </c>
      <c r="J542" s="11">
        <v>0</v>
      </c>
      <c r="K542" s="45">
        <f t="shared" si="57"/>
        <v>1990</v>
      </c>
      <c r="L542" s="10">
        <v>18</v>
      </c>
      <c r="M542" s="10">
        <v>3.3</v>
      </c>
      <c r="N542" s="10" t="b">
        <v>0</v>
      </c>
      <c r="O542" s="41"/>
      <c r="P542" s="45">
        <f t="shared" si="58"/>
        <v>835.8</v>
      </c>
      <c r="Q542" s="45">
        <f t="shared" si="59"/>
        <v>1154.2</v>
      </c>
      <c r="R542" s="45">
        <v>0</v>
      </c>
      <c r="S542" s="45">
        <f t="shared" si="60"/>
        <v>0</v>
      </c>
      <c r="T542" s="45">
        <f t="shared" si="61"/>
        <v>0</v>
      </c>
      <c r="U542" s="47">
        <f t="shared" si="62"/>
        <v>1154.2</v>
      </c>
    </row>
    <row r="543" spans="1:21" x14ac:dyDescent="0.3">
      <c r="A543" s="41" t="str">
        <f t="shared" si="56"/>
        <v>PGAPSH</v>
      </c>
      <c r="B543" s="43">
        <v>45536</v>
      </c>
      <c r="C543" s="10" t="s">
        <v>585</v>
      </c>
      <c r="D543" s="10" t="s">
        <v>53</v>
      </c>
      <c r="E543" s="10" t="s">
        <v>18</v>
      </c>
      <c r="F543" s="10" t="s">
        <v>54</v>
      </c>
      <c r="G543" s="10" t="s">
        <v>27</v>
      </c>
      <c r="H543" s="10" t="s">
        <v>16</v>
      </c>
      <c r="I543" s="45">
        <v>3618</v>
      </c>
      <c r="J543" s="11">
        <v>0</v>
      </c>
      <c r="K543" s="45">
        <f t="shared" si="57"/>
        <v>3618</v>
      </c>
      <c r="L543" s="10">
        <v>7</v>
      </c>
      <c r="M543" s="10"/>
      <c r="N543" s="10" t="b">
        <v>0</v>
      </c>
      <c r="O543" s="41"/>
      <c r="P543" s="45">
        <f t="shared" si="58"/>
        <v>1519.56</v>
      </c>
      <c r="Q543" s="45">
        <f t="shared" si="59"/>
        <v>2098.44</v>
      </c>
      <c r="R543" s="45">
        <v>0</v>
      </c>
      <c r="S543" s="45">
        <f t="shared" si="60"/>
        <v>0</v>
      </c>
      <c r="T543" s="45">
        <f t="shared" si="61"/>
        <v>0</v>
      </c>
      <c r="U543" s="47">
        <f t="shared" si="62"/>
        <v>2098.44</v>
      </c>
    </row>
    <row r="544" spans="1:21" x14ac:dyDescent="0.3">
      <c r="A544" s="41" t="str">
        <f t="shared" si="56"/>
        <v>PGAPSH</v>
      </c>
      <c r="B544" s="43">
        <v>45537</v>
      </c>
      <c r="C544" s="10" t="s">
        <v>586</v>
      </c>
      <c r="D544" s="10" t="s">
        <v>53</v>
      </c>
      <c r="E544" s="10" t="s">
        <v>18</v>
      </c>
      <c r="F544" s="10" t="s">
        <v>11</v>
      </c>
      <c r="G544" s="10" t="s">
        <v>38</v>
      </c>
      <c r="H544" s="10" t="s">
        <v>28</v>
      </c>
      <c r="I544" s="45">
        <v>3237</v>
      </c>
      <c r="J544" s="11">
        <v>0</v>
      </c>
      <c r="K544" s="45">
        <f t="shared" si="57"/>
        <v>3237</v>
      </c>
      <c r="L544" s="10">
        <v>15</v>
      </c>
      <c r="M544" s="10">
        <v>2.7</v>
      </c>
      <c r="N544" s="10" t="b">
        <v>1</v>
      </c>
      <c r="O544" s="41" t="s">
        <v>50</v>
      </c>
      <c r="P544" s="45">
        <f t="shared" si="58"/>
        <v>1359.54</v>
      </c>
      <c r="Q544" s="45">
        <f t="shared" si="59"/>
        <v>1877.46</v>
      </c>
      <c r="R544" s="45">
        <v>150</v>
      </c>
      <c r="S544" s="45">
        <f t="shared" si="60"/>
        <v>323.70000000000005</v>
      </c>
      <c r="T544" s="45">
        <f t="shared" si="61"/>
        <v>3237</v>
      </c>
      <c r="U544" s="47">
        <f t="shared" si="62"/>
        <v>-1833.24</v>
      </c>
    </row>
    <row r="545" spans="1:21" x14ac:dyDescent="0.3">
      <c r="A545" s="41" t="str">
        <f t="shared" si="56"/>
        <v>PUNISH</v>
      </c>
      <c r="B545" s="43">
        <v>45537</v>
      </c>
      <c r="C545" s="10" t="s">
        <v>587</v>
      </c>
      <c r="D545" s="10" t="s">
        <v>10</v>
      </c>
      <c r="E545" s="10" t="s">
        <v>18</v>
      </c>
      <c r="F545" s="10" t="s">
        <v>23</v>
      </c>
      <c r="G545" s="10" t="s">
        <v>12</v>
      </c>
      <c r="H545" s="10" t="s">
        <v>13</v>
      </c>
      <c r="I545" s="45">
        <v>3156</v>
      </c>
      <c r="J545" s="11">
        <v>0</v>
      </c>
      <c r="K545" s="45">
        <f t="shared" si="57"/>
        <v>3156</v>
      </c>
      <c r="L545" s="10">
        <v>48</v>
      </c>
      <c r="M545" s="10">
        <v>2.1</v>
      </c>
      <c r="N545" s="10" t="b">
        <v>0</v>
      </c>
      <c r="O545" s="41"/>
      <c r="P545" s="45">
        <f t="shared" si="58"/>
        <v>1325.52</v>
      </c>
      <c r="Q545" s="45">
        <f t="shared" si="59"/>
        <v>1830.48</v>
      </c>
      <c r="R545" s="45">
        <v>0</v>
      </c>
      <c r="S545" s="45">
        <f t="shared" si="60"/>
        <v>0</v>
      </c>
      <c r="T545" s="45">
        <f t="shared" si="61"/>
        <v>0</v>
      </c>
      <c r="U545" s="47">
        <f t="shared" si="62"/>
        <v>1830.48</v>
      </c>
    </row>
    <row r="546" spans="1:21" x14ac:dyDescent="0.3">
      <c r="A546" s="41" t="str">
        <f t="shared" si="56"/>
        <v>PANNOU</v>
      </c>
      <c r="B546" s="43">
        <v>45537</v>
      </c>
      <c r="C546" s="10" t="s">
        <v>588</v>
      </c>
      <c r="D546" s="10" t="s">
        <v>42</v>
      </c>
      <c r="E546" s="10" t="s">
        <v>2</v>
      </c>
      <c r="F546" s="10" t="s">
        <v>23</v>
      </c>
      <c r="G546" s="10" t="s">
        <v>49</v>
      </c>
      <c r="H546" s="10" t="s">
        <v>56</v>
      </c>
      <c r="I546" s="45">
        <v>3567</v>
      </c>
      <c r="J546" s="11">
        <v>0</v>
      </c>
      <c r="K546" s="45">
        <f t="shared" si="57"/>
        <v>3567</v>
      </c>
      <c r="L546" s="10">
        <v>5</v>
      </c>
      <c r="M546" s="10">
        <v>4.5</v>
      </c>
      <c r="N546" s="10" t="b">
        <v>0</v>
      </c>
      <c r="O546" s="41"/>
      <c r="P546" s="45">
        <f t="shared" si="58"/>
        <v>1498.1399999999999</v>
      </c>
      <c r="Q546" s="45">
        <f t="shared" si="59"/>
        <v>2068.86</v>
      </c>
      <c r="R546" s="45">
        <v>0</v>
      </c>
      <c r="S546" s="45">
        <f t="shared" si="60"/>
        <v>0</v>
      </c>
      <c r="T546" s="45">
        <f t="shared" si="61"/>
        <v>0</v>
      </c>
      <c r="U546" s="47">
        <f t="shared" si="62"/>
        <v>2068.86</v>
      </c>
    </row>
    <row r="547" spans="1:21" x14ac:dyDescent="0.3">
      <c r="A547" s="41" t="str">
        <f t="shared" si="56"/>
        <v>PANNAC</v>
      </c>
      <c r="B547" s="43">
        <v>45537</v>
      </c>
      <c r="C547" s="10" t="s">
        <v>589</v>
      </c>
      <c r="D547" s="10" t="s">
        <v>42</v>
      </c>
      <c r="E547" s="10" t="s">
        <v>15</v>
      </c>
      <c r="F547" s="10" t="s">
        <v>11</v>
      </c>
      <c r="G547" s="10" t="s">
        <v>7</v>
      </c>
      <c r="H547" s="10" t="s">
        <v>28</v>
      </c>
      <c r="I547" s="45">
        <v>363</v>
      </c>
      <c r="J547" s="11">
        <v>0.32600000000000001</v>
      </c>
      <c r="K547" s="45">
        <f t="shared" si="57"/>
        <v>244.66199999999998</v>
      </c>
      <c r="L547" s="10">
        <v>46</v>
      </c>
      <c r="M547" s="10">
        <v>1.1000000000000001</v>
      </c>
      <c r="N547" s="10" t="b">
        <v>0</v>
      </c>
      <c r="O547" s="41"/>
      <c r="P547" s="45">
        <f t="shared" si="58"/>
        <v>102.75803999999998</v>
      </c>
      <c r="Q547" s="45">
        <f t="shared" si="59"/>
        <v>141.90395999999998</v>
      </c>
      <c r="R547" s="45">
        <v>0</v>
      </c>
      <c r="S547" s="45">
        <f t="shared" si="60"/>
        <v>0</v>
      </c>
      <c r="T547" s="45">
        <f t="shared" si="61"/>
        <v>0</v>
      </c>
      <c r="U547" s="47">
        <f t="shared" si="62"/>
        <v>141.90395999999998</v>
      </c>
    </row>
    <row r="548" spans="1:21" x14ac:dyDescent="0.3">
      <c r="A548" s="41" t="str">
        <f t="shared" si="56"/>
        <v>PBANBO</v>
      </c>
      <c r="B548" s="43">
        <v>45538</v>
      </c>
      <c r="C548" s="10" t="s">
        <v>590</v>
      </c>
      <c r="D548" s="10" t="s">
        <v>21</v>
      </c>
      <c r="E548" s="10" t="s">
        <v>26</v>
      </c>
      <c r="F548" s="10" t="s">
        <v>4</v>
      </c>
      <c r="G548" s="10" t="s">
        <v>46</v>
      </c>
      <c r="H548" s="10" t="s">
        <v>13</v>
      </c>
      <c r="I548" s="45">
        <v>2696</v>
      </c>
      <c r="J548" s="11">
        <v>0</v>
      </c>
      <c r="K548" s="45">
        <f t="shared" si="57"/>
        <v>2696</v>
      </c>
      <c r="L548" s="10">
        <v>42</v>
      </c>
      <c r="M548" s="10"/>
      <c r="N548" s="10" t="b">
        <v>0</v>
      </c>
      <c r="O548" s="41"/>
      <c r="P548" s="45">
        <f t="shared" si="58"/>
        <v>1132.32</v>
      </c>
      <c r="Q548" s="45">
        <f t="shared" si="59"/>
        <v>1563.68</v>
      </c>
      <c r="R548" s="45">
        <v>0</v>
      </c>
      <c r="S548" s="45">
        <f t="shared" si="60"/>
        <v>0</v>
      </c>
      <c r="T548" s="45">
        <f t="shared" si="61"/>
        <v>0</v>
      </c>
      <c r="U548" s="47">
        <f t="shared" si="62"/>
        <v>1563.68</v>
      </c>
    </row>
    <row r="549" spans="1:21" x14ac:dyDescent="0.3">
      <c r="A549" s="41" t="str">
        <f t="shared" si="56"/>
        <v>PUNIAC</v>
      </c>
      <c r="B549" s="43">
        <v>45538</v>
      </c>
      <c r="C549" s="10" t="s">
        <v>591</v>
      </c>
      <c r="D549" s="10" t="s">
        <v>10</v>
      </c>
      <c r="E549" s="10" t="s">
        <v>15</v>
      </c>
      <c r="F549" s="10" t="s">
        <v>4</v>
      </c>
      <c r="G549" s="10" t="s">
        <v>7</v>
      </c>
      <c r="H549" s="10" t="s">
        <v>47</v>
      </c>
      <c r="I549" s="45">
        <v>185</v>
      </c>
      <c r="J549" s="11">
        <v>0</v>
      </c>
      <c r="K549" s="45">
        <f t="shared" si="57"/>
        <v>185</v>
      </c>
      <c r="L549" s="10">
        <v>35</v>
      </c>
      <c r="M549" s="10">
        <v>4</v>
      </c>
      <c r="N549" s="10" t="b">
        <v>1</v>
      </c>
      <c r="O549" s="41" t="s">
        <v>33</v>
      </c>
      <c r="P549" s="45">
        <f t="shared" si="58"/>
        <v>77.7</v>
      </c>
      <c r="Q549" s="45">
        <f t="shared" si="59"/>
        <v>107.3</v>
      </c>
      <c r="R549" s="45">
        <v>150</v>
      </c>
      <c r="S549" s="45">
        <f t="shared" si="60"/>
        <v>18.5</v>
      </c>
      <c r="T549" s="45">
        <f t="shared" si="61"/>
        <v>185</v>
      </c>
      <c r="U549" s="47">
        <f t="shared" si="62"/>
        <v>-246.2</v>
      </c>
    </row>
    <row r="550" spans="1:21" x14ac:dyDescent="0.3">
      <c r="A550" s="41" t="str">
        <f t="shared" si="56"/>
        <v>PZARDR</v>
      </c>
      <c r="B550" s="43">
        <v>45538</v>
      </c>
      <c r="C550" s="10" t="s">
        <v>592</v>
      </c>
      <c r="D550" s="10" t="s">
        <v>3</v>
      </c>
      <c r="E550" s="10" t="s">
        <v>30</v>
      </c>
      <c r="F550" s="10" t="s">
        <v>23</v>
      </c>
      <c r="G550" s="10" t="s">
        <v>49</v>
      </c>
      <c r="H550" s="10" t="s">
        <v>47</v>
      </c>
      <c r="I550" s="45">
        <v>2923</v>
      </c>
      <c r="J550" s="11">
        <v>0</v>
      </c>
      <c r="K550" s="45">
        <f t="shared" si="57"/>
        <v>2923</v>
      </c>
      <c r="L550" s="10">
        <v>33</v>
      </c>
      <c r="M550" s="10">
        <v>2.2999999999999998</v>
      </c>
      <c r="N550" s="10" t="b">
        <v>0</v>
      </c>
      <c r="O550" s="41"/>
      <c r="P550" s="45">
        <f t="shared" si="58"/>
        <v>1227.6599999999999</v>
      </c>
      <c r="Q550" s="45">
        <f t="shared" si="59"/>
        <v>1695.3400000000001</v>
      </c>
      <c r="R550" s="45">
        <v>0</v>
      </c>
      <c r="S550" s="45">
        <f t="shared" si="60"/>
        <v>0</v>
      </c>
      <c r="T550" s="45">
        <f t="shared" si="61"/>
        <v>0</v>
      </c>
      <c r="U550" s="47">
        <f t="shared" si="62"/>
        <v>1695.3400000000001</v>
      </c>
    </row>
    <row r="551" spans="1:21" x14ac:dyDescent="0.3">
      <c r="A551" s="41" t="str">
        <f t="shared" si="56"/>
        <v>PGAPBO</v>
      </c>
      <c r="B551" s="43">
        <v>45539</v>
      </c>
      <c r="C551" s="10" t="s">
        <v>593</v>
      </c>
      <c r="D551" s="10" t="s">
        <v>53</v>
      </c>
      <c r="E551" s="10" t="s">
        <v>26</v>
      </c>
      <c r="F551" s="10" t="s">
        <v>23</v>
      </c>
      <c r="G551" s="10" t="s">
        <v>7</v>
      </c>
      <c r="H551" s="10" t="s">
        <v>16</v>
      </c>
      <c r="I551" s="45">
        <v>2464</v>
      </c>
      <c r="J551" s="11">
        <v>0.28399999999999997</v>
      </c>
      <c r="K551" s="45">
        <f t="shared" si="57"/>
        <v>1764.2239999999999</v>
      </c>
      <c r="L551" s="10">
        <v>40</v>
      </c>
      <c r="M551" s="10">
        <v>4.5</v>
      </c>
      <c r="N551" s="10" t="b">
        <v>0</v>
      </c>
      <c r="O551" s="41"/>
      <c r="P551" s="45">
        <f t="shared" si="58"/>
        <v>740.97407999999996</v>
      </c>
      <c r="Q551" s="45">
        <f t="shared" si="59"/>
        <v>1023.24992</v>
      </c>
      <c r="R551" s="45">
        <v>0</v>
      </c>
      <c r="S551" s="45">
        <f t="shared" si="60"/>
        <v>0</v>
      </c>
      <c r="T551" s="45">
        <f t="shared" si="61"/>
        <v>0</v>
      </c>
      <c r="U551" s="47">
        <f t="shared" si="62"/>
        <v>1023.24992</v>
      </c>
    </row>
    <row r="552" spans="1:21" x14ac:dyDescent="0.3">
      <c r="A552" s="41" t="str">
        <f t="shared" si="56"/>
        <v>PBANBO</v>
      </c>
      <c r="B552" s="43">
        <v>45539</v>
      </c>
      <c r="C552" s="10" t="s">
        <v>594</v>
      </c>
      <c r="D552" s="10" t="s">
        <v>21</v>
      </c>
      <c r="E552" s="10" t="s">
        <v>26</v>
      </c>
      <c r="F552" s="10" t="s">
        <v>4</v>
      </c>
      <c r="G552" s="10" t="s">
        <v>12</v>
      </c>
      <c r="H552" s="10" t="s">
        <v>6</v>
      </c>
      <c r="I552" s="45">
        <v>2145</v>
      </c>
      <c r="J552" s="11">
        <v>0</v>
      </c>
      <c r="K552" s="45">
        <f t="shared" si="57"/>
        <v>2145</v>
      </c>
      <c r="L552" s="10">
        <v>26</v>
      </c>
      <c r="M552" s="10">
        <v>4.0999999999999996</v>
      </c>
      <c r="N552" s="10" t="b">
        <v>0</v>
      </c>
      <c r="O552" s="41"/>
      <c r="P552" s="45">
        <f t="shared" si="58"/>
        <v>900.9</v>
      </c>
      <c r="Q552" s="45">
        <f t="shared" si="59"/>
        <v>1244.0999999999999</v>
      </c>
      <c r="R552" s="45">
        <v>0</v>
      </c>
      <c r="S552" s="45">
        <f t="shared" si="60"/>
        <v>0</v>
      </c>
      <c r="T552" s="45">
        <f t="shared" si="61"/>
        <v>0</v>
      </c>
      <c r="U552" s="47">
        <f t="shared" si="62"/>
        <v>1244.0999999999999</v>
      </c>
    </row>
    <row r="553" spans="1:21" x14ac:dyDescent="0.3">
      <c r="A553" s="41" t="str">
        <f t="shared" si="56"/>
        <v>PFORSH</v>
      </c>
      <c r="B553" s="43">
        <v>45539</v>
      </c>
      <c r="C553" s="10" t="s">
        <v>595</v>
      </c>
      <c r="D553" s="10" t="s">
        <v>65</v>
      </c>
      <c r="E553" s="10" t="s">
        <v>18</v>
      </c>
      <c r="F553" s="10" t="s">
        <v>54</v>
      </c>
      <c r="G553" s="10" t="s">
        <v>38</v>
      </c>
      <c r="H553" s="10" t="s">
        <v>35</v>
      </c>
      <c r="I553" s="45">
        <v>3315</v>
      </c>
      <c r="J553" s="11">
        <v>0.34499999999999997</v>
      </c>
      <c r="K553" s="45">
        <f t="shared" si="57"/>
        <v>2171.3250000000003</v>
      </c>
      <c r="L553" s="10">
        <v>48</v>
      </c>
      <c r="M553" s="10">
        <v>4.5</v>
      </c>
      <c r="N553" s="10" t="b">
        <v>1</v>
      </c>
      <c r="O553" s="41" t="s">
        <v>309</v>
      </c>
      <c r="P553" s="45">
        <f t="shared" si="58"/>
        <v>911.95650000000012</v>
      </c>
      <c r="Q553" s="45">
        <f t="shared" si="59"/>
        <v>1259.3685</v>
      </c>
      <c r="R553" s="45">
        <v>150</v>
      </c>
      <c r="S553" s="45">
        <f t="shared" si="60"/>
        <v>217.13250000000005</v>
      </c>
      <c r="T553" s="45">
        <f t="shared" si="61"/>
        <v>2171.3250000000003</v>
      </c>
      <c r="U553" s="47">
        <f t="shared" si="62"/>
        <v>-1279.0890000000004</v>
      </c>
    </row>
    <row r="554" spans="1:21" x14ac:dyDescent="0.3">
      <c r="A554" s="41" t="str">
        <f t="shared" si="56"/>
        <v>PZARDR</v>
      </c>
      <c r="B554" s="43">
        <v>45539</v>
      </c>
      <c r="C554" s="10" t="s">
        <v>596</v>
      </c>
      <c r="D554" s="10" t="s">
        <v>3</v>
      </c>
      <c r="E554" s="10" t="s">
        <v>30</v>
      </c>
      <c r="F554" s="10" t="s">
        <v>4</v>
      </c>
      <c r="G554" s="10" t="s">
        <v>7</v>
      </c>
      <c r="H554" s="10" t="s">
        <v>47</v>
      </c>
      <c r="I554" s="45">
        <v>1992</v>
      </c>
      <c r="J554" s="11">
        <v>0</v>
      </c>
      <c r="K554" s="45">
        <f t="shared" si="57"/>
        <v>1992</v>
      </c>
      <c r="L554" s="10">
        <v>11</v>
      </c>
      <c r="M554" s="10">
        <v>4.4000000000000004</v>
      </c>
      <c r="N554" s="10" t="b">
        <v>0</v>
      </c>
      <c r="O554" s="41"/>
      <c r="P554" s="45">
        <f t="shared" si="58"/>
        <v>836.64</v>
      </c>
      <c r="Q554" s="45">
        <f t="shared" si="59"/>
        <v>1155.3600000000001</v>
      </c>
      <c r="R554" s="45">
        <v>0</v>
      </c>
      <c r="S554" s="45">
        <f t="shared" si="60"/>
        <v>0</v>
      </c>
      <c r="T554" s="45">
        <f t="shared" si="61"/>
        <v>0</v>
      </c>
      <c r="U554" s="47">
        <f t="shared" si="62"/>
        <v>1155.3600000000001</v>
      </c>
    </row>
    <row r="555" spans="1:21" x14ac:dyDescent="0.3">
      <c r="A555" s="41" t="str">
        <f t="shared" si="56"/>
        <v>PGAPBO</v>
      </c>
      <c r="B555" s="43">
        <v>45540</v>
      </c>
      <c r="C555" s="10" t="s">
        <v>597</v>
      </c>
      <c r="D555" s="10" t="s">
        <v>53</v>
      </c>
      <c r="E555" s="10" t="s">
        <v>26</v>
      </c>
      <c r="F555" s="10" t="s">
        <v>54</v>
      </c>
      <c r="G555" s="10" t="s">
        <v>5</v>
      </c>
      <c r="H555" s="10" t="s">
        <v>56</v>
      </c>
      <c r="I555" s="45">
        <v>2494</v>
      </c>
      <c r="J555" s="11">
        <v>0.495</v>
      </c>
      <c r="K555" s="45">
        <f t="shared" si="57"/>
        <v>1259.47</v>
      </c>
      <c r="L555" s="10">
        <v>19</v>
      </c>
      <c r="M555" s="10">
        <v>4.3</v>
      </c>
      <c r="N555" s="10" t="b">
        <v>0</v>
      </c>
      <c r="O555" s="41"/>
      <c r="P555" s="45">
        <f t="shared" si="58"/>
        <v>528.97739999999999</v>
      </c>
      <c r="Q555" s="45">
        <f t="shared" si="59"/>
        <v>730.49260000000004</v>
      </c>
      <c r="R555" s="45">
        <v>0</v>
      </c>
      <c r="S555" s="45">
        <f t="shared" si="60"/>
        <v>0</v>
      </c>
      <c r="T555" s="45">
        <f t="shared" si="61"/>
        <v>0</v>
      </c>
      <c r="U555" s="47">
        <f t="shared" si="62"/>
        <v>730.49260000000004</v>
      </c>
    </row>
    <row r="556" spans="1:21" x14ac:dyDescent="0.3">
      <c r="A556" s="41" t="str">
        <f t="shared" si="56"/>
        <v>PFORTO</v>
      </c>
      <c r="B556" s="43">
        <v>45540</v>
      </c>
      <c r="C556" s="10" t="s">
        <v>598</v>
      </c>
      <c r="D556" s="10" t="s">
        <v>65</v>
      </c>
      <c r="E556" s="10" t="s">
        <v>9</v>
      </c>
      <c r="F556" s="10" t="s">
        <v>11</v>
      </c>
      <c r="G556" s="10" t="s">
        <v>46</v>
      </c>
      <c r="H556" s="10" t="s">
        <v>6</v>
      </c>
      <c r="I556" s="45">
        <v>1021</v>
      </c>
      <c r="J556" s="11">
        <v>0.18899999999999997</v>
      </c>
      <c r="K556" s="45">
        <f t="shared" si="57"/>
        <v>828.03100000000006</v>
      </c>
      <c r="L556" s="10">
        <v>39</v>
      </c>
      <c r="M556" s="10">
        <v>1.2</v>
      </c>
      <c r="N556" s="10" t="b">
        <v>0</v>
      </c>
      <c r="O556" s="41"/>
      <c r="P556" s="45">
        <f t="shared" si="58"/>
        <v>347.77302000000003</v>
      </c>
      <c r="Q556" s="45">
        <f t="shared" si="59"/>
        <v>480.25798000000003</v>
      </c>
      <c r="R556" s="45">
        <v>0</v>
      </c>
      <c r="S556" s="45">
        <f t="shared" si="60"/>
        <v>0</v>
      </c>
      <c r="T556" s="45">
        <f t="shared" si="61"/>
        <v>0</v>
      </c>
      <c r="U556" s="47">
        <f t="shared" si="62"/>
        <v>480.25798000000003</v>
      </c>
    </row>
    <row r="557" spans="1:21" x14ac:dyDescent="0.3">
      <c r="A557" s="41" t="str">
        <f t="shared" si="56"/>
        <v>PANNTO</v>
      </c>
      <c r="B557" s="43">
        <v>45540</v>
      </c>
      <c r="C557" s="10" t="s">
        <v>599</v>
      </c>
      <c r="D557" s="10" t="s">
        <v>42</v>
      </c>
      <c r="E557" s="10" t="s">
        <v>9</v>
      </c>
      <c r="F557" s="10" t="s">
        <v>4</v>
      </c>
      <c r="G557" s="10" t="s">
        <v>46</v>
      </c>
      <c r="H557" s="10" t="s">
        <v>13</v>
      </c>
      <c r="I557" s="45">
        <v>1347</v>
      </c>
      <c r="J557" s="11">
        <v>0</v>
      </c>
      <c r="K557" s="45">
        <f t="shared" si="57"/>
        <v>1347</v>
      </c>
      <c r="L557" s="10">
        <v>2</v>
      </c>
      <c r="M557" s="10">
        <v>3.2</v>
      </c>
      <c r="N557" s="10" t="b">
        <v>1</v>
      </c>
      <c r="O557" s="41" t="s">
        <v>309</v>
      </c>
      <c r="P557" s="45">
        <f t="shared" si="58"/>
        <v>565.74</v>
      </c>
      <c r="Q557" s="45">
        <f t="shared" si="59"/>
        <v>781.26</v>
      </c>
      <c r="R557" s="45">
        <v>150</v>
      </c>
      <c r="S557" s="45">
        <f t="shared" si="60"/>
        <v>134.70000000000002</v>
      </c>
      <c r="T557" s="45">
        <f t="shared" si="61"/>
        <v>1347</v>
      </c>
      <c r="U557" s="47">
        <f t="shared" si="62"/>
        <v>-850.44</v>
      </c>
    </row>
    <row r="558" spans="1:21" x14ac:dyDescent="0.3">
      <c r="A558" s="41" t="str">
        <f t="shared" si="56"/>
        <v>PMANBO</v>
      </c>
      <c r="B558" s="43">
        <v>45540</v>
      </c>
      <c r="C558" s="10" t="s">
        <v>600</v>
      </c>
      <c r="D558" s="10" t="s">
        <v>31</v>
      </c>
      <c r="E558" s="10" t="s">
        <v>26</v>
      </c>
      <c r="F558" s="10" t="s">
        <v>11</v>
      </c>
      <c r="G558" s="10" t="s">
        <v>7</v>
      </c>
      <c r="H558" s="10" t="s">
        <v>47</v>
      </c>
      <c r="I558" s="45">
        <v>2919</v>
      </c>
      <c r="J558" s="11">
        <v>0.377</v>
      </c>
      <c r="K558" s="45">
        <f t="shared" si="57"/>
        <v>1818.537</v>
      </c>
      <c r="L558" s="10">
        <v>40</v>
      </c>
      <c r="M558" s="10">
        <v>2.1</v>
      </c>
      <c r="N558" s="10" t="b">
        <v>0</v>
      </c>
      <c r="O558" s="41"/>
      <c r="P558" s="45">
        <f t="shared" si="58"/>
        <v>763.78553999999997</v>
      </c>
      <c r="Q558" s="45">
        <f t="shared" si="59"/>
        <v>1054.75146</v>
      </c>
      <c r="R558" s="45">
        <v>0</v>
      </c>
      <c r="S558" s="45">
        <f t="shared" si="60"/>
        <v>0</v>
      </c>
      <c r="T558" s="45">
        <f t="shared" si="61"/>
        <v>0</v>
      </c>
      <c r="U558" s="47">
        <f t="shared" si="62"/>
        <v>1054.75146</v>
      </c>
    </row>
    <row r="559" spans="1:21" x14ac:dyDescent="0.3">
      <c r="A559" s="41" t="str">
        <f t="shared" si="56"/>
        <v>PUNIDR</v>
      </c>
      <c r="B559" s="43">
        <v>45541</v>
      </c>
      <c r="C559" s="10" t="s">
        <v>601</v>
      </c>
      <c r="D559" s="10" t="s">
        <v>10</v>
      </c>
      <c r="E559" s="10" t="s">
        <v>30</v>
      </c>
      <c r="F559" s="10" t="s">
        <v>23</v>
      </c>
      <c r="G559" s="10" t="s">
        <v>49</v>
      </c>
      <c r="H559" s="10" t="s">
        <v>88</v>
      </c>
      <c r="I559" s="45">
        <v>2385</v>
      </c>
      <c r="J559" s="11">
        <v>0</v>
      </c>
      <c r="K559" s="45">
        <f t="shared" si="57"/>
        <v>2385</v>
      </c>
      <c r="L559" s="10">
        <v>30</v>
      </c>
      <c r="M559" s="10"/>
      <c r="N559" s="10" t="b">
        <v>0</v>
      </c>
      <c r="O559" s="41"/>
      <c r="P559" s="45">
        <f t="shared" si="58"/>
        <v>1001.6999999999999</v>
      </c>
      <c r="Q559" s="45">
        <f t="shared" si="59"/>
        <v>1383.3000000000002</v>
      </c>
      <c r="R559" s="45">
        <v>0</v>
      </c>
      <c r="S559" s="45">
        <f t="shared" si="60"/>
        <v>0</v>
      </c>
      <c r="T559" s="45">
        <f t="shared" si="61"/>
        <v>0</v>
      </c>
      <c r="U559" s="47">
        <f t="shared" si="62"/>
        <v>1383.3000000000002</v>
      </c>
    </row>
    <row r="560" spans="1:21" x14ac:dyDescent="0.3">
      <c r="A560" s="41" t="str">
        <f t="shared" si="56"/>
        <v>PANNTO</v>
      </c>
      <c r="B560" s="43">
        <v>45541</v>
      </c>
      <c r="C560" s="10" t="s">
        <v>602</v>
      </c>
      <c r="D560" s="10" t="s">
        <v>42</v>
      </c>
      <c r="E560" s="10" t="s">
        <v>9</v>
      </c>
      <c r="F560" s="10" t="s">
        <v>4</v>
      </c>
      <c r="G560" s="10" t="s">
        <v>27</v>
      </c>
      <c r="H560" s="10" t="s">
        <v>56</v>
      </c>
      <c r="I560" s="45">
        <v>1786</v>
      </c>
      <c r="J560" s="11">
        <v>0</v>
      </c>
      <c r="K560" s="45">
        <f t="shared" si="57"/>
        <v>1786</v>
      </c>
      <c r="L560" s="10">
        <v>10</v>
      </c>
      <c r="M560" s="10">
        <v>3.4</v>
      </c>
      <c r="N560" s="10" t="b">
        <v>1</v>
      </c>
      <c r="O560" s="41" t="s">
        <v>44</v>
      </c>
      <c r="P560" s="45">
        <f t="shared" si="58"/>
        <v>750.12</v>
      </c>
      <c r="Q560" s="45">
        <f t="shared" si="59"/>
        <v>1035.8800000000001</v>
      </c>
      <c r="R560" s="45">
        <v>150</v>
      </c>
      <c r="S560" s="45">
        <f t="shared" si="60"/>
        <v>178.60000000000002</v>
      </c>
      <c r="T560" s="45">
        <f t="shared" si="61"/>
        <v>1786</v>
      </c>
      <c r="U560" s="47">
        <f t="shared" si="62"/>
        <v>-1078.7199999999998</v>
      </c>
    </row>
    <row r="561" spans="1:21" x14ac:dyDescent="0.3">
      <c r="A561" s="41" t="str">
        <f t="shared" si="56"/>
        <v>PMANBO</v>
      </c>
      <c r="B561" s="43">
        <v>45541</v>
      </c>
      <c r="C561" s="10" t="s">
        <v>603</v>
      </c>
      <c r="D561" s="10" t="s">
        <v>31</v>
      </c>
      <c r="E561" s="10" t="s">
        <v>26</v>
      </c>
      <c r="F561" s="10" t="s">
        <v>54</v>
      </c>
      <c r="G561" s="10" t="s">
        <v>12</v>
      </c>
      <c r="H561" s="10" t="s">
        <v>35</v>
      </c>
      <c r="I561" s="45">
        <v>2597</v>
      </c>
      <c r="J561" s="11">
        <v>0.42700000000000005</v>
      </c>
      <c r="K561" s="45">
        <f t="shared" si="57"/>
        <v>1488.0809999999999</v>
      </c>
      <c r="L561" s="10">
        <v>11</v>
      </c>
      <c r="M561" s="10">
        <v>2</v>
      </c>
      <c r="N561" s="10" t="b">
        <v>1</v>
      </c>
      <c r="O561" s="41" t="s">
        <v>33</v>
      </c>
      <c r="P561" s="45">
        <f t="shared" si="58"/>
        <v>624.99401999999998</v>
      </c>
      <c r="Q561" s="45">
        <f t="shared" si="59"/>
        <v>863.08697999999993</v>
      </c>
      <c r="R561" s="45">
        <v>150</v>
      </c>
      <c r="S561" s="45">
        <f t="shared" si="60"/>
        <v>148.8081</v>
      </c>
      <c r="T561" s="45">
        <f t="shared" si="61"/>
        <v>1488.0809999999999</v>
      </c>
      <c r="U561" s="47">
        <f t="shared" si="62"/>
        <v>-923.80211999999995</v>
      </c>
    </row>
    <row r="562" spans="1:21" x14ac:dyDescent="0.3">
      <c r="A562" s="41" t="str">
        <f t="shared" si="56"/>
        <v>PANNDR</v>
      </c>
      <c r="B562" s="43">
        <v>45542</v>
      </c>
      <c r="C562" s="10" t="s">
        <v>604</v>
      </c>
      <c r="D562" s="10" t="s">
        <v>42</v>
      </c>
      <c r="E562" s="10" t="s">
        <v>30</v>
      </c>
      <c r="F562" s="10" t="s">
        <v>4</v>
      </c>
      <c r="G562" s="10" t="s">
        <v>49</v>
      </c>
      <c r="H562" s="10" t="s">
        <v>43</v>
      </c>
      <c r="I562" s="45">
        <v>2924</v>
      </c>
      <c r="J562" s="11">
        <v>0</v>
      </c>
      <c r="K562" s="45">
        <f t="shared" si="57"/>
        <v>2924</v>
      </c>
      <c r="L562" s="10">
        <v>10</v>
      </c>
      <c r="M562" s="10">
        <v>2.5</v>
      </c>
      <c r="N562" s="10" t="b">
        <v>0</v>
      </c>
      <c r="O562" s="41"/>
      <c r="P562" s="45">
        <f t="shared" si="58"/>
        <v>1228.08</v>
      </c>
      <c r="Q562" s="45">
        <f t="shared" si="59"/>
        <v>1695.92</v>
      </c>
      <c r="R562" s="45">
        <v>0</v>
      </c>
      <c r="S562" s="45">
        <f t="shared" si="60"/>
        <v>0</v>
      </c>
      <c r="T562" s="45">
        <f t="shared" si="61"/>
        <v>0</v>
      </c>
      <c r="U562" s="47">
        <f t="shared" si="62"/>
        <v>1695.92</v>
      </c>
    </row>
    <row r="563" spans="1:21" x14ac:dyDescent="0.3">
      <c r="A563" s="41" t="str">
        <f t="shared" si="56"/>
        <v>PUNISH</v>
      </c>
      <c r="B563" s="43">
        <v>45542</v>
      </c>
      <c r="C563" s="10" t="s">
        <v>605</v>
      </c>
      <c r="D563" s="10" t="s">
        <v>10</v>
      </c>
      <c r="E563" s="10" t="s">
        <v>18</v>
      </c>
      <c r="F563" s="10" t="s">
        <v>4</v>
      </c>
      <c r="G563" s="10" t="s">
        <v>12</v>
      </c>
      <c r="H563" s="10" t="s">
        <v>16</v>
      </c>
      <c r="I563" s="45">
        <v>4143</v>
      </c>
      <c r="J563" s="11">
        <v>0</v>
      </c>
      <c r="K563" s="45">
        <f t="shared" si="57"/>
        <v>4143</v>
      </c>
      <c r="L563" s="10">
        <v>24</v>
      </c>
      <c r="M563" s="10">
        <v>1</v>
      </c>
      <c r="N563" s="10" t="b">
        <v>0</v>
      </c>
      <c r="O563" s="41"/>
      <c r="P563" s="45">
        <f t="shared" si="58"/>
        <v>1740.06</v>
      </c>
      <c r="Q563" s="45">
        <f t="shared" si="59"/>
        <v>2402.94</v>
      </c>
      <c r="R563" s="45">
        <v>0</v>
      </c>
      <c r="S563" s="45">
        <f t="shared" si="60"/>
        <v>0</v>
      </c>
      <c r="T563" s="45">
        <f t="shared" si="61"/>
        <v>0</v>
      </c>
      <c r="U563" s="47">
        <f t="shared" si="62"/>
        <v>2402.94</v>
      </c>
    </row>
    <row r="564" spans="1:21" x14ac:dyDescent="0.3">
      <c r="A564" s="41" t="str">
        <f t="shared" si="56"/>
        <v>PFORBO</v>
      </c>
      <c r="B564" s="43">
        <v>45542</v>
      </c>
      <c r="C564" s="10" t="s">
        <v>606</v>
      </c>
      <c r="D564" s="10" t="s">
        <v>65</v>
      </c>
      <c r="E564" s="10" t="s">
        <v>26</v>
      </c>
      <c r="F564" s="10" t="s">
        <v>11</v>
      </c>
      <c r="G564" s="10" t="s">
        <v>12</v>
      </c>
      <c r="H564" s="10" t="s">
        <v>56</v>
      </c>
      <c r="I564" s="45">
        <v>2287</v>
      </c>
      <c r="J564" s="11">
        <v>0</v>
      </c>
      <c r="K564" s="45">
        <f t="shared" si="57"/>
        <v>2287</v>
      </c>
      <c r="L564" s="10">
        <v>6</v>
      </c>
      <c r="M564" s="10">
        <v>4.3</v>
      </c>
      <c r="N564" s="10" t="b">
        <v>0</v>
      </c>
      <c r="O564" s="41"/>
      <c r="P564" s="45">
        <f t="shared" si="58"/>
        <v>960.54</v>
      </c>
      <c r="Q564" s="45">
        <f t="shared" si="59"/>
        <v>1326.46</v>
      </c>
      <c r="R564" s="45">
        <v>0</v>
      </c>
      <c r="S564" s="45">
        <f t="shared" si="60"/>
        <v>0</v>
      </c>
      <c r="T564" s="45">
        <f t="shared" si="61"/>
        <v>0</v>
      </c>
      <c r="U564" s="47">
        <f t="shared" si="62"/>
        <v>1326.46</v>
      </c>
    </row>
    <row r="565" spans="1:21" x14ac:dyDescent="0.3">
      <c r="A565" s="41" t="str">
        <f t="shared" si="56"/>
        <v>PH&amp;MDR</v>
      </c>
      <c r="B565" s="43">
        <v>45542</v>
      </c>
      <c r="C565" s="10" t="s">
        <v>607</v>
      </c>
      <c r="D565" s="10" t="s">
        <v>37</v>
      </c>
      <c r="E565" s="10" t="s">
        <v>30</v>
      </c>
      <c r="F565" s="10" t="s">
        <v>23</v>
      </c>
      <c r="G565" s="10" t="s">
        <v>46</v>
      </c>
      <c r="H565" s="10" t="s">
        <v>28</v>
      </c>
      <c r="I565" s="45">
        <v>2360</v>
      </c>
      <c r="J565" s="11">
        <v>0</v>
      </c>
      <c r="K565" s="45">
        <f t="shared" si="57"/>
        <v>2360</v>
      </c>
      <c r="L565" s="10">
        <v>45</v>
      </c>
      <c r="M565" s="10">
        <v>4.2</v>
      </c>
      <c r="N565" s="10" t="b">
        <v>0</v>
      </c>
      <c r="O565" s="41"/>
      <c r="P565" s="45">
        <f t="shared" si="58"/>
        <v>991.19999999999993</v>
      </c>
      <c r="Q565" s="45">
        <f t="shared" si="59"/>
        <v>1368.8000000000002</v>
      </c>
      <c r="R565" s="45">
        <v>0</v>
      </c>
      <c r="S565" s="45">
        <f t="shared" si="60"/>
        <v>0</v>
      </c>
      <c r="T565" s="45">
        <f t="shared" si="61"/>
        <v>0</v>
      </c>
      <c r="U565" s="47">
        <f t="shared" si="62"/>
        <v>1368.8000000000002</v>
      </c>
    </row>
    <row r="566" spans="1:21" x14ac:dyDescent="0.3">
      <c r="A566" s="41" t="str">
        <f t="shared" si="56"/>
        <v>PMANSH</v>
      </c>
      <c r="B566" s="43">
        <v>45542</v>
      </c>
      <c r="C566" s="10" t="s">
        <v>608</v>
      </c>
      <c r="D566" s="10" t="s">
        <v>31</v>
      </c>
      <c r="E566" s="10" t="s">
        <v>18</v>
      </c>
      <c r="F566" s="10" t="s">
        <v>54</v>
      </c>
      <c r="G566" s="10" t="s">
        <v>49</v>
      </c>
      <c r="H566" s="10" t="s">
        <v>88</v>
      </c>
      <c r="I566" s="45">
        <v>3299</v>
      </c>
      <c r="J566" s="11">
        <v>0</v>
      </c>
      <c r="K566" s="45">
        <f t="shared" si="57"/>
        <v>3299</v>
      </c>
      <c r="L566" s="10">
        <v>41</v>
      </c>
      <c r="M566" s="10">
        <v>2.6</v>
      </c>
      <c r="N566" s="10" t="b">
        <v>0</v>
      </c>
      <c r="O566" s="41"/>
      <c r="P566" s="45">
        <f t="shared" si="58"/>
        <v>1385.58</v>
      </c>
      <c r="Q566" s="45">
        <f t="shared" si="59"/>
        <v>1913.42</v>
      </c>
      <c r="R566" s="45">
        <v>0</v>
      </c>
      <c r="S566" s="45">
        <f t="shared" si="60"/>
        <v>0</v>
      </c>
      <c r="T566" s="45">
        <f t="shared" si="61"/>
        <v>0</v>
      </c>
      <c r="U566" s="47">
        <f t="shared" si="62"/>
        <v>1913.42</v>
      </c>
    </row>
    <row r="567" spans="1:21" x14ac:dyDescent="0.3">
      <c r="A567" s="41" t="str">
        <f t="shared" si="56"/>
        <v>PMANSH</v>
      </c>
      <c r="B567" s="43">
        <v>45543</v>
      </c>
      <c r="C567" s="10" t="s">
        <v>609</v>
      </c>
      <c r="D567" s="10" t="s">
        <v>31</v>
      </c>
      <c r="E567" s="10" t="s">
        <v>18</v>
      </c>
      <c r="F567" s="10" t="s">
        <v>54</v>
      </c>
      <c r="G567" s="10" t="s">
        <v>5</v>
      </c>
      <c r="H567" s="10" t="s">
        <v>7</v>
      </c>
      <c r="I567" s="45">
        <v>3074</v>
      </c>
      <c r="J567" s="11">
        <v>0</v>
      </c>
      <c r="K567" s="45">
        <f t="shared" si="57"/>
        <v>3074</v>
      </c>
      <c r="L567" s="10">
        <v>38</v>
      </c>
      <c r="M567" s="10">
        <v>4.0999999999999996</v>
      </c>
      <c r="N567" s="10" t="b">
        <v>1</v>
      </c>
      <c r="O567" s="41" t="s">
        <v>50</v>
      </c>
      <c r="P567" s="45">
        <f t="shared" si="58"/>
        <v>1291.08</v>
      </c>
      <c r="Q567" s="45">
        <f t="shared" si="59"/>
        <v>1782.92</v>
      </c>
      <c r="R567" s="45">
        <v>150</v>
      </c>
      <c r="S567" s="45">
        <f t="shared" si="60"/>
        <v>307.40000000000003</v>
      </c>
      <c r="T567" s="45">
        <f t="shared" si="61"/>
        <v>3074</v>
      </c>
      <c r="U567" s="47">
        <f t="shared" si="62"/>
        <v>-1748.48</v>
      </c>
    </row>
    <row r="568" spans="1:21" x14ac:dyDescent="0.3">
      <c r="A568" s="41" t="str">
        <f t="shared" si="56"/>
        <v>PGAPDR</v>
      </c>
      <c r="B568" s="43">
        <v>45543</v>
      </c>
      <c r="C568" s="10" t="s">
        <v>610</v>
      </c>
      <c r="D568" s="10" t="s">
        <v>53</v>
      </c>
      <c r="E568" s="10" t="s">
        <v>30</v>
      </c>
      <c r="F568" s="10" t="s">
        <v>11</v>
      </c>
      <c r="G568" s="10" t="s">
        <v>27</v>
      </c>
      <c r="H568" s="10" t="s">
        <v>28</v>
      </c>
      <c r="I568" s="45">
        <v>2258</v>
      </c>
      <c r="J568" s="11">
        <v>0.42700000000000005</v>
      </c>
      <c r="K568" s="45">
        <f t="shared" si="57"/>
        <v>1293.8339999999998</v>
      </c>
      <c r="L568" s="10">
        <v>3</v>
      </c>
      <c r="M568" s="10">
        <v>3.5</v>
      </c>
      <c r="N568" s="10" t="b">
        <v>0</v>
      </c>
      <c r="O568" s="41"/>
      <c r="P568" s="45">
        <f t="shared" si="58"/>
        <v>543.41027999999994</v>
      </c>
      <c r="Q568" s="45">
        <f t="shared" si="59"/>
        <v>750.42371999999989</v>
      </c>
      <c r="R568" s="45">
        <v>0</v>
      </c>
      <c r="S568" s="45">
        <f t="shared" si="60"/>
        <v>0</v>
      </c>
      <c r="T568" s="45">
        <f t="shared" si="61"/>
        <v>0</v>
      </c>
      <c r="U568" s="47">
        <f t="shared" si="62"/>
        <v>750.42371999999989</v>
      </c>
    </row>
    <row r="569" spans="1:21" x14ac:dyDescent="0.3">
      <c r="A569" s="41" t="str">
        <f t="shared" si="56"/>
        <v>PZARAC</v>
      </c>
      <c r="B569" s="43">
        <v>45543</v>
      </c>
      <c r="C569" s="10" t="s">
        <v>611</v>
      </c>
      <c r="D569" s="10" t="s">
        <v>3</v>
      </c>
      <c r="E569" s="10" t="s">
        <v>15</v>
      </c>
      <c r="F569" s="10" t="s">
        <v>11</v>
      </c>
      <c r="G569" s="10" t="s">
        <v>7</v>
      </c>
      <c r="H569" s="10" t="s">
        <v>35</v>
      </c>
      <c r="I569" s="45">
        <v>321</v>
      </c>
      <c r="J569" s="11">
        <v>0.26300000000000001</v>
      </c>
      <c r="K569" s="45">
        <f t="shared" si="57"/>
        <v>236.577</v>
      </c>
      <c r="L569" s="10">
        <v>5</v>
      </c>
      <c r="M569" s="10">
        <v>4.7</v>
      </c>
      <c r="N569" s="10" t="b">
        <v>0</v>
      </c>
      <c r="O569" s="41"/>
      <c r="P569" s="45">
        <f t="shared" si="58"/>
        <v>99.362339999999989</v>
      </c>
      <c r="Q569" s="45">
        <f t="shared" si="59"/>
        <v>137.21466000000001</v>
      </c>
      <c r="R569" s="45">
        <v>0</v>
      </c>
      <c r="S569" s="45">
        <f t="shared" si="60"/>
        <v>0</v>
      </c>
      <c r="T569" s="45">
        <f t="shared" si="61"/>
        <v>0</v>
      </c>
      <c r="U569" s="47">
        <f t="shared" si="62"/>
        <v>137.21466000000001</v>
      </c>
    </row>
    <row r="570" spans="1:21" x14ac:dyDescent="0.3">
      <c r="A570" s="41" t="str">
        <f t="shared" si="56"/>
        <v>PUNITO</v>
      </c>
      <c r="B570" s="43">
        <v>45544</v>
      </c>
      <c r="C570" s="10" t="s">
        <v>612</v>
      </c>
      <c r="D570" s="10" t="s">
        <v>10</v>
      </c>
      <c r="E570" s="10" t="s">
        <v>9</v>
      </c>
      <c r="F570" s="10" t="s">
        <v>11</v>
      </c>
      <c r="G570" s="10" t="s">
        <v>27</v>
      </c>
      <c r="H570" s="10" t="s">
        <v>35</v>
      </c>
      <c r="I570" s="45">
        <v>1370</v>
      </c>
      <c r="J570" s="11">
        <v>0.45</v>
      </c>
      <c r="K570" s="45">
        <f t="shared" si="57"/>
        <v>753.50000000000011</v>
      </c>
      <c r="L570" s="10">
        <v>47</v>
      </c>
      <c r="M570" s="10">
        <v>2.6</v>
      </c>
      <c r="N570" s="10" t="b">
        <v>1</v>
      </c>
      <c r="O570" s="41" t="s">
        <v>33</v>
      </c>
      <c r="P570" s="45">
        <f t="shared" si="58"/>
        <v>316.47000000000003</v>
      </c>
      <c r="Q570" s="45">
        <f t="shared" si="59"/>
        <v>437.03000000000009</v>
      </c>
      <c r="R570" s="45">
        <v>150</v>
      </c>
      <c r="S570" s="45">
        <f t="shared" si="60"/>
        <v>75.350000000000009</v>
      </c>
      <c r="T570" s="45">
        <f t="shared" si="61"/>
        <v>753.50000000000011</v>
      </c>
      <c r="U570" s="47">
        <f t="shared" si="62"/>
        <v>-541.82000000000005</v>
      </c>
    </row>
    <row r="571" spans="1:21" x14ac:dyDescent="0.3">
      <c r="A571" s="41" t="str">
        <f t="shared" si="56"/>
        <v>PZARAC</v>
      </c>
      <c r="B571" s="43">
        <v>45544</v>
      </c>
      <c r="C571" s="10" t="s">
        <v>613</v>
      </c>
      <c r="D571" s="10" t="s">
        <v>3</v>
      </c>
      <c r="E571" s="10" t="s">
        <v>15</v>
      </c>
      <c r="F571" s="10" t="s">
        <v>4</v>
      </c>
      <c r="G571" s="10" t="s">
        <v>7</v>
      </c>
      <c r="H571" s="10" t="s">
        <v>43</v>
      </c>
      <c r="I571" s="45">
        <v>297</v>
      </c>
      <c r="J571" s="11">
        <v>0.32700000000000001</v>
      </c>
      <c r="K571" s="45">
        <f t="shared" si="57"/>
        <v>199.881</v>
      </c>
      <c r="L571" s="10">
        <v>39</v>
      </c>
      <c r="M571" s="10">
        <v>2.8</v>
      </c>
      <c r="N571" s="10" t="b">
        <v>0</v>
      </c>
      <c r="O571" s="41"/>
      <c r="P571" s="45">
        <f t="shared" si="58"/>
        <v>83.950019999999995</v>
      </c>
      <c r="Q571" s="45">
        <f t="shared" si="59"/>
        <v>115.93098000000001</v>
      </c>
      <c r="R571" s="45">
        <v>0</v>
      </c>
      <c r="S571" s="45">
        <f t="shared" si="60"/>
        <v>0</v>
      </c>
      <c r="T571" s="45">
        <f t="shared" si="61"/>
        <v>0</v>
      </c>
      <c r="U571" s="47">
        <f t="shared" si="62"/>
        <v>115.93098000000001</v>
      </c>
    </row>
    <row r="572" spans="1:21" x14ac:dyDescent="0.3">
      <c r="A572" s="41" t="str">
        <f t="shared" si="56"/>
        <v>PGAPTO</v>
      </c>
      <c r="B572" s="43">
        <v>45544</v>
      </c>
      <c r="C572" s="10" t="s">
        <v>614</v>
      </c>
      <c r="D572" s="10" t="s">
        <v>53</v>
      </c>
      <c r="E572" s="10" t="s">
        <v>9</v>
      </c>
      <c r="F572" s="10" t="s">
        <v>54</v>
      </c>
      <c r="G572" s="10" t="s">
        <v>49</v>
      </c>
      <c r="H572" s="10" t="s">
        <v>58</v>
      </c>
      <c r="I572" s="45">
        <v>1041</v>
      </c>
      <c r="J572" s="11">
        <v>0</v>
      </c>
      <c r="K572" s="45">
        <f t="shared" si="57"/>
        <v>1041</v>
      </c>
      <c r="L572" s="10">
        <v>22</v>
      </c>
      <c r="M572" s="10">
        <v>2.1</v>
      </c>
      <c r="N572" s="10" t="b">
        <v>1</v>
      </c>
      <c r="O572" s="41" t="s">
        <v>309</v>
      </c>
      <c r="P572" s="45">
        <f t="shared" si="58"/>
        <v>437.21999999999997</v>
      </c>
      <c r="Q572" s="45">
        <f t="shared" si="59"/>
        <v>603.78</v>
      </c>
      <c r="R572" s="45">
        <v>150</v>
      </c>
      <c r="S572" s="45">
        <f t="shared" si="60"/>
        <v>104.10000000000001</v>
      </c>
      <c r="T572" s="45">
        <f t="shared" si="61"/>
        <v>1041</v>
      </c>
      <c r="U572" s="47">
        <f t="shared" si="62"/>
        <v>-691.32</v>
      </c>
    </row>
    <row r="573" spans="1:21" x14ac:dyDescent="0.3">
      <c r="A573" s="41" t="str">
        <f t="shared" si="56"/>
        <v>PH&amp;MSH</v>
      </c>
      <c r="B573" s="43">
        <v>45544</v>
      </c>
      <c r="C573" s="10" t="s">
        <v>615</v>
      </c>
      <c r="D573" s="10" t="s">
        <v>37</v>
      </c>
      <c r="E573" s="10" t="s">
        <v>18</v>
      </c>
      <c r="F573" s="10" t="s">
        <v>54</v>
      </c>
      <c r="G573" s="10" t="s">
        <v>46</v>
      </c>
      <c r="H573" s="10" t="s">
        <v>43</v>
      </c>
      <c r="I573" s="45">
        <v>3998</v>
      </c>
      <c r="J573" s="11">
        <v>0.30299999999999999</v>
      </c>
      <c r="K573" s="45">
        <f t="shared" si="57"/>
        <v>2786.6060000000002</v>
      </c>
      <c r="L573" s="10">
        <v>16</v>
      </c>
      <c r="M573" s="10"/>
      <c r="N573" s="10" t="b">
        <v>0</v>
      </c>
      <c r="O573" s="41"/>
      <c r="P573" s="45">
        <f t="shared" si="58"/>
        <v>1170.3745200000001</v>
      </c>
      <c r="Q573" s="45">
        <f t="shared" si="59"/>
        <v>1616.2314800000001</v>
      </c>
      <c r="R573" s="45">
        <v>0</v>
      </c>
      <c r="S573" s="45">
        <f t="shared" si="60"/>
        <v>0</v>
      </c>
      <c r="T573" s="45">
        <f t="shared" si="61"/>
        <v>0</v>
      </c>
      <c r="U573" s="47">
        <f t="shared" si="62"/>
        <v>1616.2314800000001</v>
      </c>
    </row>
    <row r="574" spans="1:21" x14ac:dyDescent="0.3">
      <c r="A574" s="41" t="str">
        <f t="shared" si="56"/>
        <v>PH&amp;MTO</v>
      </c>
      <c r="B574" s="43">
        <v>45545</v>
      </c>
      <c r="C574" s="10" t="s">
        <v>616</v>
      </c>
      <c r="D574" s="10" t="s">
        <v>37</v>
      </c>
      <c r="E574" s="10" t="s">
        <v>9</v>
      </c>
      <c r="F574" s="10" t="s">
        <v>4</v>
      </c>
      <c r="G574" s="10" t="s">
        <v>5</v>
      </c>
      <c r="H574" s="10" t="s">
        <v>88</v>
      </c>
      <c r="I574" s="45">
        <v>1474</v>
      </c>
      <c r="J574" s="11">
        <v>0</v>
      </c>
      <c r="K574" s="45">
        <f t="shared" si="57"/>
        <v>1474</v>
      </c>
      <c r="L574" s="10">
        <v>15</v>
      </c>
      <c r="M574" s="10"/>
      <c r="N574" s="10" t="b">
        <v>0</v>
      </c>
      <c r="O574" s="41"/>
      <c r="P574" s="45">
        <f t="shared" si="58"/>
        <v>619.07999999999993</v>
      </c>
      <c r="Q574" s="45">
        <f t="shared" si="59"/>
        <v>854.92000000000007</v>
      </c>
      <c r="R574" s="45">
        <v>0</v>
      </c>
      <c r="S574" s="45">
        <f t="shared" si="60"/>
        <v>0</v>
      </c>
      <c r="T574" s="45">
        <f t="shared" si="61"/>
        <v>0</v>
      </c>
      <c r="U574" s="47">
        <f t="shared" si="62"/>
        <v>854.92000000000007</v>
      </c>
    </row>
    <row r="575" spans="1:21" x14ac:dyDescent="0.3">
      <c r="A575" s="41" t="str">
        <f t="shared" si="56"/>
        <v>PUNIOU</v>
      </c>
      <c r="B575" s="43">
        <v>45545</v>
      </c>
      <c r="C575" s="10" t="s">
        <v>617</v>
      </c>
      <c r="D575" s="10" t="s">
        <v>10</v>
      </c>
      <c r="E575" s="10" t="s">
        <v>2</v>
      </c>
      <c r="F575" s="10" t="s">
        <v>11</v>
      </c>
      <c r="G575" s="10" t="s">
        <v>27</v>
      </c>
      <c r="H575" s="10" t="s">
        <v>43</v>
      </c>
      <c r="I575" s="45">
        <v>3898</v>
      </c>
      <c r="J575" s="11">
        <v>0</v>
      </c>
      <c r="K575" s="45">
        <f t="shared" si="57"/>
        <v>3898</v>
      </c>
      <c r="L575" s="10">
        <v>42</v>
      </c>
      <c r="M575" s="10">
        <v>2.2000000000000002</v>
      </c>
      <c r="N575" s="10" t="b">
        <v>0</v>
      </c>
      <c r="O575" s="41"/>
      <c r="P575" s="45">
        <f t="shared" si="58"/>
        <v>1637.1599999999999</v>
      </c>
      <c r="Q575" s="45">
        <f t="shared" si="59"/>
        <v>2260.84</v>
      </c>
      <c r="R575" s="45">
        <v>0</v>
      </c>
      <c r="S575" s="45">
        <f t="shared" si="60"/>
        <v>0</v>
      </c>
      <c r="T575" s="45">
        <f t="shared" si="61"/>
        <v>0</v>
      </c>
      <c r="U575" s="47">
        <f t="shared" si="62"/>
        <v>2260.84</v>
      </c>
    </row>
    <row r="576" spans="1:21" x14ac:dyDescent="0.3">
      <c r="A576" s="41" t="str">
        <f t="shared" si="56"/>
        <v>PANNAC</v>
      </c>
      <c r="B576" s="43">
        <v>45545</v>
      </c>
      <c r="C576" s="10" t="s">
        <v>618</v>
      </c>
      <c r="D576" s="10" t="s">
        <v>42</v>
      </c>
      <c r="E576" s="10" t="s">
        <v>15</v>
      </c>
      <c r="F576" s="10" t="s">
        <v>54</v>
      </c>
      <c r="G576" s="10" t="s">
        <v>7</v>
      </c>
      <c r="H576" s="10" t="s">
        <v>47</v>
      </c>
      <c r="I576" s="45">
        <v>393</v>
      </c>
      <c r="J576" s="11">
        <v>0</v>
      </c>
      <c r="K576" s="45">
        <f t="shared" si="57"/>
        <v>393</v>
      </c>
      <c r="L576" s="10">
        <v>9</v>
      </c>
      <c r="M576" s="10">
        <v>1.1000000000000001</v>
      </c>
      <c r="N576" s="10" t="b">
        <v>1</v>
      </c>
      <c r="O576" s="41" t="s">
        <v>44</v>
      </c>
      <c r="P576" s="45">
        <f t="shared" si="58"/>
        <v>165.06</v>
      </c>
      <c r="Q576" s="45">
        <f t="shared" si="59"/>
        <v>227.94</v>
      </c>
      <c r="R576" s="45">
        <v>150</v>
      </c>
      <c r="S576" s="45">
        <f t="shared" si="60"/>
        <v>39.300000000000004</v>
      </c>
      <c r="T576" s="45">
        <f t="shared" si="61"/>
        <v>393</v>
      </c>
      <c r="U576" s="47">
        <f t="shared" si="62"/>
        <v>-354.36</v>
      </c>
    </row>
    <row r="577" spans="1:21" x14ac:dyDescent="0.3">
      <c r="A577" s="41" t="str">
        <f t="shared" si="56"/>
        <v>PANNBO</v>
      </c>
      <c r="B577" s="43">
        <v>45545</v>
      </c>
      <c r="C577" s="10" t="s">
        <v>619</v>
      </c>
      <c r="D577" s="10" t="s">
        <v>42</v>
      </c>
      <c r="E577" s="10" t="s">
        <v>26</v>
      </c>
      <c r="F577" s="10" t="s">
        <v>23</v>
      </c>
      <c r="G577" s="10" t="s">
        <v>49</v>
      </c>
      <c r="H577" s="10" t="s">
        <v>13</v>
      </c>
      <c r="I577" s="45">
        <v>2822</v>
      </c>
      <c r="J577" s="11">
        <v>0.38900000000000001</v>
      </c>
      <c r="K577" s="45">
        <f t="shared" si="57"/>
        <v>1724.242</v>
      </c>
      <c r="L577" s="10">
        <v>48</v>
      </c>
      <c r="M577" s="10"/>
      <c r="N577" s="10" t="b">
        <v>0</v>
      </c>
      <c r="O577" s="41"/>
      <c r="P577" s="45">
        <f t="shared" si="58"/>
        <v>724.1816399999999</v>
      </c>
      <c r="Q577" s="45">
        <f t="shared" si="59"/>
        <v>1000.0603600000001</v>
      </c>
      <c r="R577" s="45">
        <v>0</v>
      </c>
      <c r="S577" s="45">
        <f t="shared" si="60"/>
        <v>0</v>
      </c>
      <c r="T577" s="45">
        <f t="shared" si="61"/>
        <v>0</v>
      </c>
      <c r="U577" s="47">
        <f t="shared" si="62"/>
        <v>1000.0603600000001</v>
      </c>
    </row>
    <row r="578" spans="1:21" x14ac:dyDescent="0.3">
      <c r="A578" s="41" t="str">
        <f t="shared" ref="A578:A641" si="63">UPPER("P"&amp;LEFT(D578,3)&amp;LEFT(E578,2))</f>
        <v>PH&amp;MOU</v>
      </c>
      <c r="B578" s="43">
        <v>45546</v>
      </c>
      <c r="C578" s="10" t="s">
        <v>620</v>
      </c>
      <c r="D578" s="10" t="s">
        <v>37</v>
      </c>
      <c r="E578" s="10" t="s">
        <v>2</v>
      </c>
      <c r="F578" s="10" t="s">
        <v>23</v>
      </c>
      <c r="G578" s="10" t="s">
        <v>38</v>
      </c>
      <c r="H578" s="10" t="s">
        <v>43</v>
      </c>
      <c r="I578" s="45">
        <v>4353</v>
      </c>
      <c r="J578" s="11">
        <v>0</v>
      </c>
      <c r="K578" s="45">
        <f t="shared" si="57"/>
        <v>4353</v>
      </c>
      <c r="L578" s="10">
        <v>20</v>
      </c>
      <c r="M578" s="10">
        <v>4.8</v>
      </c>
      <c r="N578" s="10" t="b">
        <v>0</v>
      </c>
      <c r="O578" s="41"/>
      <c r="P578" s="45">
        <f t="shared" si="58"/>
        <v>1828.26</v>
      </c>
      <c r="Q578" s="45">
        <f t="shared" si="59"/>
        <v>2524.7399999999998</v>
      </c>
      <c r="R578" s="45">
        <v>0</v>
      </c>
      <c r="S578" s="45">
        <f t="shared" si="60"/>
        <v>0</v>
      </c>
      <c r="T578" s="45">
        <f t="shared" si="61"/>
        <v>0</v>
      </c>
      <c r="U578" s="47">
        <f t="shared" si="62"/>
        <v>2524.7399999999998</v>
      </c>
    </row>
    <row r="579" spans="1:21" x14ac:dyDescent="0.3">
      <c r="A579" s="41" t="str">
        <f t="shared" si="63"/>
        <v>PH&amp;MAC</v>
      </c>
      <c r="B579" s="43">
        <v>45546</v>
      </c>
      <c r="C579" s="10" t="s">
        <v>621</v>
      </c>
      <c r="D579" s="10" t="s">
        <v>37</v>
      </c>
      <c r="E579" s="10" t="s">
        <v>15</v>
      </c>
      <c r="F579" s="10" t="s">
        <v>23</v>
      </c>
      <c r="G579" s="10" t="s">
        <v>7</v>
      </c>
      <c r="H579" s="10" t="s">
        <v>35</v>
      </c>
      <c r="I579" s="45">
        <v>361</v>
      </c>
      <c r="J579" s="11">
        <v>0</v>
      </c>
      <c r="K579" s="45">
        <f t="shared" ref="K579:K642" si="64">I579*(1-J579)</f>
        <v>361</v>
      </c>
      <c r="L579" s="10">
        <v>14</v>
      </c>
      <c r="M579" s="10"/>
      <c r="N579" s="10" t="b">
        <v>0</v>
      </c>
      <c r="O579" s="41"/>
      <c r="P579" s="45">
        <f t="shared" ref="P579:P642" si="65">K579*0.42</f>
        <v>151.62</v>
      </c>
      <c r="Q579" s="45">
        <f t="shared" ref="Q579:Q642" si="66">K579-P579</f>
        <v>209.38</v>
      </c>
      <c r="R579" s="45">
        <v>0</v>
      </c>
      <c r="S579" s="45">
        <f t="shared" ref="S579:S642" si="67">IF(N579=TRUE,K579*0.1,0)</f>
        <v>0</v>
      </c>
      <c r="T579" s="45">
        <f t="shared" ref="T579:T642" si="68">IF(N579=TRUE,K579,0)</f>
        <v>0</v>
      </c>
      <c r="U579" s="47">
        <f t="shared" ref="U579:U642" si="69">Q579-R579-S579-T579</f>
        <v>209.38</v>
      </c>
    </row>
    <row r="580" spans="1:21" x14ac:dyDescent="0.3">
      <c r="A580" s="41" t="str">
        <f t="shared" si="63"/>
        <v>PZARTO</v>
      </c>
      <c r="B580" s="43">
        <v>45546</v>
      </c>
      <c r="C580" s="10" t="s">
        <v>622</v>
      </c>
      <c r="D580" s="10" t="s">
        <v>3</v>
      </c>
      <c r="E580" s="10" t="s">
        <v>9</v>
      </c>
      <c r="F580" s="10" t="s">
        <v>54</v>
      </c>
      <c r="G580" s="10" t="s">
        <v>49</v>
      </c>
      <c r="H580" s="10" t="s">
        <v>56</v>
      </c>
      <c r="I580" s="45">
        <v>966</v>
      </c>
      <c r="J580" s="11">
        <v>0</v>
      </c>
      <c r="K580" s="45">
        <f t="shared" si="64"/>
        <v>966</v>
      </c>
      <c r="L580" s="10">
        <v>12</v>
      </c>
      <c r="M580" s="10">
        <v>3.8</v>
      </c>
      <c r="N580" s="10" t="b">
        <v>0</v>
      </c>
      <c r="O580" s="41"/>
      <c r="P580" s="45">
        <f t="shared" si="65"/>
        <v>405.71999999999997</v>
      </c>
      <c r="Q580" s="45">
        <f t="shared" si="66"/>
        <v>560.28</v>
      </c>
      <c r="R580" s="45">
        <v>0</v>
      </c>
      <c r="S580" s="45">
        <f t="shared" si="67"/>
        <v>0</v>
      </c>
      <c r="T580" s="45">
        <f t="shared" si="68"/>
        <v>0</v>
      </c>
      <c r="U580" s="47">
        <f t="shared" si="69"/>
        <v>560.28</v>
      </c>
    </row>
    <row r="581" spans="1:21" x14ac:dyDescent="0.3">
      <c r="A581" s="41" t="str">
        <f t="shared" si="63"/>
        <v>PH&amp;MSH</v>
      </c>
      <c r="B581" s="43">
        <v>45546</v>
      </c>
      <c r="C581" s="10" t="s">
        <v>623</v>
      </c>
      <c r="D581" s="10" t="s">
        <v>37</v>
      </c>
      <c r="E581" s="10" t="s">
        <v>18</v>
      </c>
      <c r="F581" s="10" t="s">
        <v>54</v>
      </c>
      <c r="G581" s="10" t="s">
        <v>49</v>
      </c>
      <c r="H581" s="10" t="s">
        <v>13</v>
      </c>
      <c r="I581" s="45">
        <v>4072</v>
      </c>
      <c r="J581" s="11">
        <v>0</v>
      </c>
      <c r="K581" s="45">
        <f t="shared" si="64"/>
        <v>4072</v>
      </c>
      <c r="L581" s="10">
        <v>28</v>
      </c>
      <c r="M581" s="10">
        <v>3</v>
      </c>
      <c r="N581" s="10" t="b">
        <v>0</v>
      </c>
      <c r="O581" s="41"/>
      <c r="P581" s="45">
        <f t="shared" si="65"/>
        <v>1710.24</v>
      </c>
      <c r="Q581" s="45">
        <f t="shared" si="66"/>
        <v>2361.7600000000002</v>
      </c>
      <c r="R581" s="45">
        <v>0</v>
      </c>
      <c r="S581" s="45">
        <f t="shared" si="67"/>
        <v>0</v>
      </c>
      <c r="T581" s="45">
        <f t="shared" si="68"/>
        <v>0</v>
      </c>
      <c r="U581" s="47">
        <f t="shared" si="69"/>
        <v>2361.7600000000002</v>
      </c>
    </row>
    <row r="582" spans="1:21" x14ac:dyDescent="0.3">
      <c r="A582" s="41" t="str">
        <f t="shared" si="63"/>
        <v>PH&amp;MDR</v>
      </c>
      <c r="B582" s="43">
        <v>45547</v>
      </c>
      <c r="C582" s="10" t="s">
        <v>624</v>
      </c>
      <c r="D582" s="10" t="s">
        <v>37</v>
      </c>
      <c r="E582" s="10" t="s">
        <v>30</v>
      </c>
      <c r="F582" s="10" t="s">
        <v>4</v>
      </c>
      <c r="G582" s="10" t="s">
        <v>49</v>
      </c>
      <c r="H582" s="10" t="s">
        <v>6</v>
      </c>
      <c r="I582" s="45">
        <v>2290</v>
      </c>
      <c r="J582" s="11">
        <v>0</v>
      </c>
      <c r="K582" s="45">
        <f t="shared" si="64"/>
        <v>2290</v>
      </c>
      <c r="L582" s="10">
        <v>47</v>
      </c>
      <c r="M582" s="10">
        <v>4.9000000000000004</v>
      </c>
      <c r="N582" s="10" t="b">
        <v>0</v>
      </c>
      <c r="O582" s="41"/>
      <c r="P582" s="45">
        <f t="shared" si="65"/>
        <v>961.8</v>
      </c>
      <c r="Q582" s="45">
        <f t="shared" si="66"/>
        <v>1328.2</v>
      </c>
      <c r="R582" s="45">
        <v>0</v>
      </c>
      <c r="S582" s="45">
        <f t="shared" si="67"/>
        <v>0</v>
      </c>
      <c r="T582" s="45">
        <f t="shared" si="68"/>
        <v>0</v>
      </c>
      <c r="U582" s="47">
        <f t="shared" si="69"/>
        <v>1328.2</v>
      </c>
    </row>
    <row r="583" spans="1:21" x14ac:dyDescent="0.3">
      <c r="A583" s="41" t="str">
        <f t="shared" si="63"/>
        <v>PGAPTO</v>
      </c>
      <c r="B583" s="43">
        <v>45547</v>
      </c>
      <c r="C583" s="10" t="s">
        <v>625</v>
      </c>
      <c r="D583" s="10" t="s">
        <v>53</v>
      </c>
      <c r="E583" s="10" t="s">
        <v>9</v>
      </c>
      <c r="F583" s="10" t="s">
        <v>23</v>
      </c>
      <c r="G583" s="10" t="s">
        <v>49</v>
      </c>
      <c r="H583" s="10" t="s">
        <v>88</v>
      </c>
      <c r="I583" s="45">
        <v>1343</v>
      </c>
      <c r="J583" s="11">
        <v>0</v>
      </c>
      <c r="K583" s="45">
        <f t="shared" si="64"/>
        <v>1343</v>
      </c>
      <c r="L583" s="10">
        <v>3</v>
      </c>
      <c r="M583" s="10">
        <v>1.6</v>
      </c>
      <c r="N583" s="10" t="b">
        <v>0</v>
      </c>
      <c r="O583" s="41"/>
      <c r="P583" s="45">
        <f t="shared" si="65"/>
        <v>564.05999999999995</v>
      </c>
      <c r="Q583" s="45">
        <f t="shared" si="66"/>
        <v>778.94</v>
      </c>
      <c r="R583" s="45">
        <v>0</v>
      </c>
      <c r="S583" s="45">
        <f t="shared" si="67"/>
        <v>0</v>
      </c>
      <c r="T583" s="45">
        <f t="shared" si="68"/>
        <v>0</v>
      </c>
      <c r="U583" s="47">
        <f t="shared" si="69"/>
        <v>778.94</v>
      </c>
    </row>
    <row r="584" spans="1:21" x14ac:dyDescent="0.3">
      <c r="A584" s="41" t="str">
        <f t="shared" si="63"/>
        <v>PUNITO</v>
      </c>
      <c r="B584" s="43">
        <v>45547</v>
      </c>
      <c r="C584" s="10" t="s">
        <v>626</v>
      </c>
      <c r="D584" s="10" t="s">
        <v>10</v>
      </c>
      <c r="E584" s="10" t="s">
        <v>9</v>
      </c>
      <c r="F584" s="10" t="s">
        <v>54</v>
      </c>
      <c r="G584" s="10" t="s">
        <v>5</v>
      </c>
      <c r="H584" s="10" t="s">
        <v>28</v>
      </c>
      <c r="I584" s="45">
        <v>1316</v>
      </c>
      <c r="J584" s="11">
        <v>6.6000000000000003E-2</v>
      </c>
      <c r="K584" s="45">
        <f t="shared" si="64"/>
        <v>1229.144</v>
      </c>
      <c r="L584" s="10">
        <v>35</v>
      </c>
      <c r="M584" s="10">
        <v>1.3</v>
      </c>
      <c r="N584" s="10" t="b">
        <v>1</v>
      </c>
      <c r="O584" s="41" t="s">
        <v>33</v>
      </c>
      <c r="P584" s="45">
        <f t="shared" si="65"/>
        <v>516.24047999999993</v>
      </c>
      <c r="Q584" s="45">
        <f t="shared" si="66"/>
        <v>712.90352000000007</v>
      </c>
      <c r="R584" s="45">
        <v>150</v>
      </c>
      <c r="S584" s="45">
        <f t="shared" si="67"/>
        <v>122.9144</v>
      </c>
      <c r="T584" s="45">
        <f t="shared" si="68"/>
        <v>1229.144</v>
      </c>
      <c r="U584" s="47">
        <f t="shared" si="69"/>
        <v>-789.15487999999993</v>
      </c>
    </row>
    <row r="585" spans="1:21" x14ac:dyDescent="0.3">
      <c r="A585" s="41" t="str">
        <f t="shared" si="63"/>
        <v>PZARBO</v>
      </c>
      <c r="B585" s="43">
        <v>45548</v>
      </c>
      <c r="C585" s="10" t="s">
        <v>627</v>
      </c>
      <c r="D585" s="10" t="s">
        <v>3</v>
      </c>
      <c r="E585" s="10" t="s">
        <v>26</v>
      </c>
      <c r="F585" s="10" t="s">
        <v>11</v>
      </c>
      <c r="G585" s="10" t="s">
        <v>12</v>
      </c>
      <c r="H585" s="10" t="s">
        <v>47</v>
      </c>
      <c r="I585" s="45">
        <v>2318</v>
      </c>
      <c r="J585" s="11">
        <v>0.59399999999999997</v>
      </c>
      <c r="K585" s="45">
        <f t="shared" si="64"/>
        <v>941.10800000000006</v>
      </c>
      <c r="L585" s="10">
        <v>40</v>
      </c>
      <c r="M585" s="10"/>
      <c r="N585" s="10" t="b">
        <v>1</v>
      </c>
      <c r="O585" s="41" t="s">
        <v>80</v>
      </c>
      <c r="P585" s="45">
        <f t="shared" si="65"/>
        <v>395.26535999999999</v>
      </c>
      <c r="Q585" s="45">
        <f t="shared" si="66"/>
        <v>545.84264000000007</v>
      </c>
      <c r="R585" s="45">
        <v>150</v>
      </c>
      <c r="S585" s="45">
        <f t="shared" si="67"/>
        <v>94.110800000000012</v>
      </c>
      <c r="T585" s="45">
        <f t="shared" si="68"/>
        <v>941.10800000000006</v>
      </c>
      <c r="U585" s="47">
        <f t="shared" si="69"/>
        <v>-639.37616000000003</v>
      </c>
    </row>
    <row r="586" spans="1:21" x14ac:dyDescent="0.3">
      <c r="A586" s="41" t="str">
        <f t="shared" si="63"/>
        <v>PUNIOU</v>
      </c>
      <c r="B586" s="43">
        <v>45548</v>
      </c>
      <c r="C586" s="10" t="s">
        <v>628</v>
      </c>
      <c r="D586" s="10" t="s">
        <v>10</v>
      </c>
      <c r="E586" s="10" t="s">
        <v>2</v>
      </c>
      <c r="F586" s="10" t="s">
        <v>54</v>
      </c>
      <c r="G586" s="10" t="s">
        <v>12</v>
      </c>
      <c r="H586" s="10" t="s">
        <v>47</v>
      </c>
      <c r="I586" s="45">
        <v>3850</v>
      </c>
      <c r="J586" s="11">
        <v>0.14000000000000001</v>
      </c>
      <c r="K586" s="45">
        <f t="shared" si="64"/>
        <v>3311</v>
      </c>
      <c r="L586" s="10">
        <v>27</v>
      </c>
      <c r="M586" s="10">
        <v>3.8</v>
      </c>
      <c r="N586" s="10" t="b">
        <v>1</v>
      </c>
      <c r="O586" s="41" t="s">
        <v>33</v>
      </c>
      <c r="P586" s="45">
        <f t="shared" si="65"/>
        <v>1390.62</v>
      </c>
      <c r="Q586" s="45">
        <f t="shared" si="66"/>
        <v>1920.38</v>
      </c>
      <c r="R586" s="45">
        <v>150</v>
      </c>
      <c r="S586" s="45">
        <f t="shared" si="67"/>
        <v>331.1</v>
      </c>
      <c r="T586" s="45">
        <f t="shared" si="68"/>
        <v>3311</v>
      </c>
      <c r="U586" s="47">
        <f t="shared" si="69"/>
        <v>-1871.7199999999998</v>
      </c>
    </row>
    <row r="587" spans="1:21" x14ac:dyDescent="0.3">
      <c r="A587" s="41" t="str">
        <f t="shared" si="63"/>
        <v>PZARTO</v>
      </c>
      <c r="B587" s="43">
        <v>45548</v>
      </c>
      <c r="C587" s="10" t="s">
        <v>629</v>
      </c>
      <c r="D587" s="10" t="s">
        <v>3</v>
      </c>
      <c r="E587" s="10" t="s">
        <v>9</v>
      </c>
      <c r="F587" s="10" t="s">
        <v>11</v>
      </c>
      <c r="G587" s="10" t="s">
        <v>38</v>
      </c>
      <c r="H587" s="10" t="s">
        <v>13</v>
      </c>
      <c r="I587" s="45">
        <v>1335</v>
      </c>
      <c r="J587" s="11">
        <v>0.47100000000000003</v>
      </c>
      <c r="K587" s="45">
        <f t="shared" si="64"/>
        <v>706.21499999999992</v>
      </c>
      <c r="L587" s="10">
        <v>44</v>
      </c>
      <c r="M587" s="10">
        <v>4.7</v>
      </c>
      <c r="N587" s="10" t="b">
        <v>1</v>
      </c>
      <c r="O587" s="41" t="s">
        <v>44</v>
      </c>
      <c r="P587" s="45">
        <f t="shared" si="65"/>
        <v>296.61029999999994</v>
      </c>
      <c r="Q587" s="45">
        <f t="shared" si="66"/>
        <v>409.60469999999998</v>
      </c>
      <c r="R587" s="45">
        <v>150</v>
      </c>
      <c r="S587" s="45">
        <f t="shared" si="67"/>
        <v>70.621499999999997</v>
      </c>
      <c r="T587" s="45">
        <f t="shared" si="68"/>
        <v>706.21499999999992</v>
      </c>
      <c r="U587" s="47">
        <f t="shared" si="69"/>
        <v>-517.23179999999991</v>
      </c>
    </row>
    <row r="588" spans="1:21" x14ac:dyDescent="0.3">
      <c r="A588" s="41" t="str">
        <f t="shared" si="63"/>
        <v>PH&amp;MAC</v>
      </c>
      <c r="B588" s="43">
        <v>45548</v>
      </c>
      <c r="C588" s="10" t="s">
        <v>630</v>
      </c>
      <c r="D588" s="10" t="s">
        <v>37</v>
      </c>
      <c r="E588" s="10" t="s">
        <v>15</v>
      </c>
      <c r="F588" s="10" t="s">
        <v>54</v>
      </c>
      <c r="G588" s="10" t="s">
        <v>7</v>
      </c>
      <c r="H588" s="10" t="s">
        <v>32</v>
      </c>
      <c r="I588" s="45">
        <v>265</v>
      </c>
      <c r="J588" s="11">
        <v>0.40500000000000003</v>
      </c>
      <c r="K588" s="45">
        <f t="shared" si="64"/>
        <v>157.67499999999998</v>
      </c>
      <c r="L588" s="10">
        <v>25</v>
      </c>
      <c r="M588" s="10">
        <v>2.9</v>
      </c>
      <c r="N588" s="10" t="b">
        <v>0</v>
      </c>
      <c r="O588" s="41"/>
      <c r="P588" s="45">
        <f t="shared" si="65"/>
        <v>66.223499999999987</v>
      </c>
      <c r="Q588" s="45">
        <f t="shared" si="66"/>
        <v>91.451499999999996</v>
      </c>
      <c r="R588" s="45">
        <v>0</v>
      </c>
      <c r="S588" s="45">
        <f t="shared" si="67"/>
        <v>0</v>
      </c>
      <c r="T588" s="45">
        <f t="shared" si="68"/>
        <v>0</v>
      </c>
      <c r="U588" s="47">
        <f t="shared" si="69"/>
        <v>91.451499999999996</v>
      </c>
    </row>
    <row r="589" spans="1:21" x14ac:dyDescent="0.3">
      <c r="A589" s="41" t="str">
        <f t="shared" si="63"/>
        <v>PFORBO</v>
      </c>
      <c r="B589" s="43">
        <v>45549</v>
      </c>
      <c r="C589" s="10" t="s">
        <v>631</v>
      </c>
      <c r="D589" s="10" t="s">
        <v>65</v>
      </c>
      <c r="E589" s="10" t="s">
        <v>26</v>
      </c>
      <c r="F589" s="10" t="s">
        <v>11</v>
      </c>
      <c r="G589" s="10" t="s">
        <v>49</v>
      </c>
      <c r="H589" s="10" t="s">
        <v>6</v>
      </c>
      <c r="I589" s="45">
        <v>2057</v>
      </c>
      <c r="J589" s="11">
        <v>0.16600000000000001</v>
      </c>
      <c r="K589" s="45">
        <f t="shared" si="64"/>
        <v>1715.538</v>
      </c>
      <c r="L589" s="10">
        <v>34</v>
      </c>
      <c r="M589" s="10">
        <v>4</v>
      </c>
      <c r="N589" s="10" t="b">
        <v>0</v>
      </c>
      <c r="O589" s="41"/>
      <c r="P589" s="45">
        <f t="shared" si="65"/>
        <v>720.52595999999994</v>
      </c>
      <c r="Q589" s="45">
        <f t="shared" si="66"/>
        <v>995.01204000000007</v>
      </c>
      <c r="R589" s="45">
        <v>0</v>
      </c>
      <c r="S589" s="45">
        <f t="shared" si="67"/>
        <v>0</v>
      </c>
      <c r="T589" s="45">
        <f t="shared" si="68"/>
        <v>0</v>
      </c>
      <c r="U589" s="47">
        <f t="shared" si="69"/>
        <v>995.01204000000007</v>
      </c>
    </row>
    <row r="590" spans="1:21" x14ac:dyDescent="0.3">
      <c r="A590" s="41" t="str">
        <f t="shared" si="63"/>
        <v>PANNAC</v>
      </c>
      <c r="B590" s="43">
        <v>45549</v>
      </c>
      <c r="C590" s="10" t="s">
        <v>632</v>
      </c>
      <c r="D590" s="10" t="s">
        <v>42</v>
      </c>
      <c r="E590" s="10" t="s">
        <v>15</v>
      </c>
      <c r="F590" s="10" t="s">
        <v>54</v>
      </c>
      <c r="G590" s="10" t="s">
        <v>7</v>
      </c>
      <c r="H590" s="10" t="s">
        <v>56</v>
      </c>
      <c r="I590" s="45">
        <v>285</v>
      </c>
      <c r="J590" s="11">
        <v>0</v>
      </c>
      <c r="K590" s="45">
        <f t="shared" si="64"/>
        <v>285</v>
      </c>
      <c r="L590" s="10">
        <v>29</v>
      </c>
      <c r="M590" s="10">
        <v>4.3</v>
      </c>
      <c r="N590" s="10" t="b">
        <v>0</v>
      </c>
      <c r="O590" s="41"/>
      <c r="P590" s="45">
        <f t="shared" si="65"/>
        <v>119.69999999999999</v>
      </c>
      <c r="Q590" s="45">
        <f t="shared" si="66"/>
        <v>165.3</v>
      </c>
      <c r="R590" s="45">
        <v>0</v>
      </c>
      <c r="S590" s="45">
        <f t="shared" si="67"/>
        <v>0</v>
      </c>
      <c r="T590" s="45">
        <f t="shared" si="68"/>
        <v>0</v>
      </c>
      <c r="U590" s="47">
        <f t="shared" si="69"/>
        <v>165.3</v>
      </c>
    </row>
    <row r="591" spans="1:21" x14ac:dyDescent="0.3">
      <c r="A591" s="41" t="str">
        <f t="shared" si="63"/>
        <v>PGAPDR</v>
      </c>
      <c r="B591" s="43">
        <v>45549</v>
      </c>
      <c r="C591" s="10" t="s">
        <v>633</v>
      </c>
      <c r="D591" s="10" t="s">
        <v>53</v>
      </c>
      <c r="E591" s="10" t="s">
        <v>30</v>
      </c>
      <c r="F591" s="10" t="s">
        <v>11</v>
      </c>
      <c r="G591" s="10" t="s">
        <v>27</v>
      </c>
      <c r="H591" s="10" t="s">
        <v>35</v>
      </c>
      <c r="I591" s="45">
        <v>1904</v>
      </c>
      <c r="J591" s="11">
        <v>0.28000000000000003</v>
      </c>
      <c r="K591" s="45">
        <f t="shared" si="64"/>
        <v>1370.8799999999999</v>
      </c>
      <c r="L591" s="10">
        <v>23</v>
      </c>
      <c r="M591" s="10"/>
      <c r="N591" s="10" t="b">
        <v>0</v>
      </c>
      <c r="O591" s="41"/>
      <c r="P591" s="45">
        <f t="shared" si="65"/>
        <v>575.76959999999997</v>
      </c>
      <c r="Q591" s="45">
        <f t="shared" si="66"/>
        <v>795.11039999999991</v>
      </c>
      <c r="R591" s="45">
        <v>0</v>
      </c>
      <c r="S591" s="45">
        <f t="shared" si="67"/>
        <v>0</v>
      </c>
      <c r="T591" s="45">
        <f t="shared" si="68"/>
        <v>0</v>
      </c>
      <c r="U591" s="47">
        <f t="shared" si="69"/>
        <v>795.11039999999991</v>
      </c>
    </row>
    <row r="592" spans="1:21" x14ac:dyDescent="0.3">
      <c r="A592" s="41" t="str">
        <f t="shared" si="63"/>
        <v>PMANSH</v>
      </c>
      <c r="B592" s="43">
        <v>45549</v>
      </c>
      <c r="C592" s="10" t="s">
        <v>634</v>
      </c>
      <c r="D592" s="10" t="s">
        <v>31</v>
      </c>
      <c r="E592" s="10" t="s">
        <v>18</v>
      </c>
      <c r="F592" s="10" t="s">
        <v>23</v>
      </c>
      <c r="G592" s="10" t="s">
        <v>46</v>
      </c>
      <c r="H592" s="10" t="s">
        <v>6</v>
      </c>
      <c r="I592" s="45">
        <v>3873</v>
      </c>
      <c r="J592" s="11">
        <v>0.33700000000000002</v>
      </c>
      <c r="K592" s="45">
        <f t="shared" si="64"/>
        <v>2567.799</v>
      </c>
      <c r="L592" s="10">
        <v>38</v>
      </c>
      <c r="M592" s="10">
        <v>3</v>
      </c>
      <c r="N592" s="10" t="b">
        <v>1</v>
      </c>
      <c r="O592" s="41" t="s">
        <v>33</v>
      </c>
      <c r="P592" s="45">
        <f t="shared" si="65"/>
        <v>1078.47558</v>
      </c>
      <c r="Q592" s="45">
        <f t="shared" si="66"/>
        <v>1489.3234199999999</v>
      </c>
      <c r="R592" s="45">
        <v>150</v>
      </c>
      <c r="S592" s="45">
        <f t="shared" si="67"/>
        <v>256.7799</v>
      </c>
      <c r="T592" s="45">
        <f t="shared" si="68"/>
        <v>2567.799</v>
      </c>
      <c r="U592" s="47">
        <f t="shared" si="69"/>
        <v>-1485.25548</v>
      </c>
    </row>
    <row r="593" spans="1:21" x14ac:dyDescent="0.3">
      <c r="A593" s="41" t="str">
        <f t="shared" si="63"/>
        <v>PZARAC</v>
      </c>
      <c r="B593" s="43">
        <v>45550</v>
      </c>
      <c r="C593" s="10" t="s">
        <v>635</v>
      </c>
      <c r="D593" s="10" t="s">
        <v>3</v>
      </c>
      <c r="E593" s="10" t="s">
        <v>15</v>
      </c>
      <c r="F593" s="10" t="s">
        <v>54</v>
      </c>
      <c r="G593" s="10" t="s">
        <v>7</v>
      </c>
      <c r="H593" s="10" t="s">
        <v>47</v>
      </c>
      <c r="I593" s="45">
        <v>341</v>
      </c>
      <c r="J593" s="11">
        <v>0</v>
      </c>
      <c r="K593" s="45">
        <f t="shared" si="64"/>
        <v>341</v>
      </c>
      <c r="L593" s="10">
        <v>20</v>
      </c>
      <c r="M593" s="10">
        <v>3</v>
      </c>
      <c r="N593" s="10" t="b">
        <v>0</v>
      </c>
      <c r="O593" s="41"/>
      <c r="P593" s="45">
        <f t="shared" si="65"/>
        <v>143.22</v>
      </c>
      <c r="Q593" s="45">
        <f t="shared" si="66"/>
        <v>197.78</v>
      </c>
      <c r="R593" s="45">
        <v>0</v>
      </c>
      <c r="S593" s="45">
        <f t="shared" si="67"/>
        <v>0</v>
      </c>
      <c r="T593" s="45">
        <f t="shared" si="68"/>
        <v>0</v>
      </c>
      <c r="U593" s="47">
        <f t="shared" si="69"/>
        <v>197.78</v>
      </c>
    </row>
    <row r="594" spans="1:21" x14ac:dyDescent="0.3">
      <c r="A594" s="41" t="str">
        <f t="shared" si="63"/>
        <v>PH&amp;MTO</v>
      </c>
      <c r="B594" s="43">
        <v>45550</v>
      </c>
      <c r="C594" s="10" t="s">
        <v>636</v>
      </c>
      <c r="D594" s="10" t="s">
        <v>37</v>
      </c>
      <c r="E594" s="10" t="s">
        <v>9</v>
      </c>
      <c r="F594" s="10" t="s">
        <v>54</v>
      </c>
      <c r="G594" s="10" t="s">
        <v>38</v>
      </c>
      <c r="H594" s="10" t="s">
        <v>6</v>
      </c>
      <c r="I594" s="45">
        <v>1610</v>
      </c>
      <c r="J594" s="11">
        <v>0.13600000000000001</v>
      </c>
      <c r="K594" s="45">
        <f t="shared" si="64"/>
        <v>1391.04</v>
      </c>
      <c r="L594" s="10">
        <v>19</v>
      </c>
      <c r="M594" s="10"/>
      <c r="N594" s="10" t="b">
        <v>0</v>
      </c>
      <c r="O594" s="41"/>
      <c r="P594" s="45">
        <f t="shared" si="65"/>
        <v>584.23680000000002</v>
      </c>
      <c r="Q594" s="45">
        <f t="shared" si="66"/>
        <v>806.80319999999995</v>
      </c>
      <c r="R594" s="45">
        <v>0</v>
      </c>
      <c r="S594" s="45">
        <f t="shared" si="67"/>
        <v>0</v>
      </c>
      <c r="T594" s="45">
        <f t="shared" si="68"/>
        <v>0</v>
      </c>
      <c r="U594" s="47">
        <f t="shared" si="69"/>
        <v>806.80319999999995</v>
      </c>
    </row>
    <row r="595" spans="1:21" x14ac:dyDescent="0.3">
      <c r="A595" s="41" t="str">
        <f t="shared" si="63"/>
        <v>PANNBO</v>
      </c>
      <c r="B595" s="43">
        <v>45550</v>
      </c>
      <c r="C595" s="10" t="s">
        <v>637</v>
      </c>
      <c r="D595" s="10" t="s">
        <v>42</v>
      </c>
      <c r="E595" s="10" t="s">
        <v>26</v>
      </c>
      <c r="F595" s="10" t="s">
        <v>11</v>
      </c>
      <c r="G595" s="10" t="s">
        <v>38</v>
      </c>
      <c r="H595" s="10" t="s">
        <v>43</v>
      </c>
      <c r="I595" s="45">
        <v>2296</v>
      </c>
      <c r="J595" s="11">
        <v>0.33600000000000002</v>
      </c>
      <c r="K595" s="45">
        <f t="shared" si="64"/>
        <v>1524.5439999999999</v>
      </c>
      <c r="L595" s="10">
        <v>9</v>
      </c>
      <c r="M595" s="10"/>
      <c r="N595" s="10" t="b">
        <v>0</v>
      </c>
      <c r="O595" s="41"/>
      <c r="P595" s="45">
        <f t="shared" si="65"/>
        <v>640.30847999999992</v>
      </c>
      <c r="Q595" s="45">
        <f t="shared" si="66"/>
        <v>884.23551999999995</v>
      </c>
      <c r="R595" s="45">
        <v>0</v>
      </c>
      <c r="S595" s="45">
        <f t="shared" si="67"/>
        <v>0</v>
      </c>
      <c r="T595" s="45">
        <f t="shared" si="68"/>
        <v>0</v>
      </c>
      <c r="U595" s="47">
        <f t="shared" si="69"/>
        <v>884.23551999999995</v>
      </c>
    </row>
    <row r="596" spans="1:21" x14ac:dyDescent="0.3">
      <c r="A596" s="41" t="str">
        <f t="shared" si="63"/>
        <v>PBANDR</v>
      </c>
      <c r="B596" s="43">
        <v>45550</v>
      </c>
      <c r="C596" s="10" t="s">
        <v>638</v>
      </c>
      <c r="D596" s="10" t="s">
        <v>21</v>
      </c>
      <c r="E596" s="10" t="s">
        <v>30</v>
      </c>
      <c r="F596" s="10" t="s">
        <v>23</v>
      </c>
      <c r="G596" s="10" t="s">
        <v>49</v>
      </c>
      <c r="H596" s="10" t="s">
        <v>56</v>
      </c>
      <c r="I596" s="45">
        <v>2925</v>
      </c>
      <c r="J596" s="11">
        <v>0</v>
      </c>
      <c r="K596" s="45">
        <f t="shared" si="64"/>
        <v>2925</v>
      </c>
      <c r="L596" s="10">
        <v>18</v>
      </c>
      <c r="M596" s="10"/>
      <c r="N596" s="10" t="b">
        <v>0</v>
      </c>
      <c r="O596" s="41"/>
      <c r="P596" s="45">
        <f t="shared" si="65"/>
        <v>1228.5</v>
      </c>
      <c r="Q596" s="45">
        <f t="shared" si="66"/>
        <v>1696.5</v>
      </c>
      <c r="R596" s="45">
        <v>0</v>
      </c>
      <c r="S596" s="45">
        <f t="shared" si="67"/>
        <v>0</v>
      </c>
      <c r="T596" s="45">
        <f t="shared" si="68"/>
        <v>0</v>
      </c>
      <c r="U596" s="47">
        <f t="shared" si="69"/>
        <v>1696.5</v>
      </c>
    </row>
    <row r="597" spans="1:21" x14ac:dyDescent="0.3">
      <c r="A597" s="41" t="str">
        <f t="shared" si="63"/>
        <v>PH&amp;MSH</v>
      </c>
      <c r="B597" s="43">
        <v>45551</v>
      </c>
      <c r="C597" s="10" t="s">
        <v>639</v>
      </c>
      <c r="D597" s="10" t="s">
        <v>37</v>
      </c>
      <c r="E597" s="10" t="s">
        <v>18</v>
      </c>
      <c r="F597" s="10" t="s">
        <v>23</v>
      </c>
      <c r="G597" s="10" t="s">
        <v>7</v>
      </c>
      <c r="H597" s="10" t="s">
        <v>7</v>
      </c>
      <c r="I597" s="45">
        <v>3613</v>
      </c>
      <c r="J597" s="11">
        <v>0</v>
      </c>
      <c r="K597" s="45">
        <f t="shared" si="64"/>
        <v>3613</v>
      </c>
      <c r="L597" s="10">
        <v>46</v>
      </c>
      <c r="M597" s="10">
        <v>3.2</v>
      </c>
      <c r="N597" s="10" t="b">
        <v>1</v>
      </c>
      <c r="O597" s="41" t="s">
        <v>50</v>
      </c>
      <c r="P597" s="45">
        <f t="shared" si="65"/>
        <v>1517.46</v>
      </c>
      <c r="Q597" s="45">
        <f t="shared" si="66"/>
        <v>2095.54</v>
      </c>
      <c r="R597" s="45">
        <v>150</v>
      </c>
      <c r="S597" s="45">
        <f t="shared" si="67"/>
        <v>361.3</v>
      </c>
      <c r="T597" s="45">
        <f t="shared" si="68"/>
        <v>3613</v>
      </c>
      <c r="U597" s="47">
        <f t="shared" si="69"/>
        <v>-2028.76</v>
      </c>
    </row>
    <row r="598" spans="1:21" x14ac:dyDescent="0.3">
      <c r="A598" s="41" t="str">
        <f t="shared" si="63"/>
        <v>PUNISH</v>
      </c>
      <c r="B598" s="43">
        <v>45551</v>
      </c>
      <c r="C598" s="10" t="s">
        <v>640</v>
      </c>
      <c r="D598" s="10" t="s">
        <v>10</v>
      </c>
      <c r="E598" s="10" t="s">
        <v>18</v>
      </c>
      <c r="F598" s="10" t="s">
        <v>11</v>
      </c>
      <c r="G598" s="10" t="s">
        <v>5</v>
      </c>
      <c r="H598" s="10" t="s">
        <v>32</v>
      </c>
      <c r="I598" s="45">
        <v>3204</v>
      </c>
      <c r="J598" s="11">
        <v>0</v>
      </c>
      <c r="K598" s="45">
        <f t="shared" si="64"/>
        <v>3204</v>
      </c>
      <c r="L598" s="10">
        <v>44</v>
      </c>
      <c r="M598" s="10">
        <v>3.4</v>
      </c>
      <c r="N598" s="10" t="b">
        <v>0</v>
      </c>
      <c r="O598" s="41"/>
      <c r="P598" s="45">
        <f t="shared" si="65"/>
        <v>1345.68</v>
      </c>
      <c r="Q598" s="45">
        <f t="shared" si="66"/>
        <v>1858.32</v>
      </c>
      <c r="R598" s="45">
        <v>0</v>
      </c>
      <c r="S598" s="45">
        <f t="shared" si="67"/>
        <v>0</v>
      </c>
      <c r="T598" s="45">
        <f t="shared" si="68"/>
        <v>0</v>
      </c>
      <c r="U598" s="47">
        <f t="shared" si="69"/>
        <v>1858.32</v>
      </c>
    </row>
    <row r="599" spans="1:21" x14ac:dyDescent="0.3">
      <c r="A599" s="41" t="str">
        <f t="shared" si="63"/>
        <v>PMANDR</v>
      </c>
      <c r="B599" s="43">
        <v>45551</v>
      </c>
      <c r="C599" s="10" t="s">
        <v>641</v>
      </c>
      <c r="D599" s="10" t="s">
        <v>31</v>
      </c>
      <c r="E599" s="10" t="s">
        <v>30</v>
      </c>
      <c r="F599" s="10" t="s">
        <v>23</v>
      </c>
      <c r="G599" s="10" t="s">
        <v>49</v>
      </c>
      <c r="H599" s="10" t="s">
        <v>6</v>
      </c>
      <c r="I599" s="45">
        <v>2246</v>
      </c>
      <c r="J599" s="11">
        <v>0</v>
      </c>
      <c r="K599" s="45">
        <f t="shared" si="64"/>
        <v>2246</v>
      </c>
      <c r="L599" s="10">
        <v>6</v>
      </c>
      <c r="M599" s="10">
        <v>4.5999999999999996</v>
      </c>
      <c r="N599" s="10" t="b">
        <v>1</v>
      </c>
      <c r="O599" s="41" t="s">
        <v>80</v>
      </c>
      <c r="P599" s="45">
        <f t="shared" si="65"/>
        <v>943.31999999999994</v>
      </c>
      <c r="Q599" s="45">
        <f t="shared" si="66"/>
        <v>1302.68</v>
      </c>
      <c r="R599" s="45">
        <v>150</v>
      </c>
      <c r="S599" s="45">
        <f t="shared" si="67"/>
        <v>224.60000000000002</v>
      </c>
      <c r="T599" s="45">
        <f t="shared" si="68"/>
        <v>2246</v>
      </c>
      <c r="U599" s="47">
        <f t="shared" si="69"/>
        <v>-1317.92</v>
      </c>
    </row>
    <row r="600" spans="1:21" x14ac:dyDescent="0.3">
      <c r="A600" s="41" t="str">
        <f t="shared" si="63"/>
        <v>PH&amp;MSH</v>
      </c>
      <c r="B600" s="43">
        <v>45551</v>
      </c>
      <c r="C600" s="10" t="s">
        <v>642</v>
      </c>
      <c r="D600" s="10" t="s">
        <v>37</v>
      </c>
      <c r="E600" s="10" t="s">
        <v>18</v>
      </c>
      <c r="F600" s="10" t="s">
        <v>4</v>
      </c>
      <c r="G600" s="10" t="s">
        <v>12</v>
      </c>
      <c r="H600" s="10" t="s">
        <v>7</v>
      </c>
      <c r="I600" s="45">
        <v>3325</v>
      </c>
      <c r="J600" s="11">
        <v>0</v>
      </c>
      <c r="K600" s="45">
        <f t="shared" si="64"/>
        <v>3325</v>
      </c>
      <c r="L600" s="10">
        <v>49</v>
      </c>
      <c r="M600" s="10">
        <v>4.9000000000000004</v>
      </c>
      <c r="N600" s="10" t="b">
        <v>1</v>
      </c>
      <c r="O600" s="41" t="s">
        <v>33</v>
      </c>
      <c r="P600" s="45">
        <f t="shared" si="65"/>
        <v>1396.5</v>
      </c>
      <c r="Q600" s="45">
        <f t="shared" si="66"/>
        <v>1928.5</v>
      </c>
      <c r="R600" s="45">
        <v>150</v>
      </c>
      <c r="S600" s="45">
        <f t="shared" si="67"/>
        <v>332.5</v>
      </c>
      <c r="T600" s="45">
        <f t="shared" si="68"/>
        <v>3325</v>
      </c>
      <c r="U600" s="47">
        <f t="shared" si="69"/>
        <v>-1879</v>
      </c>
    </row>
    <row r="601" spans="1:21" x14ac:dyDescent="0.3">
      <c r="A601" s="41" t="str">
        <f t="shared" si="63"/>
        <v>PMANOU</v>
      </c>
      <c r="B601" s="43">
        <v>45552</v>
      </c>
      <c r="C601" s="10" t="s">
        <v>643</v>
      </c>
      <c r="D601" s="10" t="s">
        <v>31</v>
      </c>
      <c r="E601" s="10" t="s">
        <v>2</v>
      </c>
      <c r="F601" s="10" t="s">
        <v>23</v>
      </c>
      <c r="G601" s="10" t="s">
        <v>7</v>
      </c>
      <c r="H601" s="10" t="s">
        <v>16</v>
      </c>
      <c r="I601" s="45">
        <v>3345</v>
      </c>
      <c r="J601" s="11">
        <v>0</v>
      </c>
      <c r="K601" s="45">
        <f t="shared" si="64"/>
        <v>3345</v>
      </c>
      <c r="L601" s="10">
        <v>45</v>
      </c>
      <c r="M601" s="10">
        <v>1.6</v>
      </c>
      <c r="N601" s="10" t="b">
        <v>0</v>
      </c>
      <c r="O601" s="41"/>
      <c r="P601" s="45">
        <f t="shared" si="65"/>
        <v>1404.8999999999999</v>
      </c>
      <c r="Q601" s="45">
        <f t="shared" si="66"/>
        <v>1940.1000000000001</v>
      </c>
      <c r="R601" s="45">
        <v>0</v>
      </c>
      <c r="S601" s="45">
        <f t="shared" si="67"/>
        <v>0</v>
      </c>
      <c r="T601" s="45">
        <f t="shared" si="68"/>
        <v>0</v>
      </c>
      <c r="U601" s="47">
        <f t="shared" si="69"/>
        <v>1940.1000000000001</v>
      </c>
    </row>
    <row r="602" spans="1:21" x14ac:dyDescent="0.3">
      <c r="A602" s="41" t="str">
        <f t="shared" si="63"/>
        <v>PZARBO</v>
      </c>
      <c r="B602" s="43">
        <v>45552</v>
      </c>
      <c r="C602" s="10" t="s">
        <v>644</v>
      </c>
      <c r="D602" s="10" t="s">
        <v>3</v>
      </c>
      <c r="E602" s="10" t="s">
        <v>26</v>
      </c>
      <c r="F602" s="10" t="s">
        <v>23</v>
      </c>
      <c r="G602" s="10" t="s">
        <v>49</v>
      </c>
      <c r="H602" s="10" t="s">
        <v>43</v>
      </c>
      <c r="I602" s="45">
        <v>2482</v>
      </c>
      <c r="J602" s="11">
        <v>0</v>
      </c>
      <c r="K602" s="45">
        <f t="shared" si="64"/>
        <v>2482</v>
      </c>
      <c r="L602" s="10">
        <v>7</v>
      </c>
      <c r="M602" s="10">
        <v>3.5</v>
      </c>
      <c r="N602" s="10" t="b">
        <v>0</v>
      </c>
      <c r="O602" s="41"/>
      <c r="P602" s="45">
        <f t="shared" si="65"/>
        <v>1042.44</v>
      </c>
      <c r="Q602" s="45">
        <f t="shared" si="66"/>
        <v>1439.56</v>
      </c>
      <c r="R602" s="45">
        <v>0</v>
      </c>
      <c r="S602" s="45">
        <f t="shared" si="67"/>
        <v>0</v>
      </c>
      <c r="T602" s="45">
        <f t="shared" si="68"/>
        <v>0</v>
      </c>
      <c r="U602" s="47">
        <f t="shared" si="69"/>
        <v>1439.56</v>
      </c>
    </row>
    <row r="603" spans="1:21" x14ac:dyDescent="0.3">
      <c r="A603" s="41" t="str">
        <f t="shared" si="63"/>
        <v>PANNAC</v>
      </c>
      <c r="B603" s="43">
        <v>45552</v>
      </c>
      <c r="C603" s="10" t="s">
        <v>645</v>
      </c>
      <c r="D603" s="10" t="s">
        <v>42</v>
      </c>
      <c r="E603" s="10" t="s">
        <v>15</v>
      </c>
      <c r="F603" s="10" t="s">
        <v>23</v>
      </c>
      <c r="G603" s="10" t="s">
        <v>7</v>
      </c>
      <c r="H603" s="10" t="s">
        <v>16</v>
      </c>
      <c r="I603" s="45">
        <v>467</v>
      </c>
      <c r="J603" s="11">
        <v>0</v>
      </c>
      <c r="K603" s="45">
        <f t="shared" si="64"/>
        <v>467</v>
      </c>
      <c r="L603" s="10">
        <v>38</v>
      </c>
      <c r="M603" s="10">
        <v>4.2</v>
      </c>
      <c r="N603" s="10" t="b">
        <v>0</v>
      </c>
      <c r="O603" s="41"/>
      <c r="P603" s="45">
        <f t="shared" si="65"/>
        <v>196.14</v>
      </c>
      <c r="Q603" s="45">
        <f t="shared" si="66"/>
        <v>270.86</v>
      </c>
      <c r="R603" s="45">
        <v>0</v>
      </c>
      <c r="S603" s="45">
        <f t="shared" si="67"/>
        <v>0</v>
      </c>
      <c r="T603" s="45">
        <f t="shared" si="68"/>
        <v>0</v>
      </c>
      <c r="U603" s="47">
        <f t="shared" si="69"/>
        <v>270.86</v>
      </c>
    </row>
    <row r="604" spans="1:21" x14ac:dyDescent="0.3">
      <c r="A604" s="41" t="str">
        <f t="shared" si="63"/>
        <v>PBANBO</v>
      </c>
      <c r="B604" s="43">
        <v>45553</v>
      </c>
      <c r="C604" s="10" t="s">
        <v>646</v>
      </c>
      <c r="D604" s="10" t="s">
        <v>21</v>
      </c>
      <c r="E604" s="10" t="s">
        <v>26</v>
      </c>
      <c r="F604" s="10" t="s">
        <v>4</v>
      </c>
      <c r="G604" s="10" t="s">
        <v>12</v>
      </c>
      <c r="H604" s="10" t="s">
        <v>35</v>
      </c>
      <c r="I604" s="45">
        <v>2230</v>
      </c>
      <c r="J604" s="11">
        <v>0</v>
      </c>
      <c r="K604" s="45">
        <f t="shared" si="64"/>
        <v>2230</v>
      </c>
      <c r="L604" s="10">
        <v>33</v>
      </c>
      <c r="M604" s="10">
        <v>2.9</v>
      </c>
      <c r="N604" s="10" t="b">
        <v>1</v>
      </c>
      <c r="O604" s="41" t="s">
        <v>50</v>
      </c>
      <c r="P604" s="45">
        <f t="shared" si="65"/>
        <v>936.59999999999991</v>
      </c>
      <c r="Q604" s="45">
        <f t="shared" si="66"/>
        <v>1293.4000000000001</v>
      </c>
      <c r="R604" s="45">
        <v>150</v>
      </c>
      <c r="S604" s="45">
        <f t="shared" si="67"/>
        <v>223</v>
      </c>
      <c r="T604" s="45">
        <f t="shared" si="68"/>
        <v>2230</v>
      </c>
      <c r="U604" s="47">
        <f t="shared" si="69"/>
        <v>-1309.5999999999999</v>
      </c>
    </row>
    <row r="605" spans="1:21" x14ac:dyDescent="0.3">
      <c r="A605" s="41" t="str">
        <f t="shared" si="63"/>
        <v>PH&amp;MDR</v>
      </c>
      <c r="B605" s="43">
        <v>45553</v>
      </c>
      <c r="C605" s="10" t="s">
        <v>647</v>
      </c>
      <c r="D605" s="10" t="s">
        <v>37</v>
      </c>
      <c r="E605" s="10" t="s">
        <v>30</v>
      </c>
      <c r="F605" s="10" t="s">
        <v>11</v>
      </c>
      <c r="G605" s="10" t="s">
        <v>38</v>
      </c>
      <c r="H605" s="10" t="s">
        <v>16</v>
      </c>
      <c r="I605" s="45">
        <v>2563</v>
      </c>
      <c r="J605" s="11">
        <v>0</v>
      </c>
      <c r="K605" s="45">
        <f t="shared" si="64"/>
        <v>2563</v>
      </c>
      <c r="L605" s="10">
        <v>15</v>
      </c>
      <c r="M605" s="10">
        <v>2.7</v>
      </c>
      <c r="N605" s="10" t="b">
        <v>0</v>
      </c>
      <c r="O605" s="41"/>
      <c r="P605" s="45">
        <f t="shared" si="65"/>
        <v>1076.46</v>
      </c>
      <c r="Q605" s="45">
        <f t="shared" si="66"/>
        <v>1486.54</v>
      </c>
      <c r="R605" s="45">
        <v>0</v>
      </c>
      <c r="S605" s="45">
        <f t="shared" si="67"/>
        <v>0</v>
      </c>
      <c r="T605" s="45">
        <f t="shared" si="68"/>
        <v>0</v>
      </c>
      <c r="U605" s="47">
        <f t="shared" si="69"/>
        <v>1486.54</v>
      </c>
    </row>
    <row r="606" spans="1:21" x14ac:dyDescent="0.3">
      <c r="A606" s="41" t="str">
        <f t="shared" si="63"/>
        <v>PUNIAC</v>
      </c>
      <c r="B606" s="43">
        <v>45553</v>
      </c>
      <c r="C606" s="10" t="s">
        <v>648</v>
      </c>
      <c r="D606" s="10" t="s">
        <v>10</v>
      </c>
      <c r="E606" s="10" t="s">
        <v>15</v>
      </c>
      <c r="F606" s="10" t="s">
        <v>11</v>
      </c>
      <c r="G606" s="10" t="s">
        <v>7</v>
      </c>
      <c r="H606" s="10" t="s">
        <v>16</v>
      </c>
      <c r="I606" s="45">
        <v>354</v>
      </c>
      <c r="J606" s="11">
        <v>0</v>
      </c>
      <c r="K606" s="45">
        <f t="shared" si="64"/>
        <v>354</v>
      </c>
      <c r="L606" s="10">
        <v>47</v>
      </c>
      <c r="M606" s="10">
        <v>4</v>
      </c>
      <c r="N606" s="10" t="b">
        <v>0</v>
      </c>
      <c r="O606" s="41"/>
      <c r="P606" s="45">
        <f t="shared" si="65"/>
        <v>148.68</v>
      </c>
      <c r="Q606" s="45">
        <f t="shared" si="66"/>
        <v>205.32</v>
      </c>
      <c r="R606" s="45">
        <v>0</v>
      </c>
      <c r="S606" s="45">
        <f t="shared" si="67"/>
        <v>0</v>
      </c>
      <c r="T606" s="45">
        <f t="shared" si="68"/>
        <v>0</v>
      </c>
      <c r="U606" s="47">
        <f t="shared" si="69"/>
        <v>205.32</v>
      </c>
    </row>
    <row r="607" spans="1:21" x14ac:dyDescent="0.3">
      <c r="A607" s="41" t="str">
        <f t="shared" si="63"/>
        <v>PGAPAC</v>
      </c>
      <c r="B607" s="43">
        <v>45553</v>
      </c>
      <c r="C607" s="10" t="s">
        <v>649</v>
      </c>
      <c r="D607" s="10" t="s">
        <v>53</v>
      </c>
      <c r="E607" s="10" t="s">
        <v>15</v>
      </c>
      <c r="F607" s="10" t="s">
        <v>54</v>
      </c>
      <c r="G607" s="10" t="s">
        <v>7</v>
      </c>
      <c r="H607" s="10" t="s">
        <v>58</v>
      </c>
      <c r="I607" s="45">
        <v>464</v>
      </c>
      <c r="J607" s="11">
        <v>0.35399999999999998</v>
      </c>
      <c r="K607" s="45">
        <f t="shared" si="64"/>
        <v>299.74400000000003</v>
      </c>
      <c r="L607" s="10">
        <v>9</v>
      </c>
      <c r="M607" s="10">
        <v>4.5999999999999996</v>
      </c>
      <c r="N607" s="10" t="b">
        <v>1</v>
      </c>
      <c r="O607" s="41" t="s">
        <v>44</v>
      </c>
      <c r="P607" s="45">
        <f t="shared" si="65"/>
        <v>125.89248000000001</v>
      </c>
      <c r="Q607" s="45">
        <f t="shared" si="66"/>
        <v>173.85152000000002</v>
      </c>
      <c r="R607" s="45">
        <v>150</v>
      </c>
      <c r="S607" s="45">
        <f t="shared" si="67"/>
        <v>29.974400000000003</v>
      </c>
      <c r="T607" s="45">
        <f t="shared" si="68"/>
        <v>299.74400000000003</v>
      </c>
      <c r="U607" s="47">
        <f t="shared" si="69"/>
        <v>-305.86688000000004</v>
      </c>
    </row>
    <row r="608" spans="1:21" x14ac:dyDescent="0.3">
      <c r="A608" s="41" t="str">
        <f t="shared" si="63"/>
        <v>PZARAC</v>
      </c>
      <c r="B608" s="43">
        <v>45554</v>
      </c>
      <c r="C608" s="10" t="s">
        <v>650</v>
      </c>
      <c r="D608" s="10" t="s">
        <v>3</v>
      </c>
      <c r="E608" s="10" t="s">
        <v>15</v>
      </c>
      <c r="F608" s="10" t="s">
        <v>23</v>
      </c>
      <c r="G608" s="10" t="s">
        <v>7</v>
      </c>
      <c r="H608" s="10" t="s">
        <v>6</v>
      </c>
      <c r="I608" s="45">
        <v>261</v>
      </c>
      <c r="J608" s="11">
        <v>0</v>
      </c>
      <c r="K608" s="45">
        <f t="shared" si="64"/>
        <v>261</v>
      </c>
      <c r="L608" s="10">
        <v>49</v>
      </c>
      <c r="M608" s="10">
        <v>1.8</v>
      </c>
      <c r="N608" s="10" t="b">
        <v>0</v>
      </c>
      <c r="O608" s="41"/>
      <c r="P608" s="45">
        <f t="shared" si="65"/>
        <v>109.61999999999999</v>
      </c>
      <c r="Q608" s="45">
        <f t="shared" si="66"/>
        <v>151.38</v>
      </c>
      <c r="R608" s="45">
        <v>0</v>
      </c>
      <c r="S608" s="45">
        <f t="shared" si="67"/>
        <v>0</v>
      </c>
      <c r="T608" s="45">
        <f t="shared" si="68"/>
        <v>0</v>
      </c>
      <c r="U608" s="47">
        <f t="shared" si="69"/>
        <v>151.38</v>
      </c>
    </row>
    <row r="609" spans="1:21" x14ac:dyDescent="0.3">
      <c r="A609" s="41" t="str">
        <f t="shared" si="63"/>
        <v>PZARDR</v>
      </c>
      <c r="B609" s="43">
        <v>45554</v>
      </c>
      <c r="C609" s="10" t="s">
        <v>651</v>
      </c>
      <c r="D609" s="10" t="s">
        <v>3</v>
      </c>
      <c r="E609" s="10" t="s">
        <v>30</v>
      </c>
      <c r="F609" s="10" t="s">
        <v>4</v>
      </c>
      <c r="G609" s="10" t="s">
        <v>49</v>
      </c>
      <c r="H609" s="10" t="s">
        <v>6</v>
      </c>
      <c r="I609" s="45">
        <v>2207</v>
      </c>
      <c r="J609" s="11">
        <v>0</v>
      </c>
      <c r="K609" s="45">
        <f t="shared" si="64"/>
        <v>2207</v>
      </c>
      <c r="L609" s="10">
        <v>36</v>
      </c>
      <c r="M609" s="10"/>
      <c r="N609" s="10" t="b">
        <v>0</v>
      </c>
      <c r="O609" s="41"/>
      <c r="P609" s="45">
        <f t="shared" si="65"/>
        <v>926.93999999999994</v>
      </c>
      <c r="Q609" s="45">
        <f t="shared" si="66"/>
        <v>1280.06</v>
      </c>
      <c r="R609" s="45">
        <v>0</v>
      </c>
      <c r="S609" s="45">
        <f t="shared" si="67"/>
        <v>0</v>
      </c>
      <c r="T609" s="45">
        <f t="shared" si="68"/>
        <v>0</v>
      </c>
      <c r="U609" s="47">
        <f t="shared" si="69"/>
        <v>1280.06</v>
      </c>
    </row>
    <row r="610" spans="1:21" x14ac:dyDescent="0.3">
      <c r="A610" s="41" t="str">
        <f t="shared" si="63"/>
        <v>PFORAC</v>
      </c>
      <c r="B610" s="43">
        <v>45554</v>
      </c>
      <c r="C610" s="10" t="s">
        <v>652</v>
      </c>
      <c r="D610" s="10" t="s">
        <v>65</v>
      </c>
      <c r="E610" s="10" t="s">
        <v>15</v>
      </c>
      <c r="F610" s="10" t="s">
        <v>4</v>
      </c>
      <c r="G610" s="10" t="s">
        <v>7</v>
      </c>
      <c r="H610" s="10" t="s">
        <v>6</v>
      </c>
      <c r="I610" s="45">
        <v>307</v>
      </c>
      <c r="J610" s="11">
        <v>0.29100000000000004</v>
      </c>
      <c r="K610" s="45">
        <f t="shared" si="64"/>
        <v>217.66299999999998</v>
      </c>
      <c r="L610" s="10">
        <v>9</v>
      </c>
      <c r="M610" s="10">
        <v>1.4</v>
      </c>
      <c r="N610" s="10" t="b">
        <v>0</v>
      </c>
      <c r="O610" s="41"/>
      <c r="P610" s="45">
        <f t="shared" si="65"/>
        <v>91.418459999999996</v>
      </c>
      <c r="Q610" s="45">
        <f t="shared" si="66"/>
        <v>126.24453999999999</v>
      </c>
      <c r="R610" s="45">
        <v>0</v>
      </c>
      <c r="S610" s="45">
        <f t="shared" si="67"/>
        <v>0</v>
      </c>
      <c r="T610" s="45">
        <f t="shared" si="68"/>
        <v>0</v>
      </c>
      <c r="U610" s="47">
        <f t="shared" si="69"/>
        <v>126.24453999999999</v>
      </c>
    </row>
    <row r="611" spans="1:21" x14ac:dyDescent="0.3">
      <c r="A611" s="41" t="str">
        <f t="shared" si="63"/>
        <v>PMANBO</v>
      </c>
      <c r="B611" s="43">
        <v>45555</v>
      </c>
      <c r="C611" s="10" t="s">
        <v>653</v>
      </c>
      <c r="D611" s="10" t="s">
        <v>31</v>
      </c>
      <c r="E611" s="10" t="s">
        <v>26</v>
      </c>
      <c r="F611" s="10" t="s">
        <v>54</v>
      </c>
      <c r="G611" s="10" t="s">
        <v>5</v>
      </c>
      <c r="H611" s="10" t="s">
        <v>58</v>
      </c>
      <c r="I611" s="45">
        <v>2688</v>
      </c>
      <c r="J611" s="11">
        <v>0</v>
      </c>
      <c r="K611" s="45">
        <f t="shared" si="64"/>
        <v>2688</v>
      </c>
      <c r="L611" s="10">
        <v>10</v>
      </c>
      <c r="M611" s="10">
        <v>4.8</v>
      </c>
      <c r="N611" s="10" t="b">
        <v>0</v>
      </c>
      <c r="O611" s="41"/>
      <c r="P611" s="45">
        <f t="shared" si="65"/>
        <v>1128.96</v>
      </c>
      <c r="Q611" s="45">
        <f t="shared" si="66"/>
        <v>1559.04</v>
      </c>
      <c r="R611" s="45">
        <v>0</v>
      </c>
      <c r="S611" s="45">
        <f t="shared" si="67"/>
        <v>0</v>
      </c>
      <c r="T611" s="45">
        <f t="shared" si="68"/>
        <v>0</v>
      </c>
      <c r="U611" s="47">
        <f t="shared" si="69"/>
        <v>1559.04</v>
      </c>
    </row>
    <row r="612" spans="1:21" x14ac:dyDescent="0.3">
      <c r="A612" s="41" t="str">
        <f t="shared" si="63"/>
        <v>PZARBO</v>
      </c>
      <c r="B612" s="43">
        <v>45555</v>
      </c>
      <c r="C612" s="10" t="s">
        <v>654</v>
      </c>
      <c r="D612" s="10" t="s">
        <v>3</v>
      </c>
      <c r="E612" s="10" t="s">
        <v>26</v>
      </c>
      <c r="F612" s="10" t="s">
        <v>11</v>
      </c>
      <c r="G612" s="10" t="s">
        <v>5</v>
      </c>
      <c r="H612" s="10" t="s">
        <v>28</v>
      </c>
      <c r="I612" s="45">
        <v>2681</v>
      </c>
      <c r="J612" s="11">
        <v>0</v>
      </c>
      <c r="K612" s="45">
        <f t="shared" si="64"/>
        <v>2681</v>
      </c>
      <c r="L612" s="10">
        <v>34</v>
      </c>
      <c r="M612" s="10">
        <v>4.9000000000000004</v>
      </c>
      <c r="N612" s="10" t="b">
        <v>0</v>
      </c>
      <c r="O612" s="41"/>
      <c r="P612" s="45">
        <f t="shared" si="65"/>
        <v>1126.02</v>
      </c>
      <c r="Q612" s="45">
        <f t="shared" si="66"/>
        <v>1554.98</v>
      </c>
      <c r="R612" s="45">
        <v>0</v>
      </c>
      <c r="S612" s="45">
        <f t="shared" si="67"/>
        <v>0</v>
      </c>
      <c r="T612" s="45">
        <f t="shared" si="68"/>
        <v>0</v>
      </c>
      <c r="U612" s="47">
        <f t="shared" si="69"/>
        <v>1554.98</v>
      </c>
    </row>
    <row r="613" spans="1:21" x14ac:dyDescent="0.3">
      <c r="A613" s="41" t="str">
        <f t="shared" si="63"/>
        <v>PANNOU</v>
      </c>
      <c r="B613" s="43">
        <v>45555</v>
      </c>
      <c r="C613" s="10" t="s">
        <v>655</v>
      </c>
      <c r="D613" s="10" t="s">
        <v>42</v>
      </c>
      <c r="E613" s="10" t="s">
        <v>2</v>
      </c>
      <c r="F613" s="10" t="s">
        <v>11</v>
      </c>
      <c r="G613" s="10" t="s">
        <v>38</v>
      </c>
      <c r="H613" s="10" t="s">
        <v>56</v>
      </c>
      <c r="I613" s="45">
        <v>4342</v>
      </c>
      <c r="J613" s="11">
        <v>0.27899999999999997</v>
      </c>
      <c r="K613" s="45">
        <f t="shared" si="64"/>
        <v>3130.5820000000003</v>
      </c>
      <c r="L613" s="10">
        <v>21</v>
      </c>
      <c r="M613" s="10">
        <v>2.2000000000000002</v>
      </c>
      <c r="N613" s="10" t="b">
        <v>0</v>
      </c>
      <c r="O613" s="41"/>
      <c r="P613" s="45">
        <f t="shared" si="65"/>
        <v>1314.8444400000001</v>
      </c>
      <c r="Q613" s="45">
        <f t="shared" si="66"/>
        <v>1815.7375600000003</v>
      </c>
      <c r="R613" s="45">
        <v>0</v>
      </c>
      <c r="S613" s="45">
        <f t="shared" si="67"/>
        <v>0</v>
      </c>
      <c r="T613" s="45">
        <f t="shared" si="68"/>
        <v>0</v>
      </c>
      <c r="U613" s="47">
        <f t="shared" si="69"/>
        <v>1815.7375600000003</v>
      </c>
    </row>
    <row r="614" spans="1:21" x14ac:dyDescent="0.3">
      <c r="A614" s="41" t="str">
        <f t="shared" si="63"/>
        <v>PMANAC</v>
      </c>
      <c r="B614" s="43">
        <v>45555</v>
      </c>
      <c r="C614" s="10" t="s">
        <v>656</v>
      </c>
      <c r="D614" s="10" t="s">
        <v>31</v>
      </c>
      <c r="E614" s="10" t="s">
        <v>15</v>
      </c>
      <c r="F614" s="10" t="s">
        <v>11</v>
      </c>
      <c r="G614" s="10" t="s">
        <v>7</v>
      </c>
      <c r="H614" s="10" t="s">
        <v>6</v>
      </c>
      <c r="I614" s="45">
        <v>430</v>
      </c>
      <c r="J614" s="11">
        <v>0</v>
      </c>
      <c r="K614" s="45">
        <f t="shared" si="64"/>
        <v>430</v>
      </c>
      <c r="L614" s="10">
        <v>15</v>
      </c>
      <c r="M614" s="10">
        <v>2.6</v>
      </c>
      <c r="N614" s="10" t="b">
        <v>0</v>
      </c>
      <c r="O614" s="41"/>
      <c r="P614" s="45">
        <f t="shared" si="65"/>
        <v>180.6</v>
      </c>
      <c r="Q614" s="45">
        <f t="shared" si="66"/>
        <v>249.4</v>
      </c>
      <c r="R614" s="45">
        <v>0</v>
      </c>
      <c r="S614" s="45">
        <f t="shared" si="67"/>
        <v>0</v>
      </c>
      <c r="T614" s="45">
        <f t="shared" si="68"/>
        <v>0</v>
      </c>
      <c r="U614" s="47">
        <f t="shared" si="69"/>
        <v>249.4</v>
      </c>
    </row>
    <row r="615" spans="1:21" x14ac:dyDescent="0.3">
      <c r="A615" s="41" t="str">
        <f t="shared" si="63"/>
        <v>PMANAC</v>
      </c>
      <c r="B615" s="43">
        <v>45556</v>
      </c>
      <c r="C615" s="10" t="s">
        <v>657</v>
      </c>
      <c r="D615" s="10" t="s">
        <v>31</v>
      </c>
      <c r="E615" s="10" t="s">
        <v>15</v>
      </c>
      <c r="F615" s="10" t="s">
        <v>11</v>
      </c>
      <c r="G615" s="10" t="s">
        <v>7</v>
      </c>
      <c r="H615" s="10" t="s">
        <v>58</v>
      </c>
      <c r="I615" s="45">
        <v>494</v>
      </c>
      <c r="J615" s="11">
        <v>0</v>
      </c>
      <c r="K615" s="45">
        <f t="shared" si="64"/>
        <v>494</v>
      </c>
      <c r="L615" s="10">
        <v>35</v>
      </c>
      <c r="M615" s="10">
        <v>2.8</v>
      </c>
      <c r="N615" s="10" t="b">
        <v>0</v>
      </c>
      <c r="O615" s="41"/>
      <c r="P615" s="45">
        <f t="shared" si="65"/>
        <v>207.48</v>
      </c>
      <c r="Q615" s="45">
        <f t="shared" si="66"/>
        <v>286.52</v>
      </c>
      <c r="R615" s="45">
        <v>0</v>
      </c>
      <c r="S615" s="45">
        <f t="shared" si="67"/>
        <v>0</v>
      </c>
      <c r="T615" s="45">
        <f t="shared" si="68"/>
        <v>0</v>
      </c>
      <c r="U615" s="47">
        <f t="shared" si="69"/>
        <v>286.52</v>
      </c>
    </row>
    <row r="616" spans="1:21" x14ac:dyDescent="0.3">
      <c r="A616" s="41" t="str">
        <f t="shared" si="63"/>
        <v>PBANAC</v>
      </c>
      <c r="B616" s="43">
        <v>45556</v>
      </c>
      <c r="C616" s="10" t="s">
        <v>658</v>
      </c>
      <c r="D616" s="10" t="s">
        <v>21</v>
      </c>
      <c r="E616" s="10" t="s">
        <v>15</v>
      </c>
      <c r="F616" s="10" t="s">
        <v>11</v>
      </c>
      <c r="G616" s="10" t="s">
        <v>7</v>
      </c>
      <c r="H616" s="10" t="s">
        <v>13</v>
      </c>
      <c r="I616" s="45">
        <v>378</v>
      </c>
      <c r="J616" s="11">
        <v>0</v>
      </c>
      <c r="K616" s="45">
        <f t="shared" si="64"/>
        <v>378</v>
      </c>
      <c r="L616" s="10">
        <v>19</v>
      </c>
      <c r="M616" s="10">
        <v>2.6</v>
      </c>
      <c r="N616" s="10" t="b">
        <v>1</v>
      </c>
      <c r="O616" s="41" t="s">
        <v>50</v>
      </c>
      <c r="P616" s="45">
        <f t="shared" si="65"/>
        <v>158.76</v>
      </c>
      <c r="Q616" s="45">
        <f t="shared" si="66"/>
        <v>219.24</v>
      </c>
      <c r="R616" s="45">
        <v>150</v>
      </c>
      <c r="S616" s="45">
        <f t="shared" si="67"/>
        <v>37.800000000000004</v>
      </c>
      <c r="T616" s="45">
        <f t="shared" si="68"/>
        <v>378</v>
      </c>
      <c r="U616" s="47">
        <f t="shared" si="69"/>
        <v>-346.56</v>
      </c>
    </row>
    <row r="617" spans="1:21" x14ac:dyDescent="0.3">
      <c r="A617" s="41" t="str">
        <f t="shared" si="63"/>
        <v>PBANBO</v>
      </c>
      <c r="B617" s="43">
        <v>45556</v>
      </c>
      <c r="C617" s="10" t="s">
        <v>659</v>
      </c>
      <c r="D617" s="10" t="s">
        <v>21</v>
      </c>
      <c r="E617" s="10" t="s">
        <v>26</v>
      </c>
      <c r="F617" s="10" t="s">
        <v>54</v>
      </c>
      <c r="G617" s="10" t="s">
        <v>49</v>
      </c>
      <c r="H617" s="10" t="s">
        <v>43</v>
      </c>
      <c r="I617" s="45">
        <v>2200</v>
      </c>
      <c r="J617" s="11">
        <v>0</v>
      </c>
      <c r="K617" s="45">
        <f t="shared" si="64"/>
        <v>2200</v>
      </c>
      <c r="L617" s="10">
        <v>10</v>
      </c>
      <c r="M617" s="10">
        <v>3.8</v>
      </c>
      <c r="N617" s="10" t="b">
        <v>0</v>
      </c>
      <c r="O617" s="41"/>
      <c r="P617" s="45">
        <f t="shared" si="65"/>
        <v>924</v>
      </c>
      <c r="Q617" s="45">
        <f t="shared" si="66"/>
        <v>1276</v>
      </c>
      <c r="R617" s="45">
        <v>0</v>
      </c>
      <c r="S617" s="45">
        <f t="shared" si="67"/>
        <v>0</v>
      </c>
      <c r="T617" s="45">
        <f t="shared" si="68"/>
        <v>0</v>
      </c>
      <c r="U617" s="47">
        <f t="shared" si="69"/>
        <v>1276</v>
      </c>
    </row>
    <row r="618" spans="1:21" x14ac:dyDescent="0.3">
      <c r="A618" s="41" t="str">
        <f t="shared" si="63"/>
        <v>PZARAC</v>
      </c>
      <c r="B618" s="43">
        <v>45557</v>
      </c>
      <c r="C618" s="10" t="s">
        <v>660</v>
      </c>
      <c r="D618" s="10" t="s">
        <v>3</v>
      </c>
      <c r="E618" s="10" t="s">
        <v>15</v>
      </c>
      <c r="F618" s="10" t="s">
        <v>54</v>
      </c>
      <c r="G618" s="10" t="s">
        <v>7</v>
      </c>
      <c r="H618" s="10" t="s">
        <v>47</v>
      </c>
      <c r="I618" s="45">
        <v>391</v>
      </c>
      <c r="J618" s="11">
        <v>0</v>
      </c>
      <c r="K618" s="45">
        <f t="shared" si="64"/>
        <v>391</v>
      </c>
      <c r="L618" s="10">
        <v>15</v>
      </c>
      <c r="M618" s="10">
        <v>4</v>
      </c>
      <c r="N618" s="10" t="b">
        <v>0</v>
      </c>
      <c r="O618" s="41"/>
      <c r="P618" s="45">
        <f t="shared" si="65"/>
        <v>164.22</v>
      </c>
      <c r="Q618" s="45">
        <f t="shared" si="66"/>
        <v>226.78</v>
      </c>
      <c r="R618" s="45">
        <v>0</v>
      </c>
      <c r="S618" s="45">
        <f t="shared" si="67"/>
        <v>0</v>
      </c>
      <c r="T618" s="45">
        <f t="shared" si="68"/>
        <v>0</v>
      </c>
      <c r="U618" s="47">
        <f t="shared" si="69"/>
        <v>226.78</v>
      </c>
    </row>
    <row r="619" spans="1:21" x14ac:dyDescent="0.3">
      <c r="A619" s="41" t="str">
        <f t="shared" si="63"/>
        <v>PH&amp;MBO</v>
      </c>
      <c r="B619" s="43">
        <v>45557</v>
      </c>
      <c r="C619" s="10" t="s">
        <v>661</v>
      </c>
      <c r="D619" s="10" t="s">
        <v>37</v>
      </c>
      <c r="E619" s="10" t="s">
        <v>26</v>
      </c>
      <c r="F619" s="10" t="s">
        <v>4</v>
      </c>
      <c r="G619" s="10" t="s">
        <v>46</v>
      </c>
      <c r="H619" s="10" t="s">
        <v>47</v>
      </c>
      <c r="I619" s="45">
        <v>2675</v>
      </c>
      <c r="J619" s="11">
        <v>0</v>
      </c>
      <c r="K619" s="45">
        <f t="shared" si="64"/>
        <v>2675</v>
      </c>
      <c r="L619" s="10">
        <v>49</v>
      </c>
      <c r="M619" s="10">
        <v>2.4</v>
      </c>
      <c r="N619" s="10" t="b">
        <v>0</v>
      </c>
      <c r="O619" s="41"/>
      <c r="P619" s="45">
        <f t="shared" si="65"/>
        <v>1123.5</v>
      </c>
      <c r="Q619" s="45">
        <f t="shared" si="66"/>
        <v>1551.5</v>
      </c>
      <c r="R619" s="45">
        <v>0</v>
      </c>
      <c r="S619" s="45">
        <f t="shared" si="67"/>
        <v>0</v>
      </c>
      <c r="T619" s="45">
        <f t="shared" si="68"/>
        <v>0</v>
      </c>
      <c r="U619" s="47">
        <f t="shared" si="69"/>
        <v>1551.5</v>
      </c>
    </row>
    <row r="620" spans="1:21" x14ac:dyDescent="0.3">
      <c r="A620" s="41" t="str">
        <f t="shared" si="63"/>
        <v>PMANDR</v>
      </c>
      <c r="B620" s="43">
        <v>45557</v>
      </c>
      <c r="C620" s="10" t="s">
        <v>662</v>
      </c>
      <c r="D620" s="10" t="s">
        <v>31</v>
      </c>
      <c r="E620" s="10" t="s">
        <v>30</v>
      </c>
      <c r="F620" s="10" t="s">
        <v>23</v>
      </c>
      <c r="G620" s="10" t="s">
        <v>5</v>
      </c>
      <c r="H620" s="10" t="s">
        <v>35</v>
      </c>
      <c r="I620" s="45">
        <v>2968</v>
      </c>
      <c r="J620" s="11">
        <v>0</v>
      </c>
      <c r="K620" s="45">
        <f t="shared" si="64"/>
        <v>2968</v>
      </c>
      <c r="L620" s="10">
        <v>5</v>
      </c>
      <c r="M620" s="10">
        <v>5</v>
      </c>
      <c r="N620" s="10" t="b">
        <v>0</v>
      </c>
      <c r="O620" s="41"/>
      <c r="P620" s="45">
        <f t="shared" si="65"/>
        <v>1246.56</v>
      </c>
      <c r="Q620" s="45">
        <f t="shared" si="66"/>
        <v>1721.44</v>
      </c>
      <c r="R620" s="45">
        <v>0</v>
      </c>
      <c r="S620" s="45">
        <f t="shared" si="67"/>
        <v>0</v>
      </c>
      <c r="T620" s="45">
        <f t="shared" si="68"/>
        <v>0</v>
      </c>
      <c r="U620" s="47">
        <f t="shared" si="69"/>
        <v>1721.44</v>
      </c>
    </row>
    <row r="621" spans="1:21" x14ac:dyDescent="0.3">
      <c r="A621" s="41" t="str">
        <f t="shared" si="63"/>
        <v>PFORSH</v>
      </c>
      <c r="B621" s="43">
        <v>45557</v>
      </c>
      <c r="C621" s="10" t="s">
        <v>663</v>
      </c>
      <c r="D621" s="10" t="s">
        <v>65</v>
      </c>
      <c r="E621" s="10" t="s">
        <v>18</v>
      </c>
      <c r="F621" s="10" t="s">
        <v>23</v>
      </c>
      <c r="G621" s="10" t="s">
        <v>38</v>
      </c>
      <c r="H621" s="10" t="s">
        <v>6</v>
      </c>
      <c r="I621" s="45">
        <v>4197</v>
      </c>
      <c r="J621" s="11">
        <v>0</v>
      </c>
      <c r="K621" s="45">
        <f t="shared" si="64"/>
        <v>4197</v>
      </c>
      <c r="L621" s="10">
        <v>50</v>
      </c>
      <c r="M621" s="10">
        <v>4.7</v>
      </c>
      <c r="N621" s="10" t="b">
        <v>0</v>
      </c>
      <c r="O621" s="41"/>
      <c r="P621" s="45">
        <f t="shared" si="65"/>
        <v>1762.74</v>
      </c>
      <c r="Q621" s="45">
        <f t="shared" si="66"/>
        <v>2434.2600000000002</v>
      </c>
      <c r="R621" s="45">
        <v>0</v>
      </c>
      <c r="S621" s="45">
        <f t="shared" si="67"/>
        <v>0</v>
      </c>
      <c r="T621" s="45">
        <f t="shared" si="68"/>
        <v>0</v>
      </c>
      <c r="U621" s="47">
        <f t="shared" si="69"/>
        <v>2434.2600000000002</v>
      </c>
    </row>
    <row r="622" spans="1:21" x14ac:dyDescent="0.3">
      <c r="A622" s="41" t="str">
        <f t="shared" si="63"/>
        <v>PBANTO</v>
      </c>
      <c r="B622" s="43">
        <v>45558</v>
      </c>
      <c r="C622" s="10" t="s">
        <v>664</v>
      </c>
      <c r="D622" s="10" t="s">
        <v>21</v>
      </c>
      <c r="E622" s="10" t="s">
        <v>9</v>
      </c>
      <c r="F622" s="10" t="s">
        <v>11</v>
      </c>
      <c r="G622" s="10" t="s">
        <v>46</v>
      </c>
      <c r="H622" s="10" t="s">
        <v>6</v>
      </c>
      <c r="I622" s="45">
        <v>1636</v>
      </c>
      <c r="J622" s="11">
        <v>0</v>
      </c>
      <c r="K622" s="45">
        <f t="shared" si="64"/>
        <v>1636</v>
      </c>
      <c r="L622" s="10">
        <v>15</v>
      </c>
      <c r="M622" s="10">
        <v>2.8</v>
      </c>
      <c r="N622" s="10" t="b">
        <v>0</v>
      </c>
      <c r="O622" s="41"/>
      <c r="P622" s="45">
        <f t="shared" si="65"/>
        <v>687.12</v>
      </c>
      <c r="Q622" s="45">
        <f t="shared" si="66"/>
        <v>948.88</v>
      </c>
      <c r="R622" s="45">
        <v>0</v>
      </c>
      <c r="S622" s="45">
        <f t="shared" si="67"/>
        <v>0</v>
      </c>
      <c r="T622" s="45">
        <f t="shared" si="68"/>
        <v>0</v>
      </c>
      <c r="U622" s="47">
        <f t="shared" si="69"/>
        <v>948.88</v>
      </c>
    </row>
    <row r="623" spans="1:21" x14ac:dyDescent="0.3">
      <c r="A623" s="41" t="str">
        <f t="shared" si="63"/>
        <v>PZARAC</v>
      </c>
      <c r="B623" s="43">
        <v>45558</v>
      </c>
      <c r="C623" s="10" t="s">
        <v>665</v>
      </c>
      <c r="D623" s="10" t="s">
        <v>3</v>
      </c>
      <c r="E623" s="10" t="s">
        <v>15</v>
      </c>
      <c r="F623" s="10" t="s">
        <v>4</v>
      </c>
      <c r="G623" s="10" t="s">
        <v>7</v>
      </c>
      <c r="H623" s="10" t="s">
        <v>58</v>
      </c>
      <c r="I623" s="45">
        <v>296</v>
      </c>
      <c r="J623" s="11">
        <v>0</v>
      </c>
      <c r="K623" s="45">
        <f t="shared" si="64"/>
        <v>296</v>
      </c>
      <c r="L623" s="10">
        <v>42</v>
      </c>
      <c r="M623" s="10">
        <v>1.7</v>
      </c>
      <c r="N623" s="10" t="b">
        <v>0</v>
      </c>
      <c r="O623" s="41"/>
      <c r="P623" s="45">
        <f t="shared" si="65"/>
        <v>124.32</v>
      </c>
      <c r="Q623" s="45">
        <f t="shared" si="66"/>
        <v>171.68</v>
      </c>
      <c r="R623" s="45">
        <v>0</v>
      </c>
      <c r="S623" s="45">
        <f t="shared" si="67"/>
        <v>0</v>
      </c>
      <c r="T623" s="45">
        <f t="shared" si="68"/>
        <v>0</v>
      </c>
      <c r="U623" s="47">
        <f t="shared" si="69"/>
        <v>171.68</v>
      </c>
    </row>
    <row r="624" spans="1:21" x14ac:dyDescent="0.3">
      <c r="A624" s="41" t="str">
        <f t="shared" si="63"/>
        <v>PMANAC</v>
      </c>
      <c r="B624" s="43">
        <v>45558</v>
      </c>
      <c r="C624" s="10" t="s">
        <v>666</v>
      </c>
      <c r="D624" s="10" t="s">
        <v>31</v>
      </c>
      <c r="E624" s="10" t="s">
        <v>15</v>
      </c>
      <c r="F624" s="10" t="s">
        <v>54</v>
      </c>
      <c r="G624" s="10" t="s">
        <v>7</v>
      </c>
      <c r="H624" s="10" t="s">
        <v>88</v>
      </c>
      <c r="I624" s="45">
        <v>347</v>
      </c>
      <c r="J624" s="11">
        <v>0</v>
      </c>
      <c r="K624" s="45">
        <f t="shared" si="64"/>
        <v>347</v>
      </c>
      <c r="L624" s="10">
        <v>8</v>
      </c>
      <c r="M624" s="10">
        <v>2.8</v>
      </c>
      <c r="N624" s="10" t="b">
        <v>1</v>
      </c>
      <c r="O624" s="41" t="s">
        <v>44</v>
      </c>
      <c r="P624" s="45">
        <f t="shared" si="65"/>
        <v>145.73999999999998</v>
      </c>
      <c r="Q624" s="45">
        <f t="shared" si="66"/>
        <v>201.26000000000002</v>
      </c>
      <c r="R624" s="45">
        <v>150</v>
      </c>
      <c r="S624" s="45">
        <f t="shared" si="67"/>
        <v>34.700000000000003</v>
      </c>
      <c r="T624" s="45">
        <f t="shared" si="68"/>
        <v>347</v>
      </c>
      <c r="U624" s="47">
        <f t="shared" si="69"/>
        <v>-330.44</v>
      </c>
    </row>
    <row r="625" spans="1:21" x14ac:dyDescent="0.3">
      <c r="A625" s="41" t="str">
        <f t="shared" si="63"/>
        <v>PFORAC</v>
      </c>
      <c r="B625" s="43">
        <v>45559</v>
      </c>
      <c r="C625" s="10" t="s">
        <v>667</v>
      </c>
      <c r="D625" s="10" t="s">
        <v>65</v>
      </c>
      <c r="E625" s="10" t="s">
        <v>15</v>
      </c>
      <c r="F625" s="10" t="s">
        <v>23</v>
      </c>
      <c r="G625" s="10" t="s">
        <v>7</v>
      </c>
      <c r="H625" s="10" t="s">
        <v>35</v>
      </c>
      <c r="I625" s="45">
        <v>248</v>
      </c>
      <c r="J625" s="11">
        <v>0</v>
      </c>
      <c r="K625" s="45">
        <f t="shared" si="64"/>
        <v>248</v>
      </c>
      <c r="L625" s="10">
        <v>17</v>
      </c>
      <c r="M625" s="10">
        <v>1.9</v>
      </c>
      <c r="N625" s="10" t="b">
        <v>0</v>
      </c>
      <c r="O625" s="41"/>
      <c r="P625" s="45">
        <f t="shared" si="65"/>
        <v>104.16</v>
      </c>
      <c r="Q625" s="45">
        <f t="shared" si="66"/>
        <v>143.84</v>
      </c>
      <c r="R625" s="45">
        <v>0</v>
      </c>
      <c r="S625" s="45">
        <f t="shared" si="67"/>
        <v>0</v>
      </c>
      <c r="T625" s="45">
        <f t="shared" si="68"/>
        <v>0</v>
      </c>
      <c r="U625" s="47">
        <f t="shared" si="69"/>
        <v>143.84</v>
      </c>
    </row>
    <row r="626" spans="1:21" x14ac:dyDescent="0.3">
      <c r="A626" s="41" t="str">
        <f t="shared" si="63"/>
        <v>PFORBO</v>
      </c>
      <c r="B626" s="43">
        <v>45559</v>
      </c>
      <c r="C626" s="10" t="s">
        <v>668</v>
      </c>
      <c r="D626" s="10" t="s">
        <v>65</v>
      </c>
      <c r="E626" s="10" t="s">
        <v>26</v>
      </c>
      <c r="F626" s="10" t="s">
        <v>54</v>
      </c>
      <c r="G626" s="10" t="s">
        <v>27</v>
      </c>
      <c r="H626" s="10" t="s">
        <v>16</v>
      </c>
      <c r="I626" s="45">
        <v>2235</v>
      </c>
      <c r="J626" s="11">
        <v>0</v>
      </c>
      <c r="K626" s="45">
        <f t="shared" si="64"/>
        <v>2235</v>
      </c>
      <c r="L626" s="10">
        <v>6</v>
      </c>
      <c r="M626" s="10">
        <v>4.5</v>
      </c>
      <c r="N626" s="10" t="b">
        <v>1</v>
      </c>
      <c r="O626" s="41" t="s">
        <v>33</v>
      </c>
      <c r="P626" s="45">
        <f t="shared" si="65"/>
        <v>938.69999999999993</v>
      </c>
      <c r="Q626" s="45">
        <f t="shared" si="66"/>
        <v>1296.3000000000002</v>
      </c>
      <c r="R626" s="45">
        <v>150</v>
      </c>
      <c r="S626" s="45">
        <f t="shared" si="67"/>
        <v>223.5</v>
      </c>
      <c r="T626" s="45">
        <f t="shared" si="68"/>
        <v>2235</v>
      </c>
      <c r="U626" s="47">
        <f t="shared" si="69"/>
        <v>-1312.1999999999998</v>
      </c>
    </row>
    <row r="627" spans="1:21" x14ac:dyDescent="0.3">
      <c r="A627" s="41" t="str">
        <f t="shared" si="63"/>
        <v>PMANBO</v>
      </c>
      <c r="B627" s="43">
        <v>45559</v>
      </c>
      <c r="C627" s="10" t="s">
        <v>669</v>
      </c>
      <c r="D627" s="10" t="s">
        <v>31</v>
      </c>
      <c r="E627" s="10" t="s">
        <v>26</v>
      </c>
      <c r="F627" s="10" t="s">
        <v>23</v>
      </c>
      <c r="G627" s="10" t="s">
        <v>49</v>
      </c>
      <c r="H627" s="10" t="s">
        <v>47</v>
      </c>
      <c r="I627" s="45">
        <v>2163</v>
      </c>
      <c r="J627" s="11">
        <v>0</v>
      </c>
      <c r="K627" s="45">
        <f t="shared" si="64"/>
        <v>2163</v>
      </c>
      <c r="L627" s="10">
        <v>34</v>
      </c>
      <c r="M627" s="10">
        <v>1.4</v>
      </c>
      <c r="N627" s="10" t="b">
        <v>0</v>
      </c>
      <c r="O627" s="41"/>
      <c r="P627" s="45">
        <f t="shared" si="65"/>
        <v>908.45999999999992</v>
      </c>
      <c r="Q627" s="45">
        <f t="shared" si="66"/>
        <v>1254.54</v>
      </c>
      <c r="R627" s="45">
        <v>0</v>
      </c>
      <c r="S627" s="45">
        <f t="shared" si="67"/>
        <v>0</v>
      </c>
      <c r="T627" s="45">
        <f t="shared" si="68"/>
        <v>0</v>
      </c>
      <c r="U627" s="47">
        <f t="shared" si="69"/>
        <v>1254.54</v>
      </c>
    </row>
    <row r="628" spans="1:21" x14ac:dyDescent="0.3">
      <c r="A628" s="41" t="str">
        <f t="shared" si="63"/>
        <v>PGAPTO</v>
      </c>
      <c r="B628" s="43">
        <v>45559</v>
      </c>
      <c r="C628" s="10" t="s">
        <v>670</v>
      </c>
      <c r="D628" s="10" t="s">
        <v>53</v>
      </c>
      <c r="E628" s="10" t="s">
        <v>9</v>
      </c>
      <c r="F628" s="10" t="s">
        <v>11</v>
      </c>
      <c r="G628" s="10" t="s">
        <v>27</v>
      </c>
      <c r="H628" s="10" t="s">
        <v>88</v>
      </c>
      <c r="I628" s="45">
        <v>1146</v>
      </c>
      <c r="J628" s="11">
        <v>0</v>
      </c>
      <c r="K628" s="45">
        <f t="shared" si="64"/>
        <v>1146</v>
      </c>
      <c r="L628" s="10">
        <v>19</v>
      </c>
      <c r="M628" s="10">
        <v>1.6</v>
      </c>
      <c r="N628" s="10" t="b">
        <v>1</v>
      </c>
      <c r="O628" s="41" t="s">
        <v>44</v>
      </c>
      <c r="P628" s="45">
        <f t="shared" si="65"/>
        <v>481.32</v>
      </c>
      <c r="Q628" s="45">
        <f t="shared" si="66"/>
        <v>664.68000000000006</v>
      </c>
      <c r="R628" s="45">
        <v>150</v>
      </c>
      <c r="S628" s="45">
        <f t="shared" si="67"/>
        <v>114.60000000000001</v>
      </c>
      <c r="T628" s="45">
        <f t="shared" si="68"/>
        <v>1146</v>
      </c>
      <c r="U628" s="47">
        <f t="shared" si="69"/>
        <v>-745.92</v>
      </c>
    </row>
    <row r="629" spans="1:21" x14ac:dyDescent="0.3">
      <c r="A629" s="41" t="str">
        <f t="shared" si="63"/>
        <v>PZAROU</v>
      </c>
      <c r="B629" s="43">
        <v>45559</v>
      </c>
      <c r="C629" s="10" t="s">
        <v>671</v>
      </c>
      <c r="D629" s="10" t="s">
        <v>3</v>
      </c>
      <c r="E629" s="10" t="s">
        <v>2</v>
      </c>
      <c r="F629" s="10" t="s">
        <v>23</v>
      </c>
      <c r="G629" s="10" t="s">
        <v>49</v>
      </c>
      <c r="H629" s="10" t="s">
        <v>7</v>
      </c>
      <c r="I629" s="45">
        <v>4151</v>
      </c>
      <c r="J629" s="11">
        <v>0.124</v>
      </c>
      <c r="K629" s="45">
        <f t="shared" si="64"/>
        <v>3636.2759999999998</v>
      </c>
      <c r="L629" s="10">
        <v>3</v>
      </c>
      <c r="M629" s="10"/>
      <c r="N629" s="10" t="b">
        <v>0</v>
      </c>
      <c r="O629" s="41"/>
      <c r="P629" s="45">
        <f t="shared" si="65"/>
        <v>1527.2359199999999</v>
      </c>
      <c r="Q629" s="45">
        <f t="shared" si="66"/>
        <v>2109.0400799999998</v>
      </c>
      <c r="R629" s="45">
        <v>0</v>
      </c>
      <c r="S629" s="45">
        <f t="shared" si="67"/>
        <v>0</v>
      </c>
      <c r="T629" s="45">
        <f t="shared" si="68"/>
        <v>0</v>
      </c>
      <c r="U629" s="47">
        <f t="shared" si="69"/>
        <v>2109.0400799999998</v>
      </c>
    </row>
    <row r="630" spans="1:21" x14ac:dyDescent="0.3">
      <c r="A630" s="41" t="str">
        <f t="shared" si="63"/>
        <v>PUNIBO</v>
      </c>
      <c r="B630" s="43">
        <v>45560</v>
      </c>
      <c r="C630" s="10" t="s">
        <v>672</v>
      </c>
      <c r="D630" s="10" t="s">
        <v>10</v>
      </c>
      <c r="E630" s="10" t="s">
        <v>26</v>
      </c>
      <c r="F630" s="10" t="s">
        <v>4</v>
      </c>
      <c r="G630" s="10" t="s">
        <v>5</v>
      </c>
      <c r="H630" s="10" t="s">
        <v>28</v>
      </c>
      <c r="I630" s="45">
        <v>2190</v>
      </c>
      <c r="J630" s="11">
        <v>0</v>
      </c>
      <c r="K630" s="45">
        <f t="shared" si="64"/>
        <v>2190</v>
      </c>
      <c r="L630" s="10">
        <v>17</v>
      </c>
      <c r="M630" s="10">
        <v>1.9</v>
      </c>
      <c r="N630" s="10" t="b">
        <v>1</v>
      </c>
      <c r="O630" s="41" t="s">
        <v>50</v>
      </c>
      <c r="P630" s="45">
        <f t="shared" si="65"/>
        <v>919.8</v>
      </c>
      <c r="Q630" s="45">
        <f t="shared" si="66"/>
        <v>1270.2</v>
      </c>
      <c r="R630" s="45">
        <v>150</v>
      </c>
      <c r="S630" s="45">
        <f t="shared" si="67"/>
        <v>219</v>
      </c>
      <c r="T630" s="45">
        <f t="shared" si="68"/>
        <v>2190</v>
      </c>
      <c r="U630" s="47">
        <f t="shared" si="69"/>
        <v>-1288.8</v>
      </c>
    </row>
    <row r="631" spans="1:21" x14ac:dyDescent="0.3">
      <c r="A631" s="41" t="str">
        <f t="shared" si="63"/>
        <v>PANNBO</v>
      </c>
      <c r="B631" s="43">
        <v>45560</v>
      </c>
      <c r="C631" s="10" t="s">
        <v>673</v>
      </c>
      <c r="D631" s="10" t="s">
        <v>42</v>
      </c>
      <c r="E631" s="10" t="s">
        <v>26</v>
      </c>
      <c r="F631" s="10" t="s">
        <v>23</v>
      </c>
      <c r="G631" s="10" t="s">
        <v>7</v>
      </c>
      <c r="H631" s="10" t="s">
        <v>16</v>
      </c>
      <c r="I631" s="45">
        <v>2555</v>
      </c>
      <c r="J631" s="11">
        <v>0</v>
      </c>
      <c r="K631" s="45">
        <f t="shared" si="64"/>
        <v>2555</v>
      </c>
      <c r="L631" s="10">
        <v>14</v>
      </c>
      <c r="M631" s="10">
        <v>2.2999999999999998</v>
      </c>
      <c r="N631" s="10" t="b">
        <v>0</v>
      </c>
      <c r="O631" s="41"/>
      <c r="P631" s="45">
        <f t="shared" si="65"/>
        <v>1073.0999999999999</v>
      </c>
      <c r="Q631" s="45">
        <f t="shared" si="66"/>
        <v>1481.9</v>
      </c>
      <c r="R631" s="45">
        <v>0</v>
      </c>
      <c r="S631" s="45">
        <f t="shared" si="67"/>
        <v>0</v>
      </c>
      <c r="T631" s="45">
        <f t="shared" si="68"/>
        <v>0</v>
      </c>
      <c r="U631" s="47">
        <f t="shared" si="69"/>
        <v>1481.9</v>
      </c>
    </row>
    <row r="632" spans="1:21" x14ac:dyDescent="0.3">
      <c r="A632" s="41" t="str">
        <f t="shared" si="63"/>
        <v>PBANTO</v>
      </c>
      <c r="B632" s="43">
        <v>45560</v>
      </c>
      <c r="C632" s="10" t="s">
        <v>674</v>
      </c>
      <c r="D632" s="10" t="s">
        <v>21</v>
      </c>
      <c r="E632" s="10" t="s">
        <v>9</v>
      </c>
      <c r="F632" s="10" t="s">
        <v>11</v>
      </c>
      <c r="G632" s="10" t="s">
        <v>27</v>
      </c>
      <c r="H632" s="10" t="s">
        <v>6</v>
      </c>
      <c r="I632" s="45">
        <v>1645</v>
      </c>
      <c r="J632" s="11">
        <v>0</v>
      </c>
      <c r="K632" s="45">
        <f t="shared" si="64"/>
        <v>1645</v>
      </c>
      <c r="L632" s="10">
        <v>7</v>
      </c>
      <c r="M632" s="10">
        <v>2.5</v>
      </c>
      <c r="N632" s="10" t="b">
        <v>0</v>
      </c>
      <c r="O632" s="41"/>
      <c r="P632" s="45">
        <f t="shared" si="65"/>
        <v>690.9</v>
      </c>
      <c r="Q632" s="45">
        <f t="shared" si="66"/>
        <v>954.1</v>
      </c>
      <c r="R632" s="45">
        <v>0</v>
      </c>
      <c r="S632" s="45">
        <f t="shared" si="67"/>
        <v>0</v>
      </c>
      <c r="T632" s="45">
        <f t="shared" si="68"/>
        <v>0</v>
      </c>
      <c r="U632" s="47">
        <f t="shared" si="69"/>
        <v>954.1</v>
      </c>
    </row>
    <row r="633" spans="1:21" x14ac:dyDescent="0.3">
      <c r="A633" s="41" t="str">
        <f t="shared" si="63"/>
        <v>PH&amp;MTO</v>
      </c>
      <c r="B633" s="43">
        <v>45561</v>
      </c>
      <c r="C633" s="10" t="s">
        <v>675</v>
      </c>
      <c r="D633" s="10" t="s">
        <v>37</v>
      </c>
      <c r="E633" s="10" t="s">
        <v>9</v>
      </c>
      <c r="F633" s="10" t="s">
        <v>11</v>
      </c>
      <c r="G633" s="10" t="s">
        <v>46</v>
      </c>
      <c r="H633" s="10" t="s">
        <v>88</v>
      </c>
      <c r="I633" s="45">
        <v>1050</v>
      </c>
      <c r="J633" s="11">
        <v>2.6000000000000002E-2</v>
      </c>
      <c r="K633" s="45">
        <f t="shared" si="64"/>
        <v>1022.6999999999999</v>
      </c>
      <c r="L633" s="10">
        <v>2</v>
      </c>
      <c r="M633" s="10"/>
      <c r="N633" s="10" t="b">
        <v>1</v>
      </c>
      <c r="O633" s="41" t="s">
        <v>80</v>
      </c>
      <c r="P633" s="45">
        <f t="shared" si="65"/>
        <v>429.53399999999993</v>
      </c>
      <c r="Q633" s="45">
        <f t="shared" si="66"/>
        <v>593.16599999999994</v>
      </c>
      <c r="R633" s="45">
        <v>150</v>
      </c>
      <c r="S633" s="45">
        <f t="shared" si="67"/>
        <v>102.27</v>
      </c>
      <c r="T633" s="45">
        <f t="shared" si="68"/>
        <v>1022.6999999999999</v>
      </c>
      <c r="U633" s="47">
        <f t="shared" si="69"/>
        <v>-681.80399999999997</v>
      </c>
    </row>
    <row r="634" spans="1:21" x14ac:dyDescent="0.3">
      <c r="A634" s="41" t="str">
        <f t="shared" si="63"/>
        <v>PZARBO</v>
      </c>
      <c r="B634" s="43">
        <v>45561</v>
      </c>
      <c r="C634" s="10" t="s">
        <v>676</v>
      </c>
      <c r="D634" s="10" t="s">
        <v>3</v>
      </c>
      <c r="E634" s="10" t="s">
        <v>26</v>
      </c>
      <c r="F634" s="10" t="s">
        <v>11</v>
      </c>
      <c r="G634" s="10" t="s">
        <v>27</v>
      </c>
      <c r="H634" s="10" t="s">
        <v>88</v>
      </c>
      <c r="I634" s="45">
        <v>2064</v>
      </c>
      <c r="J634" s="11">
        <v>6.4000000000000001E-2</v>
      </c>
      <c r="K634" s="45">
        <f t="shared" si="64"/>
        <v>1931.904</v>
      </c>
      <c r="L634" s="10">
        <v>42</v>
      </c>
      <c r="M634" s="10">
        <v>2.6</v>
      </c>
      <c r="N634" s="10" t="b">
        <v>0</v>
      </c>
      <c r="O634" s="41"/>
      <c r="P634" s="45">
        <f t="shared" si="65"/>
        <v>811.39967999999999</v>
      </c>
      <c r="Q634" s="45">
        <f t="shared" si="66"/>
        <v>1120.50432</v>
      </c>
      <c r="R634" s="45">
        <v>0</v>
      </c>
      <c r="S634" s="45">
        <f t="shared" si="67"/>
        <v>0</v>
      </c>
      <c r="T634" s="45">
        <f t="shared" si="68"/>
        <v>0</v>
      </c>
      <c r="U634" s="47">
        <f t="shared" si="69"/>
        <v>1120.50432</v>
      </c>
    </row>
    <row r="635" spans="1:21" x14ac:dyDescent="0.3">
      <c r="A635" s="41" t="str">
        <f t="shared" si="63"/>
        <v>PGAPAC</v>
      </c>
      <c r="B635" s="43">
        <v>45561</v>
      </c>
      <c r="C635" s="10" t="s">
        <v>677</v>
      </c>
      <c r="D635" s="10" t="s">
        <v>53</v>
      </c>
      <c r="E635" s="10" t="s">
        <v>15</v>
      </c>
      <c r="F635" s="10" t="s">
        <v>54</v>
      </c>
      <c r="G635" s="10" t="s">
        <v>7</v>
      </c>
      <c r="H635" s="10" t="s">
        <v>13</v>
      </c>
      <c r="I635" s="45">
        <v>268</v>
      </c>
      <c r="J635" s="11">
        <v>0.183</v>
      </c>
      <c r="K635" s="45">
        <f t="shared" si="64"/>
        <v>218.95599999999999</v>
      </c>
      <c r="L635" s="10">
        <v>37</v>
      </c>
      <c r="M635" s="10"/>
      <c r="N635" s="10" t="b">
        <v>0</v>
      </c>
      <c r="O635" s="41"/>
      <c r="P635" s="45">
        <f t="shared" si="65"/>
        <v>91.961519999999993</v>
      </c>
      <c r="Q635" s="45">
        <f t="shared" si="66"/>
        <v>126.99448</v>
      </c>
      <c r="R635" s="45">
        <v>0</v>
      </c>
      <c r="S635" s="45">
        <f t="shared" si="67"/>
        <v>0</v>
      </c>
      <c r="T635" s="45">
        <f t="shared" si="68"/>
        <v>0</v>
      </c>
      <c r="U635" s="47">
        <f t="shared" si="69"/>
        <v>126.99448</v>
      </c>
    </row>
    <row r="636" spans="1:21" x14ac:dyDescent="0.3">
      <c r="A636" s="41" t="str">
        <f t="shared" si="63"/>
        <v>PANNDR</v>
      </c>
      <c r="B636" s="43">
        <v>45561</v>
      </c>
      <c r="C636" s="10" t="s">
        <v>678</v>
      </c>
      <c r="D636" s="10" t="s">
        <v>42</v>
      </c>
      <c r="E636" s="10" t="s">
        <v>30</v>
      </c>
      <c r="F636" s="10" t="s">
        <v>23</v>
      </c>
      <c r="G636" s="10" t="s">
        <v>7</v>
      </c>
      <c r="H636" s="10" t="s">
        <v>6</v>
      </c>
      <c r="I636" s="45">
        <v>2649</v>
      </c>
      <c r="J636" s="11">
        <v>0</v>
      </c>
      <c r="K636" s="45">
        <f t="shared" si="64"/>
        <v>2649</v>
      </c>
      <c r="L636" s="10">
        <v>10</v>
      </c>
      <c r="M636" s="10">
        <v>2.5</v>
      </c>
      <c r="N636" s="10" t="b">
        <v>0</v>
      </c>
      <c r="O636" s="41"/>
      <c r="P636" s="45">
        <f t="shared" si="65"/>
        <v>1112.58</v>
      </c>
      <c r="Q636" s="45">
        <f t="shared" si="66"/>
        <v>1536.42</v>
      </c>
      <c r="R636" s="45">
        <v>0</v>
      </c>
      <c r="S636" s="45">
        <f t="shared" si="67"/>
        <v>0</v>
      </c>
      <c r="T636" s="45">
        <f t="shared" si="68"/>
        <v>0</v>
      </c>
      <c r="U636" s="47">
        <f t="shared" si="69"/>
        <v>1536.42</v>
      </c>
    </row>
    <row r="637" spans="1:21" x14ac:dyDescent="0.3">
      <c r="A637" s="41" t="str">
        <f t="shared" si="63"/>
        <v>PANNOU</v>
      </c>
      <c r="B637" s="43">
        <v>45562</v>
      </c>
      <c r="C637" s="10" t="s">
        <v>679</v>
      </c>
      <c r="D637" s="10" t="s">
        <v>42</v>
      </c>
      <c r="E637" s="10" t="s">
        <v>2</v>
      </c>
      <c r="F637" s="10" t="s">
        <v>4</v>
      </c>
      <c r="G637" s="10" t="s">
        <v>46</v>
      </c>
      <c r="H637" s="10" t="s">
        <v>43</v>
      </c>
      <c r="I637" s="45">
        <v>3034</v>
      </c>
      <c r="J637" s="11">
        <v>0</v>
      </c>
      <c r="K637" s="45">
        <f t="shared" si="64"/>
        <v>3034</v>
      </c>
      <c r="L637" s="10">
        <v>38</v>
      </c>
      <c r="M637" s="10">
        <v>1</v>
      </c>
      <c r="N637" s="10" t="b">
        <v>0</v>
      </c>
      <c r="O637" s="41"/>
      <c r="P637" s="45">
        <f t="shared" si="65"/>
        <v>1274.28</v>
      </c>
      <c r="Q637" s="45">
        <f t="shared" si="66"/>
        <v>1759.72</v>
      </c>
      <c r="R637" s="45">
        <v>0</v>
      </c>
      <c r="S637" s="45">
        <f t="shared" si="67"/>
        <v>0</v>
      </c>
      <c r="T637" s="45">
        <f t="shared" si="68"/>
        <v>0</v>
      </c>
      <c r="U637" s="47">
        <f t="shared" si="69"/>
        <v>1759.72</v>
      </c>
    </row>
    <row r="638" spans="1:21" x14ac:dyDescent="0.3">
      <c r="A638" s="41" t="str">
        <f t="shared" si="63"/>
        <v>PUNITO</v>
      </c>
      <c r="B638" s="43">
        <v>45562</v>
      </c>
      <c r="C638" s="10" t="s">
        <v>680</v>
      </c>
      <c r="D638" s="10" t="s">
        <v>10</v>
      </c>
      <c r="E638" s="10" t="s">
        <v>9</v>
      </c>
      <c r="F638" s="10" t="s">
        <v>11</v>
      </c>
      <c r="G638" s="10" t="s">
        <v>5</v>
      </c>
      <c r="H638" s="10" t="s">
        <v>43</v>
      </c>
      <c r="I638" s="45">
        <v>1421</v>
      </c>
      <c r="J638" s="11">
        <v>0.113</v>
      </c>
      <c r="K638" s="45">
        <f t="shared" si="64"/>
        <v>1260.4269999999999</v>
      </c>
      <c r="L638" s="10">
        <v>27</v>
      </c>
      <c r="M638" s="10">
        <v>1.3</v>
      </c>
      <c r="N638" s="10" t="b">
        <v>1</v>
      </c>
      <c r="O638" s="41" t="s">
        <v>24</v>
      </c>
      <c r="P638" s="45">
        <f t="shared" si="65"/>
        <v>529.37933999999996</v>
      </c>
      <c r="Q638" s="45">
        <f t="shared" si="66"/>
        <v>731.04765999999995</v>
      </c>
      <c r="R638" s="45">
        <v>150</v>
      </c>
      <c r="S638" s="45">
        <f t="shared" si="67"/>
        <v>126.0427</v>
      </c>
      <c r="T638" s="45">
        <f t="shared" si="68"/>
        <v>1260.4269999999999</v>
      </c>
      <c r="U638" s="47">
        <f t="shared" si="69"/>
        <v>-805.42203999999992</v>
      </c>
    </row>
    <row r="639" spans="1:21" x14ac:dyDescent="0.3">
      <c r="A639" s="41" t="str">
        <f t="shared" si="63"/>
        <v>PZARSH</v>
      </c>
      <c r="B639" s="43">
        <v>45562</v>
      </c>
      <c r="C639" s="10" t="s">
        <v>681</v>
      </c>
      <c r="D639" s="10" t="s">
        <v>3</v>
      </c>
      <c r="E639" s="10" t="s">
        <v>18</v>
      </c>
      <c r="F639" s="10" t="s">
        <v>54</v>
      </c>
      <c r="G639" s="10" t="s">
        <v>12</v>
      </c>
      <c r="H639" s="10" t="s">
        <v>28</v>
      </c>
      <c r="I639" s="45">
        <v>3051</v>
      </c>
      <c r="J639" s="11">
        <v>0</v>
      </c>
      <c r="K639" s="45">
        <f t="shared" si="64"/>
        <v>3051</v>
      </c>
      <c r="L639" s="10">
        <v>32</v>
      </c>
      <c r="M639" s="10">
        <v>1.4</v>
      </c>
      <c r="N639" s="10" t="b">
        <v>1</v>
      </c>
      <c r="O639" s="41" t="s">
        <v>33</v>
      </c>
      <c r="P639" s="45">
        <f t="shared" si="65"/>
        <v>1281.4199999999998</v>
      </c>
      <c r="Q639" s="45">
        <f t="shared" si="66"/>
        <v>1769.5800000000002</v>
      </c>
      <c r="R639" s="45">
        <v>150</v>
      </c>
      <c r="S639" s="45">
        <f t="shared" si="67"/>
        <v>305.10000000000002</v>
      </c>
      <c r="T639" s="45">
        <f t="shared" si="68"/>
        <v>3051</v>
      </c>
      <c r="U639" s="47">
        <f t="shared" si="69"/>
        <v>-1736.52</v>
      </c>
    </row>
    <row r="640" spans="1:21" x14ac:dyDescent="0.3">
      <c r="A640" s="41" t="str">
        <f t="shared" si="63"/>
        <v>PZARBO</v>
      </c>
      <c r="B640" s="43">
        <v>45562</v>
      </c>
      <c r="C640" s="10" t="s">
        <v>682</v>
      </c>
      <c r="D640" s="10" t="s">
        <v>3</v>
      </c>
      <c r="E640" s="10" t="s">
        <v>26</v>
      </c>
      <c r="F640" s="10" t="s">
        <v>23</v>
      </c>
      <c r="G640" s="10" t="s">
        <v>12</v>
      </c>
      <c r="H640" s="10" t="s">
        <v>28</v>
      </c>
      <c r="I640" s="45">
        <v>2253</v>
      </c>
      <c r="J640" s="11">
        <v>0.106</v>
      </c>
      <c r="K640" s="45">
        <f t="shared" si="64"/>
        <v>2014.182</v>
      </c>
      <c r="L640" s="10">
        <v>50</v>
      </c>
      <c r="M640" s="10">
        <v>2.7</v>
      </c>
      <c r="N640" s="10" t="b">
        <v>1</v>
      </c>
      <c r="O640" s="41" t="s">
        <v>33</v>
      </c>
      <c r="P640" s="45">
        <f t="shared" si="65"/>
        <v>845.95643999999993</v>
      </c>
      <c r="Q640" s="45">
        <f t="shared" si="66"/>
        <v>1168.2255600000001</v>
      </c>
      <c r="R640" s="45">
        <v>150</v>
      </c>
      <c r="S640" s="45">
        <f t="shared" si="67"/>
        <v>201.41820000000001</v>
      </c>
      <c r="T640" s="45">
        <f t="shared" si="68"/>
        <v>2014.182</v>
      </c>
      <c r="U640" s="47">
        <f t="shared" si="69"/>
        <v>-1197.37464</v>
      </c>
    </row>
    <row r="641" spans="1:21" x14ac:dyDescent="0.3">
      <c r="A641" s="41" t="str">
        <f t="shared" si="63"/>
        <v>PBANBO</v>
      </c>
      <c r="B641" s="43">
        <v>45563</v>
      </c>
      <c r="C641" s="10" t="s">
        <v>683</v>
      </c>
      <c r="D641" s="10" t="s">
        <v>21</v>
      </c>
      <c r="E641" s="10" t="s">
        <v>26</v>
      </c>
      <c r="F641" s="10" t="s">
        <v>11</v>
      </c>
      <c r="G641" s="10" t="s">
        <v>46</v>
      </c>
      <c r="H641" s="10" t="s">
        <v>13</v>
      </c>
      <c r="I641" s="45">
        <v>2833</v>
      </c>
      <c r="J641" s="11">
        <v>0.18</v>
      </c>
      <c r="K641" s="45">
        <f t="shared" si="64"/>
        <v>2323.0600000000004</v>
      </c>
      <c r="L641" s="10">
        <v>21</v>
      </c>
      <c r="M641" s="10">
        <v>2.9</v>
      </c>
      <c r="N641" s="10" t="b">
        <v>1</v>
      </c>
      <c r="O641" s="41" t="s">
        <v>33</v>
      </c>
      <c r="P641" s="45">
        <f t="shared" si="65"/>
        <v>975.68520000000012</v>
      </c>
      <c r="Q641" s="45">
        <f t="shared" si="66"/>
        <v>1347.3748000000003</v>
      </c>
      <c r="R641" s="45">
        <v>150</v>
      </c>
      <c r="S641" s="45">
        <f t="shared" si="67"/>
        <v>232.30600000000004</v>
      </c>
      <c r="T641" s="45">
        <f t="shared" si="68"/>
        <v>2323.0600000000004</v>
      </c>
      <c r="U641" s="47">
        <f t="shared" si="69"/>
        <v>-1357.9912000000002</v>
      </c>
    </row>
    <row r="642" spans="1:21" x14ac:dyDescent="0.3">
      <c r="A642" s="41" t="str">
        <f t="shared" ref="A642:A705" si="70">UPPER("P"&amp;LEFT(D642,3)&amp;LEFT(E642,2))</f>
        <v>PMANDR</v>
      </c>
      <c r="B642" s="43">
        <v>45563</v>
      </c>
      <c r="C642" s="10" t="s">
        <v>684</v>
      </c>
      <c r="D642" s="10" t="s">
        <v>31</v>
      </c>
      <c r="E642" s="10" t="s">
        <v>30</v>
      </c>
      <c r="F642" s="10" t="s">
        <v>23</v>
      </c>
      <c r="G642" s="10" t="s">
        <v>12</v>
      </c>
      <c r="H642" s="10" t="s">
        <v>56</v>
      </c>
      <c r="I642" s="45">
        <v>1907</v>
      </c>
      <c r="J642" s="11">
        <v>0</v>
      </c>
      <c r="K642" s="45">
        <f t="shared" si="64"/>
        <v>1907</v>
      </c>
      <c r="L642" s="10">
        <v>14</v>
      </c>
      <c r="M642" s="10">
        <v>4.5</v>
      </c>
      <c r="N642" s="10" t="b">
        <v>0</v>
      </c>
      <c r="O642" s="41"/>
      <c r="P642" s="45">
        <f t="shared" si="65"/>
        <v>800.93999999999994</v>
      </c>
      <c r="Q642" s="45">
        <f t="shared" si="66"/>
        <v>1106.06</v>
      </c>
      <c r="R642" s="45">
        <v>0</v>
      </c>
      <c r="S642" s="45">
        <f t="shared" si="67"/>
        <v>0</v>
      </c>
      <c r="T642" s="45">
        <f t="shared" si="68"/>
        <v>0</v>
      </c>
      <c r="U642" s="47">
        <f t="shared" si="69"/>
        <v>1106.06</v>
      </c>
    </row>
    <row r="643" spans="1:21" x14ac:dyDescent="0.3">
      <c r="A643" s="41" t="str">
        <f t="shared" si="70"/>
        <v>PBANBO</v>
      </c>
      <c r="B643" s="43">
        <v>45563</v>
      </c>
      <c r="C643" s="10" t="s">
        <v>685</v>
      </c>
      <c r="D643" s="10" t="s">
        <v>21</v>
      </c>
      <c r="E643" s="10" t="s">
        <v>26</v>
      </c>
      <c r="F643" s="10" t="s">
        <v>54</v>
      </c>
      <c r="G643" s="10" t="s">
        <v>46</v>
      </c>
      <c r="H643" s="10" t="s">
        <v>47</v>
      </c>
      <c r="I643" s="45">
        <v>2114</v>
      </c>
      <c r="J643" s="11">
        <v>0.46200000000000002</v>
      </c>
      <c r="K643" s="45">
        <f t="shared" ref="K643:K706" si="71">I643*(1-J643)</f>
        <v>1137.3320000000001</v>
      </c>
      <c r="L643" s="10">
        <v>14</v>
      </c>
      <c r="M643" s="10"/>
      <c r="N643" s="10" t="b">
        <v>0</v>
      </c>
      <c r="O643" s="41"/>
      <c r="P643" s="45">
        <f t="shared" ref="P643:P706" si="72">K643*0.42</f>
        <v>477.67944</v>
      </c>
      <c r="Q643" s="45">
        <f t="shared" ref="Q643:Q706" si="73">K643-P643</f>
        <v>659.65256000000011</v>
      </c>
      <c r="R643" s="45">
        <v>0</v>
      </c>
      <c r="S643" s="45">
        <f t="shared" ref="S643:S706" si="74">IF(N643=TRUE,K643*0.1,0)</f>
        <v>0</v>
      </c>
      <c r="T643" s="45">
        <f t="shared" ref="T643:T706" si="75">IF(N643=TRUE,K643,0)</f>
        <v>0</v>
      </c>
      <c r="U643" s="47">
        <f t="shared" ref="U643:U706" si="76">Q643-R643-S643-T643</f>
        <v>659.65256000000011</v>
      </c>
    </row>
    <row r="644" spans="1:21" x14ac:dyDescent="0.3">
      <c r="A644" s="41" t="str">
        <f t="shared" si="70"/>
        <v>PMANDR</v>
      </c>
      <c r="B644" s="43">
        <v>45564</v>
      </c>
      <c r="C644" s="10" t="s">
        <v>686</v>
      </c>
      <c r="D644" s="10" t="s">
        <v>31</v>
      </c>
      <c r="E644" s="10" t="s">
        <v>30</v>
      </c>
      <c r="F644" s="10" t="s">
        <v>11</v>
      </c>
      <c r="G644" s="10" t="s">
        <v>27</v>
      </c>
      <c r="H644" s="10" t="s">
        <v>32</v>
      </c>
      <c r="I644" s="45">
        <v>2492</v>
      </c>
      <c r="J644" s="11">
        <v>0</v>
      </c>
      <c r="K644" s="45">
        <f t="shared" si="71"/>
        <v>2492</v>
      </c>
      <c r="L644" s="10">
        <v>41</v>
      </c>
      <c r="M644" s="10">
        <v>3.6</v>
      </c>
      <c r="N644" s="10" t="b">
        <v>0</v>
      </c>
      <c r="O644" s="41"/>
      <c r="P644" s="45">
        <f t="shared" si="72"/>
        <v>1046.6399999999999</v>
      </c>
      <c r="Q644" s="45">
        <f t="shared" si="73"/>
        <v>1445.3600000000001</v>
      </c>
      <c r="R644" s="45">
        <v>0</v>
      </c>
      <c r="S644" s="45">
        <f t="shared" si="74"/>
        <v>0</v>
      </c>
      <c r="T644" s="45">
        <f t="shared" si="75"/>
        <v>0</v>
      </c>
      <c r="U644" s="47">
        <f t="shared" si="76"/>
        <v>1445.3600000000001</v>
      </c>
    </row>
    <row r="645" spans="1:21" x14ac:dyDescent="0.3">
      <c r="A645" s="41" t="str">
        <f t="shared" si="70"/>
        <v>PMANOU</v>
      </c>
      <c r="B645" s="43">
        <v>45564</v>
      </c>
      <c r="C645" s="10" t="s">
        <v>687</v>
      </c>
      <c r="D645" s="10" t="s">
        <v>31</v>
      </c>
      <c r="E645" s="10" t="s">
        <v>2</v>
      </c>
      <c r="F645" s="10" t="s">
        <v>4</v>
      </c>
      <c r="G645" s="10" t="s">
        <v>27</v>
      </c>
      <c r="H645" s="10" t="s">
        <v>58</v>
      </c>
      <c r="I645" s="45">
        <v>3269</v>
      </c>
      <c r="J645" s="11">
        <v>0</v>
      </c>
      <c r="K645" s="45">
        <f t="shared" si="71"/>
        <v>3269</v>
      </c>
      <c r="L645" s="10">
        <v>43</v>
      </c>
      <c r="M645" s="10">
        <v>4.7</v>
      </c>
      <c r="N645" s="10" t="b">
        <v>0</v>
      </c>
      <c r="O645" s="41"/>
      <c r="P645" s="45">
        <f t="shared" si="72"/>
        <v>1372.98</v>
      </c>
      <c r="Q645" s="45">
        <f t="shared" si="73"/>
        <v>1896.02</v>
      </c>
      <c r="R645" s="45">
        <v>0</v>
      </c>
      <c r="S645" s="45">
        <f t="shared" si="74"/>
        <v>0</v>
      </c>
      <c r="T645" s="45">
        <f t="shared" si="75"/>
        <v>0</v>
      </c>
      <c r="U645" s="47">
        <f t="shared" si="76"/>
        <v>1896.02</v>
      </c>
    </row>
    <row r="646" spans="1:21" x14ac:dyDescent="0.3">
      <c r="A646" s="41" t="str">
        <f t="shared" si="70"/>
        <v>PGAPOU</v>
      </c>
      <c r="B646" s="43">
        <v>45564</v>
      </c>
      <c r="C646" s="10" t="s">
        <v>688</v>
      </c>
      <c r="D646" s="10" t="s">
        <v>53</v>
      </c>
      <c r="E646" s="10" t="s">
        <v>2</v>
      </c>
      <c r="F646" s="10" t="s">
        <v>11</v>
      </c>
      <c r="G646" s="10" t="s">
        <v>5</v>
      </c>
      <c r="H646" s="10" t="s">
        <v>47</v>
      </c>
      <c r="I646" s="45">
        <v>4212</v>
      </c>
      <c r="J646" s="11">
        <v>0.40399999999999997</v>
      </c>
      <c r="K646" s="45">
        <f t="shared" si="71"/>
        <v>2510.3520000000003</v>
      </c>
      <c r="L646" s="10">
        <v>21</v>
      </c>
      <c r="M646" s="10">
        <v>2.9</v>
      </c>
      <c r="N646" s="10" t="b">
        <v>0</v>
      </c>
      <c r="O646" s="41"/>
      <c r="P646" s="45">
        <f t="shared" si="72"/>
        <v>1054.3478400000001</v>
      </c>
      <c r="Q646" s="45">
        <f t="shared" si="73"/>
        <v>1456.0041600000002</v>
      </c>
      <c r="R646" s="45">
        <v>0</v>
      </c>
      <c r="S646" s="45">
        <f t="shared" si="74"/>
        <v>0</v>
      </c>
      <c r="T646" s="45">
        <f t="shared" si="75"/>
        <v>0</v>
      </c>
      <c r="U646" s="47">
        <f t="shared" si="76"/>
        <v>1456.0041600000002</v>
      </c>
    </row>
    <row r="647" spans="1:21" x14ac:dyDescent="0.3">
      <c r="A647" s="41" t="str">
        <f t="shared" si="70"/>
        <v>PH&amp;MDR</v>
      </c>
      <c r="B647" s="43">
        <v>45564</v>
      </c>
      <c r="C647" s="10" t="s">
        <v>689</v>
      </c>
      <c r="D647" s="10" t="s">
        <v>37</v>
      </c>
      <c r="E647" s="10" t="s">
        <v>30</v>
      </c>
      <c r="F647" s="10" t="s">
        <v>11</v>
      </c>
      <c r="G647" s="10" t="s">
        <v>49</v>
      </c>
      <c r="H647" s="10" t="s">
        <v>16</v>
      </c>
      <c r="I647" s="45">
        <v>2158</v>
      </c>
      <c r="J647" s="11">
        <v>0</v>
      </c>
      <c r="K647" s="45">
        <f t="shared" si="71"/>
        <v>2158</v>
      </c>
      <c r="L647" s="10">
        <v>45</v>
      </c>
      <c r="M647" s="10">
        <v>2.4</v>
      </c>
      <c r="N647" s="10" t="b">
        <v>1</v>
      </c>
      <c r="O647" s="41" t="s">
        <v>33</v>
      </c>
      <c r="P647" s="45">
        <f t="shared" si="72"/>
        <v>906.36</v>
      </c>
      <c r="Q647" s="45">
        <f t="shared" si="73"/>
        <v>1251.6399999999999</v>
      </c>
      <c r="R647" s="45">
        <v>150</v>
      </c>
      <c r="S647" s="45">
        <f t="shared" si="74"/>
        <v>215.8</v>
      </c>
      <c r="T647" s="45">
        <f t="shared" si="75"/>
        <v>2158</v>
      </c>
      <c r="U647" s="47">
        <f t="shared" si="76"/>
        <v>-1272.1600000000001</v>
      </c>
    </row>
    <row r="648" spans="1:21" x14ac:dyDescent="0.3">
      <c r="A648" s="41" t="str">
        <f t="shared" si="70"/>
        <v>PH&amp;MDR</v>
      </c>
      <c r="B648" s="43">
        <v>45564</v>
      </c>
      <c r="C648" s="10" t="s">
        <v>690</v>
      </c>
      <c r="D648" s="10" t="s">
        <v>37</v>
      </c>
      <c r="E648" s="10" t="s">
        <v>30</v>
      </c>
      <c r="F648" s="10" t="s">
        <v>54</v>
      </c>
      <c r="G648" s="10" t="s">
        <v>12</v>
      </c>
      <c r="H648" s="10" t="s">
        <v>43</v>
      </c>
      <c r="I648" s="45">
        <v>2691</v>
      </c>
      <c r="J648" s="11">
        <v>0.53</v>
      </c>
      <c r="K648" s="45">
        <f t="shared" si="71"/>
        <v>1264.77</v>
      </c>
      <c r="L648" s="10">
        <v>38</v>
      </c>
      <c r="M648" s="10">
        <v>2.5</v>
      </c>
      <c r="N648" s="10" t="b">
        <v>1</v>
      </c>
      <c r="O648" s="41" t="s">
        <v>19</v>
      </c>
      <c r="P648" s="45">
        <f t="shared" si="72"/>
        <v>531.20339999999999</v>
      </c>
      <c r="Q648" s="45">
        <f t="shared" si="73"/>
        <v>733.56659999999999</v>
      </c>
      <c r="R648" s="45">
        <v>150</v>
      </c>
      <c r="S648" s="45">
        <f t="shared" si="74"/>
        <v>126.477</v>
      </c>
      <c r="T648" s="45">
        <f t="shared" si="75"/>
        <v>1264.77</v>
      </c>
      <c r="U648" s="47">
        <f t="shared" si="76"/>
        <v>-807.68039999999996</v>
      </c>
    </row>
    <row r="649" spans="1:21" x14ac:dyDescent="0.3">
      <c r="A649" s="41" t="str">
        <f t="shared" si="70"/>
        <v>PANNOU</v>
      </c>
      <c r="B649" s="43">
        <v>45565</v>
      </c>
      <c r="C649" s="10" t="s">
        <v>691</v>
      </c>
      <c r="D649" s="10" t="s">
        <v>42</v>
      </c>
      <c r="E649" s="10" t="s">
        <v>2</v>
      </c>
      <c r="F649" s="10" t="s">
        <v>4</v>
      </c>
      <c r="G649" s="10" t="s">
        <v>27</v>
      </c>
      <c r="H649" s="10" t="s">
        <v>58</v>
      </c>
      <c r="I649" s="45">
        <v>4146</v>
      </c>
      <c r="J649" s="11">
        <v>0</v>
      </c>
      <c r="K649" s="45">
        <f t="shared" si="71"/>
        <v>4146</v>
      </c>
      <c r="L649" s="10">
        <v>22</v>
      </c>
      <c r="M649" s="10">
        <v>1.5</v>
      </c>
      <c r="N649" s="10" t="b">
        <v>1</v>
      </c>
      <c r="O649" s="41" t="s">
        <v>33</v>
      </c>
      <c r="P649" s="45">
        <f t="shared" si="72"/>
        <v>1741.32</v>
      </c>
      <c r="Q649" s="45">
        <f t="shared" si="73"/>
        <v>2404.6800000000003</v>
      </c>
      <c r="R649" s="45">
        <v>150</v>
      </c>
      <c r="S649" s="45">
        <f t="shared" si="74"/>
        <v>414.6</v>
      </c>
      <c r="T649" s="45">
        <f t="shared" si="75"/>
        <v>4146</v>
      </c>
      <c r="U649" s="47">
        <f t="shared" si="76"/>
        <v>-2305.9199999999996</v>
      </c>
    </row>
    <row r="650" spans="1:21" x14ac:dyDescent="0.3">
      <c r="A650" s="41" t="str">
        <f t="shared" si="70"/>
        <v>PBANBO</v>
      </c>
      <c r="B650" s="43">
        <v>45565</v>
      </c>
      <c r="C650" s="10" t="s">
        <v>692</v>
      </c>
      <c r="D650" s="10" t="s">
        <v>21</v>
      </c>
      <c r="E650" s="10" t="s">
        <v>26</v>
      </c>
      <c r="F650" s="10" t="s">
        <v>54</v>
      </c>
      <c r="G650" s="10" t="s">
        <v>46</v>
      </c>
      <c r="H650" s="10" t="s">
        <v>43</v>
      </c>
      <c r="I650" s="45">
        <v>2222</v>
      </c>
      <c r="J650" s="11">
        <v>0</v>
      </c>
      <c r="K650" s="45">
        <f t="shared" si="71"/>
        <v>2222</v>
      </c>
      <c r="L650" s="10">
        <v>19</v>
      </c>
      <c r="M650" s="10"/>
      <c r="N650" s="10" t="b">
        <v>0</v>
      </c>
      <c r="O650" s="41"/>
      <c r="P650" s="45">
        <f t="shared" si="72"/>
        <v>933.24</v>
      </c>
      <c r="Q650" s="45">
        <f t="shared" si="73"/>
        <v>1288.76</v>
      </c>
      <c r="R650" s="45">
        <v>0</v>
      </c>
      <c r="S650" s="45">
        <f t="shared" si="74"/>
        <v>0</v>
      </c>
      <c r="T650" s="45">
        <f t="shared" si="75"/>
        <v>0</v>
      </c>
      <c r="U650" s="47">
        <f t="shared" si="76"/>
        <v>1288.76</v>
      </c>
    </row>
    <row r="651" spans="1:21" x14ac:dyDescent="0.3">
      <c r="A651" s="41" t="str">
        <f t="shared" si="70"/>
        <v>PZARTO</v>
      </c>
      <c r="B651" s="43">
        <v>45565</v>
      </c>
      <c r="C651" s="10" t="s">
        <v>693</v>
      </c>
      <c r="D651" s="10" t="s">
        <v>3</v>
      </c>
      <c r="E651" s="10" t="s">
        <v>9</v>
      </c>
      <c r="F651" s="10" t="s">
        <v>4</v>
      </c>
      <c r="G651" s="10" t="s">
        <v>27</v>
      </c>
      <c r="H651" s="10" t="s">
        <v>58</v>
      </c>
      <c r="I651" s="45">
        <v>1458</v>
      </c>
      <c r="J651" s="11">
        <v>0</v>
      </c>
      <c r="K651" s="45">
        <f t="shared" si="71"/>
        <v>1458</v>
      </c>
      <c r="L651" s="10">
        <v>29</v>
      </c>
      <c r="M651" s="10">
        <v>4.0999999999999996</v>
      </c>
      <c r="N651" s="10" t="b">
        <v>0</v>
      </c>
      <c r="O651" s="41"/>
      <c r="P651" s="45">
        <f t="shared" si="72"/>
        <v>612.36</v>
      </c>
      <c r="Q651" s="45">
        <f t="shared" si="73"/>
        <v>845.64</v>
      </c>
      <c r="R651" s="45">
        <v>0</v>
      </c>
      <c r="S651" s="45">
        <f t="shared" si="74"/>
        <v>0</v>
      </c>
      <c r="T651" s="45">
        <f t="shared" si="75"/>
        <v>0</v>
      </c>
      <c r="U651" s="47">
        <f t="shared" si="76"/>
        <v>845.64</v>
      </c>
    </row>
    <row r="652" spans="1:21" x14ac:dyDescent="0.3">
      <c r="A652" s="41" t="str">
        <f t="shared" si="70"/>
        <v>PMANOU</v>
      </c>
      <c r="B652" s="43">
        <v>45566</v>
      </c>
      <c r="C652" s="10" t="s">
        <v>694</v>
      </c>
      <c r="D652" s="10" t="s">
        <v>31</v>
      </c>
      <c r="E652" s="10" t="s">
        <v>2</v>
      </c>
      <c r="F652" s="10" t="s">
        <v>23</v>
      </c>
      <c r="G652" s="10" t="s">
        <v>27</v>
      </c>
      <c r="H652" s="10" t="s">
        <v>35</v>
      </c>
      <c r="I652" s="45">
        <v>4440</v>
      </c>
      <c r="J652" s="11">
        <v>0</v>
      </c>
      <c r="K652" s="45">
        <f t="shared" si="71"/>
        <v>4440</v>
      </c>
      <c r="L652" s="10">
        <v>45</v>
      </c>
      <c r="M652" s="10">
        <v>1.8</v>
      </c>
      <c r="N652" s="10" t="b">
        <v>1</v>
      </c>
      <c r="O652" s="41" t="s">
        <v>50</v>
      </c>
      <c r="P652" s="45">
        <f t="shared" si="72"/>
        <v>1864.8</v>
      </c>
      <c r="Q652" s="45">
        <f t="shared" si="73"/>
        <v>2575.1999999999998</v>
      </c>
      <c r="R652" s="45">
        <v>150</v>
      </c>
      <c r="S652" s="45">
        <f t="shared" si="74"/>
        <v>444</v>
      </c>
      <c r="T652" s="45">
        <f t="shared" si="75"/>
        <v>4440</v>
      </c>
      <c r="U652" s="47">
        <f t="shared" si="76"/>
        <v>-2458.8000000000002</v>
      </c>
    </row>
    <row r="653" spans="1:21" x14ac:dyDescent="0.3">
      <c r="A653" s="41" t="str">
        <f t="shared" si="70"/>
        <v>PANNSH</v>
      </c>
      <c r="B653" s="43">
        <v>45566</v>
      </c>
      <c r="C653" s="10" t="s">
        <v>695</v>
      </c>
      <c r="D653" s="10" t="s">
        <v>42</v>
      </c>
      <c r="E653" s="10" t="s">
        <v>18</v>
      </c>
      <c r="F653" s="10" t="s">
        <v>11</v>
      </c>
      <c r="G653" s="10" t="s">
        <v>49</v>
      </c>
      <c r="H653" s="10" t="s">
        <v>16</v>
      </c>
      <c r="I653" s="45">
        <v>3980</v>
      </c>
      <c r="J653" s="11">
        <v>0</v>
      </c>
      <c r="K653" s="45">
        <f t="shared" si="71"/>
        <v>3980</v>
      </c>
      <c r="L653" s="10">
        <v>43</v>
      </c>
      <c r="M653" s="10">
        <v>4.3</v>
      </c>
      <c r="N653" s="10" t="b">
        <v>0</v>
      </c>
      <c r="O653" s="41"/>
      <c r="P653" s="45">
        <f t="shared" si="72"/>
        <v>1671.6</v>
      </c>
      <c r="Q653" s="45">
        <f t="shared" si="73"/>
        <v>2308.4</v>
      </c>
      <c r="R653" s="45">
        <v>0</v>
      </c>
      <c r="S653" s="45">
        <f t="shared" si="74"/>
        <v>0</v>
      </c>
      <c r="T653" s="45">
        <f t="shared" si="75"/>
        <v>0</v>
      </c>
      <c r="U653" s="47">
        <f t="shared" si="76"/>
        <v>2308.4</v>
      </c>
    </row>
    <row r="654" spans="1:21" x14ac:dyDescent="0.3">
      <c r="A654" s="41" t="str">
        <f t="shared" si="70"/>
        <v>PGAPAC</v>
      </c>
      <c r="B654" s="43">
        <v>45566</v>
      </c>
      <c r="C654" s="10" t="s">
        <v>696</v>
      </c>
      <c r="D654" s="10" t="s">
        <v>53</v>
      </c>
      <c r="E654" s="10" t="s">
        <v>15</v>
      </c>
      <c r="F654" s="10" t="s">
        <v>23</v>
      </c>
      <c r="G654" s="10" t="s">
        <v>7</v>
      </c>
      <c r="H654" s="10" t="s">
        <v>6</v>
      </c>
      <c r="I654" s="45">
        <v>230</v>
      </c>
      <c r="J654" s="11">
        <v>0.184</v>
      </c>
      <c r="K654" s="45">
        <f t="shared" si="71"/>
        <v>187.68</v>
      </c>
      <c r="L654" s="10">
        <v>50</v>
      </c>
      <c r="M654" s="10">
        <v>1.9</v>
      </c>
      <c r="N654" s="10" t="b">
        <v>0</v>
      </c>
      <c r="O654" s="41"/>
      <c r="P654" s="45">
        <f t="shared" si="72"/>
        <v>78.825599999999994</v>
      </c>
      <c r="Q654" s="45">
        <f t="shared" si="73"/>
        <v>108.85440000000001</v>
      </c>
      <c r="R654" s="45">
        <v>0</v>
      </c>
      <c r="S654" s="45">
        <f t="shared" si="74"/>
        <v>0</v>
      </c>
      <c r="T654" s="45">
        <f t="shared" si="75"/>
        <v>0</v>
      </c>
      <c r="U654" s="47">
        <f t="shared" si="76"/>
        <v>108.85440000000001</v>
      </c>
    </row>
    <row r="655" spans="1:21" x14ac:dyDescent="0.3">
      <c r="A655" s="41" t="str">
        <f t="shared" si="70"/>
        <v>PZARSH</v>
      </c>
      <c r="B655" s="43">
        <v>45566</v>
      </c>
      <c r="C655" s="10" t="s">
        <v>697</v>
      </c>
      <c r="D655" s="10" t="s">
        <v>3</v>
      </c>
      <c r="E655" s="10" t="s">
        <v>18</v>
      </c>
      <c r="F655" s="10" t="s">
        <v>54</v>
      </c>
      <c r="G655" s="10" t="s">
        <v>46</v>
      </c>
      <c r="H655" s="10" t="s">
        <v>6</v>
      </c>
      <c r="I655" s="45">
        <v>3788</v>
      </c>
      <c r="J655" s="11">
        <v>0</v>
      </c>
      <c r="K655" s="45">
        <f t="shared" si="71"/>
        <v>3788</v>
      </c>
      <c r="L655" s="10">
        <v>14</v>
      </c>
      <c r="M655" s="10">
        <v>2</v>
      </c>
      <c r="N655" s="10" t="b">
        <v>1</v>
      </c>
      <c r="O655" s="41" t="s">
        <v>33</v>
      </c>
      <c r="P655" s="45">
        <f t="shared" si="72"/>
        <v>1590.96</v>
      </c>
      <c r="Q655" s="45">
        <f t="shared" si="73"/>
        <v>2197.04</v>
      </c>
      <c r="R655" s="45">
        <v>150</v>
      </c>
      <c r="S655" s="45">
        <f t="shared" si="74"/>
        <v>378.8</v>
      </c>
      <c r="T655" s="45">
        <f t="shared" si="75"/>
        <v>3788</v>
      </c>
      <c r="U655" s="47">
        <f t="shared" si="76"/>
        <v>-2119.7600000000002</v>
      </c>
    </row>
    <row r="656" spans="1:21" x14ac:dyDescent="0.3">
      <c r="A656" s="41" t="str">
        <f t="shared" si="70"/>
        <v>PMANBO</v>
      </c>
      <c r="B656" s="43">
        <v>45567</v>
      </c>
      <c r="C656" s="10" t="s">
        <v>698</v>
      </c>
      <c r="D656" s="10" t="s">
        <v>31</v>
      </c>
      <c r="E656" s="10" t="s">
        <v>26</v>
      </c>
      <c r="F656" s="10" t="s">
        <v>54</v>
      </c>
      <c r="G656" s="10" t="s">
        <v>38</v>
      </c>
      <c r="H656" s="10" t="s">
        <v>88</v>
      </c>
      <c r="I656" s="45">
        <v>2693</v>
      </c>
      <c r="J656" s="11">
        <v>0</v>
      </c>
      <c r="K656" s="45">
        <f t="shared" si="71"/>
        <v>2693</v>
      </c>
      <c r="L656" s="10">
        <v>9</v>
      </c>
      <c r="M656" s="10">
        <v>3.2</v>
      </c>
      <c r="N656" s="10" t="b">
        <v>1</v>
      </c>
      <c r="O656" s="41" t="s">
        <v>44</v>
      </c>
      <c r="P656" s="45">
        <f t="shared" si="72"/>
        <v>1131.06</v>
      </c>
      <c r="Q656" s="45">
        <f t="shared" si="73"/>
        <v>1561.94</v>
      </c>
      <c r="R656" s="45">
        <v>150</v>
      </c>
      <c r="S656" s="45">
        <f t="shared" si="74"/>
        <v>269.3</v>
      </c>
      <c r="T656" s="45">
        <f t="shared" si="75"/>
        <v>2693</v>
      </c>
      <c r="U656" s="47">
        <f t="shared" si="76"/>
        <v>-1550.36</v>
      </c>
    </row>
    <row r="657" spans="1:21" x14ac:dyDescent="0.3">
      <c r="A657" s="41" t="str">
        <f t="shared" si="70"/>
        <v>PANNAC</v>
      </c>
      <c r="B657" s="43">
        <v>45567</v>
      </c>
      <c r="C657" s="10" t="s">
        <v>699</v>
      </c>
      <c r="D657" s="10" t="s">
        <v>42</v>
      </c>
      <c r="E657" s="10" t="s">
        <v>15</v>
      </c>
      <c r="F657" s="10" t="s">
        <v>4</v>
      </c>
      <c r="G657" s="10" t="s">
        <v>7</v>
      </c>
      <c r="H657" s="10" t="s">
        <v>16</v>
      </c>
      <c r="I657" s="45">
        <v>400</v>
      </c>
      <c r="J657" s="11">
        <v>0</v>
      </c>
      <c r="K657" s="45">
        <f t="shared" si="71"/>
        <v>400</v>
      </c>
      <c r="L657" s="10">
        <v>49</v>
      </c>
      <c r="M657" s="10">
        <v>3.3</v>
      </c>
      <c r="N657" s="10" t="b">
        <v>0</v>
      </c>
      <c r="O657" s="41"/>
      <c r="P657" s="45">
        <f t="shared" si="72"/>
        <v>168</v>
      </c>
      <c r="Q657" s="45">
        <f t="shared" si="73"/>
        <v>232</v>
      </c>
      <c r="R657" s="45">
        <v>0</v>
      </c>
      <c r="S657" s="45">
        <f t="shared" si="74"/>
        <v>0</v>
      </c>
      <c r="T657" s="45">
        <f t="shared" si="75"/>
        <v>0</v>
      </c>
      <c r="U657" s="47">
        <f t="shared" si="76"/>
        <v>232</v>
      </c>
    </row>
    <row r="658" spans="1:21" x14ac:dyDescent="0.3">
      <c r="A658" s="41" t="str">
        <f t="shared" si="70"/>
        <v>PMANDR</v>
      </c>
      <c r="B658" s="43">
        <v>45567</v>
      </c>
      <c r="C658" s="10" t="s">
        <v>700</v>
      </c>
      <c r="D658" s="10" t="s">
        <v>31</v>
      </c>
      <c r="E658" s="10" t="s">
        <v>30</v>
      </c>
      <c r="F658" s="10" t="s">
        <v>54</v>
      </c>
      <c r="G658" s="10" t="s">
        <v>12</v>
      </c>
      <c r="H658" s="10" t="s">
        <v>16</v>
      </c>
      <c r="I658" s="45">
        <v>2779</v>
      </c>
      <c r="J658" s="11">
        <v>0.45200000000000001</v>
      </c>
      <c r="K658" s="45">
        <f t="shared" si="71"/>
        <v>1522.8920000000001</v>
      </c>
      <c r="L658" s="10">
        <v>14</v>
      </c>
      <c r="M658" s="10">
        <v>2.6</v>
      </c>
      <c r="N658" s="10" t="b">
        <v>0</v>
      </c>
      <c r="O658" s="41"/>
      <c r="P658" s="45">
        <f t="shared" si="72"/>
        <v>639.61464000000001</v>
      </c>
      <c r="Q658" s="45">
        <f t="shared" si="73"/>
        <v>883.27736000000004</v>
      </c>
      <c r="R658" s="45">
        <v>0</v>
      </c>
      <c r="S658" s="45">
        <f t="shared" si="74"/>
        <v>0</v>
      </c>
      <c r="T658" s="45">
        <f t="shared" si="75"/>
        <v>0</v>
      </c>
      <c r="U658" s="47">
        <f t="shared" si="76"/>
        <v>883.27736000000004</v>
      </c>
    </row>
    <row r="659" spans="1:21" x14ac:dyDescent="0.3">
      <c r="A659" s="41" t="str">
        <f t="shared" si="70"/>
        <v>PUNIBO</v>
      </c>
      <c r="B659" s="43">
        <v>45568</v>
      </c>
      <c r="C659" s="10" t="s">
        <v>701</v>
      </c>
      <c r="D659" s="10" t="s">
        <v>10</v>
      </c>
      <c r="E659" s="10" t="s">
        <v>26</v>
      </c>
      <c r="F659" s="10" t="s">
        <v>54</v>
      </c>
      <c r="G659" s="10" t="s">
        <v>27</v>
      </c>
      <c r="H659" s="10" t="s">
        <v>6</v>
      </c>
      <c r="I659" s="45">
        <v>2376</v>
      </c>
      <c r="J659" s="11">
        <v>0</v>
      </c>
      <c r="K659" s="45">
        <f t="shared" si="71"/>
        <v>2376</v>
      </c>
      <c r="L659" s="10">
        <v>26</v>
      </c>
      <c r="M659" s="10"/>
      <c r="N659" s="10" t="b">
        <v>0</v>
      </c>
      <c r="O659" s="41"/>
      <c r="P659" s="45">
        <f t="shared" si="72"/>
        <v>997.92</v>
      </c>
      <c r="Q659" s="45">
        <f t="shared" si="73"/>
        <v>1378.08</v>
      </c>
      <c r="R659" s="45">
        <v>0</v>
      </c>
      <c r="S659" s="45">
        <f t="shared" si="74"/>
        <v>0</v>
      </c>
      <c r="T659" s="45">
        <f t="shared" si="75"/>
        <v>0</v>
      </c>
      <c r="U659" s="47">
        <f t="shared" si="76"/>
        <v>1378.08</v>
      </c>
    </row>
    <row r="660" spans="1:21" x14ac:dyDescent="0.3">
      <c r="A660" s="41" t="str">
        <f t="shared" si="70"/>
        <v>PBANAC</v>
      </c>
      <c r="B660" s="43">
        <v>45568</v>
      </c>
      <c r="C660" s="10" t="s">
        <v>702</v>
      </c>
      <c r="D660" s="10" t="s">
        <v>21</v>
      </c>
      <c r="E660" s="10" t="s">
        <v>15</v>
      </c>
      <c r="F660" s="10" t="s">
        <v>4</v>
      </c>
      <c r="G660" s="10" t="s">
        <v>7</v>
      </c>
      <c r="H660" s="10" t="s">
        <v>7</v>
      </c>
      <c r="I660" s="45">
        <v>189</v>
      </c>
      <c r="J660" s="11">
        <v>0</v>
      </c>
      <c r="K660" s="45">
        <f t="shared" si="71"/>
        <v>189</v>
      </c>
      <c r="L660" s="10">
        <v>12</v>
      </c>
      <c r="M660" s="10">
        <v>4.7</v>
      </c>
      <c r="N660" s="10" t="b">
        <v>0</v>
      </c>
      <c r="O660" s="41"/>
      <c r="P660" s="45">
        <f t="shared" si="72"/>
        <v>79.38</v>
      </c>
      <c r="Q660" s="45">
        <f t="shared" si="73"/>
        <v>109.62</v>
      </c>
      <c r="R660" s="45">
        <v>0</v>
      </c>
      <c r="S660" s="45">
        <f t="shared" si="74"/>
        <v>0</v>
      </c>
      <c r="T660" s="45">
        <f t="shared" si="75"/>
        <v>0</v>
      </c>
      <c r="U660" s="47">
        <f t="shared" si="76"/>
        <v>109.62</v>
      </c>
    </row>
    <row r="661" spans="1:21" x14ac:dyDescent="0.3">
      <c r="A661" s="41" t="str">
        <f t="shared" si="70"/>
        <v>PGAPSH</v>
      </c>
      <c r="B661" s="43">
        <v>45568</v>
      </c>
      <c r="C661" s="10" t="s">
        <v>703</v>
      </c>
      <c r="D661" s="10" t="s">
        <v>53</v>
      </c>
      <c r="E661" s="10" t="s">
        <v>18</v>
      </c>
      <c r="F661" s="10" t="s">
        <v>54</v>
      </c>
      <c r="G661" s="10" t="s">
        <v>49</v>
      </c>
      <c r="H661" s="10" t="s">
        <v>56</v>
      </c>
      <c r="I661" s="45">
        <v>4492</v>
      </c>
      <c r="J661" s="11">
        <v>0</v>
      </c>
      <c r="K661" s="45">
        <f t="shared" si="71"/>
        <v>4492</v>
      </c>
      <c r="L661" s="10">
        <v>16</v>
      </c>
      <c r="M661" s="10"/>
      <c r="N661" s="10" t="b">
        <v>0</v>
      </c>
      <c r="O661" s="41"/>
      <c r="P661" s="45">
        <f t="shared" si="72"/>
        <v>1886.6399999999999</v>
      </c>
      <c r="Q661" s="45">
        <f t="shared" si="73"/>
        <v>2605.36</v>
      </c>
      <c r="R661" s="45">
        <v>0</v>
      </c>
      <c r="S661" s="45">
        <f t="shared" si="74"/>
        <v>0</v>
      </c>
      <c r="T661" s="45">
        <f t="shared" si="75"/>
        <v>0</v>
      </c>
      <c r="U661" s="47">
        <f t="shared" si="76"/>
        <v>2605.36</v>
      </c>
    </row>
    <row r="662" spans="1:21" x14ac:dyDescent="0.3">
      <c r="A662" s="41" t="str">
        <f t="shared" si="70"/>
        <v>PANNAC</v>
      </c>
      <c r="B662" s="43">
        <v>45568</v>
      </c>
      <c r="C662" s="10" t="s">
        <v>704</v>
      </c>
      <c r="D662" s="10" t="s">
        <v>42</v>
      </c>
      <c r="E662" s="10" t="s">
        <v>15</v>
      </c>
      <c r="F662" s="10" t="s">
        <v>11</v>
      </c>
      <c r="G662" s="10" t="s">
        <v>7</v>
      </c>
      <c r="H662" s="10" t="s">
        <v>56</v>
      </c>
      <c r="I662" s="45">
        <v>157</v>
      </c>
      <c r="J662" s="11">
        <v>0.44799999999999995</v>
      </c>
      <c r="K662" s="45">
        <f t="shared" si="71"/>
        <v>86.664000000000001</v>
      </c>
      <c r="L662" s="10">
        <v>21</v>
      </c>
      <c r="M662" s="10">
        <v>2</v>
      </c>
      <c r="N662" s="10" t="b">
        <v>0</v>
      </c>
      <c r="O662" s="41"/>
      <c r="P662" s="45">
        <f t="shared" si="72"/>
        <v>36.398879999999998</v>
      </c>
      <c r="Q662" s="45">
        <f t="shared" si="73"/>
        <v>50.265120000000003</v>
      </c>
      <c r="R662" s="45">
        <v>0</v>
      </c>
      <c r="S662" s="45">
        <f t="shared" si="74"/>
        <v>0</v>
      </c>
      <c r="T662" s="45">
        <f t="shared" si="75"/>
        <v>0</v>
      </c>
      <c r="U662" s="47">
        <f t="shared" si="76"/>
        <v>50.265120000000003</v>
      </c>
    </row>
    <row r="663" spans="1:21" x14ac:dyDescent="0.3">
      <c r="A663" s="41" t="str">
        <f t="shared" si="70"/>
        <v>PANNTO</v>
      </c>
      <c r="B663" s="43">
        <v>45569</v>
      </c>
      <c r="C663" s="10" t="s">
        <v>705</v>
      </c>
      <c r="D663" s="10" t="s">
        <v>42</v>
      </c>
      <c r="E663" s="10" t="s">
        <v>9</v>
      </c>
      <c r="F663" s="10" t="s">
        <v>4</v>
      </c>
      <c r="G663" s="10" t="s">
        <v>46</v>
      </c>
      <c r="H663" s="10" t="s">
        <v>47</v>
      </c>
      <c r="I663" s="45">
        <v>1109</v>
      </c>
      <c r="J663" s="11">
        <v>2.1000000000000001E-2</v>
      </c>
      <c r="K663" s="45">
        <f t="shared" si="71"/>
        <v>1085.711</v>
      </c>
      <c r="L663" s="10">
        <v>24</v>
      </c>
      <c r="M663" s="10">
        <v>3.9</v>
      </c>
      <c r="N663" s="10" t="b">
        <v>0</v>
      </c>
      <c r="O663" s="41"/>
      <c r="P663" s="45">
        <f t="shared" si="72"/>
        <v>455.99862000000002</v>
      </c>
      <c r="Q663" s="45">
        <f t="shared" si="73"/>
        <v>629.71237999999994</v>
      </c>
      <c r="R663" s="45">
        <v>0</v>
      </c>
      <c r="S663" s="45">
        <f t="shared" si="74"/>
        <v>0</v>
      </c>
      <c r="T663" s="45">
        <f t="shared" si="75"/>
        <v>0</v>
      </c>
      <c r="U663" s="47">
        <f t="shared" si="76"/>
        <v>629.71237999999994</v>
      </c>
    </row>
    <row r="664" spans="1:21" x14ac:dyDescent="0.3">
      <c r="A664" s="41" t="str">
        <f t="shared" si="70"/>
        <v>PFORAC</v>
      </c>
      <c r="B664" s="43">
        <v>45569</v>
      </c>
      <c r="C664" s="10" t="s">
        <v>706</v>
      </c>
      <c r="D664" s="10" t="s">
        <v>65</v>
      </c>
      <c r="E664" s="10" t="s">
        <v>15</v>
      </c>
      <c r="F664" s="10" t="s">
        <v>23</v>
      </c>
      <c r="G664" s="10" t="s">
        <v>7</v>
      </c>
      <c r="H664" s="10" t="s">
        <v>35</v>
      </c>
      <c r="I664" s="45">
        <v>442</v>
      </c>
      <c r="J664" s="11">
        <v>0</v>
      </c>
      <c r="K664" s="45">
        <f t="shared" si="71"/>
        <v>442</v>
      </c>
      <c r="L664" s="10">
        <v>46</v>
      </c>
      <c r="M664" s="10">
        <v>2</v>
      </c>
      <c r="N664" s="10" t="b">
        <v>0</v>
      </c>
      <c r="O664" s="41"/>
      <c r="P664" s="45">
        <f t="shared" si="72"/>
        <v>185.64</v>
      </c>
      <c r="Q664" s="45">
        <f t="shared" si="73"/>
        <v>256.36</v>
      </c>
      <c r="R664" s="45">
        <v>0</v>
      </c>
      <c r="S664" s="45">
        <f t="shared" si="74"/>
        <v>0</v>
      </c>
      <c r="T664" s="45">
        <f t="shared" si="75"/>
        <v>0</v>
      </c>
      <c r="U664" s="47">
        <f t="shared" si="76"/>
        <v>256.36</v>
      </c>
    </row>
    <row r="665" spans="1:21" x14ac:dyDescent="0.3">
      <c r="A665" s="41" t="str">
        <f t="shared" si="70"/>
        <v>PH&amp;MBO</v>
      </c>
      <c r="B665" s="43">
        <v>45569</v>
      </c>
      <c r="C665" s="10" t="s">
        <v>707</v>
      </c>
      <c r="D665" s="10" t="s">
        <v>37</v>
      </c>
      <c r="E665" s="10" t="s">
        <v>26</v>
      </c>
      <c r="F665" s="10" t="s">
        <v>54</v>
      </c>
      <c r="G665" s="10" t="s">
        <v>38</v>
      </c>
      <c r="H665" s="10" t="s">
        <v>6</v>
      </c>
      <c r="I665" s="45">
        <v>2353</v>
      </c>
      <c r="J665" s="11">
        <v>0.36499999999999999</v>
      </c>
      <c r="K665" s="45">
        <f t="shared" si="71"/>
        <v>1494.155</v>
      </c>
      <c r="L665" s="10">
        <v>41</v>
      </c>
      <c r="M665" s="10">
        <v>4.0999999999999996</v>
      </c>
      <c r="N665" s="10" t="b">
        <v>1</v>
      </c>
      <c r="O665" s="41" t="s">
        <v>309</v>
      </c>
      <c r="P665" s="45">
        <f t="shared" si="72"/>
        <v>627.54509999999993</v>
      </c>
      <c r="Q665" s="45">
        <f t="shared" si="73"/>
        <v>866.60990000000004</v>
      </c>
      <c r="R665" s="45">
        <v>150</v>
      </c>
      <c r="S665" s="45">
        <f t="shared" si="74"/>
        <v>149.41550000000001</v>
      </c>
      <c r="T665" s="45">
        <f t="shared" si="75"/>
        <v>1494.155</v>
      </c>
      <c r="U665" s="47">
        <f t="shared" si="76"/>
        <v>-926.96059999999989</v>
      </c>
    </row>
    <row r="666" spans="1:21" x14ac:dyDescent="0.3">
      <c r="A666" s="41" t="str">
        <f t="shared" si="70"/>
        <v>PFORBO</v>
      </c>
      <c r="B666" s="43">
        <v>45569</v>
      </c>
      <c r="C666" s="10" t="s">
        <v>708</v>
      </c>
      <c r="D666" s="10" t="s">
        <v>65</v>
      </c>
      <c r="E666" s="10" t="s">
        <v>26</v>
      </c>
      <c r="F666" s="10" t="s">
        <v>54</v>
      </c>
      <c r="G666" s="10" t="s">
        <v>46</v>
      </c>
      <c r="H666" s="10" t="s">
        <v>28</v>
      </c>
      <c r="I666" s="45">
        <v>2642</v>
      </c>
      <c r="J666" s="11">
        <v>0.11</v>
      </c>
      <c r="K666" s="45">
        <f t="shared" si="71"/>
        <v>2351.38</v>
      </c>
      <c r="L666" s="10">
        <v>18</v>
      </c>
      <c r="M666" s="10">
        <v>1.6</v>
      </c>
      <c r="N666" s="10" t="b">
        <v>0</v>
      </c>
      <c r="O666" s="41"/>
      <c r="P666" s="45">
        <f t="shared" si="72"/>
        <v>987.57960000000003</v>
      </c>
      <c r="Q666" s="45">
        <f t="shared" si="73"/>
        <v>1363.8004000000001</v>
      </c>
      <c r="R666" s="45">
        <v>0</v>
      </c>
      <c r="S666" s="45">
        <f t="shared" si="74"/>
        <v>0</v>
      </c>
      <c r="T666" s="45">
        <f t="shared" si="75"/>
        <v>0</v>
      </c>
      <c r="U666" s="47">
        <f t="shared" si="76"/>
        <v>1363.8004000000001</v>
      </c>
    </row>
    <row r="667" spans="1:21" x14ac:dyDescent="0.3">
      <c r="A667" s="41" t="str">
        <f t="shared" si="70"/>
        <v>PFORAC</v>
      </c>
      <c r="B667" s="43">
        <v>45570</v>
      </c>
      <c r="C667" s="10" t="s">
        <v>709</v>
      </c>
      <c r="D667" s="10" t="s">
        <v>65</v>
      </c>
      <c r="E667" s="10" t="s">
        <v>15</v>
      </c>
      <c r="F667" s="10" t="s">
        <v>11</v>
      </c>
      <c r="G667" s="10" t="s">
        <v>7</v>
      </c>
      <c r="H667" s="10" t="s">
        <v>56</v>
      </c>
      <c r="I667" s="45">
        <v>416</v>
      </c>
      <c r="J667" s="11">
        <v>0</v>
      </c>
      <c r="K667" s="45">
        <f t="shared" si="71"/>
        <v>416</v>
      </c>
      <c r="L667" s="10">
        <v>30</v>
      </c>
      <c r="M667" s="10"/>
      <c r="N667" s="10" t="b">
        <v>0</v>
      </c>
      <c r="O667" s="41"/>
      <c r="P667" s="45">
        <f t="shared" si="72"/>
        <v>174.72</v>
      </c>
      <c r="Q667" s="45">
        <f t="shared" si="73"/>
        <v>241.28</v>
      </c>
      <c r="R667" s="45">
        <v>0</v>
      </c>
      <c r="S667" s="45">
        <f t="shared" si="74"/>
        <v>0</v>
      </c>
      <c r="T667" s="45">
        <f t="shared" si="75"/>
        <v>0</v>
      </c>
      <c r="U667" s="47">
        <f t="shared" si="76"/>
        <v>241.28</v>
      </c>
    </row>
    <row r="668" spans="1:21" x14ac:dyDescent="0.3">
      <c r="A668" s="41" t="str">
        <f t="shared" si="70"/>
        <v>PH&amp;MTO</v>
      </c>
      <c r="B668" s="43">
        <v>45570</v>
      </c>
      <c r="C668" s="10" t="s">
        <v>710</v>
      </c>
      <c r="D668" s="10" t="s">
        <v>37</v>
      </c>
      <c r="E668" s="10" t="s">
        <v>9</v>
      </c>
      <c r="F668" s="10" t="s">
        <v>54</v>
      </c>
      <c r="G668" s="10" t="s">
        <v>12</v>
      </c>
      <c r="H668" s="10" t="s">
        <v>16</v>
      </c>
      <c r="I668" s="45">
        <v>948</v>
      </c>
      <c r="J668" s="11">
        <v>0</v>
      </c>
      <c r="K668" s="45">
        <f t="shared" si="71"/>
        <v>948</v>
      </c>
      <c r="L668" s="10">
        <v>27</v>
      </c>
      <c r="M668" s="10">
        <v>4.8</v>
      </c>
      <c r="N668" s="10" t="b">
        <v>0</v>
      </c>
      <c r="O668" s="41"/>
      <c r="P668" s="45">
        <f t="shared" si="72"/>
        <v>398.15999999999997</v>
      </c>
      <c r="Q668" s="45">
        <f t="shared" si="73"/>
        <v>549.84</v>
      </c>
      <c r="R668" s="45">
        <v>0</v>
      </c>
      <c r="S668" s="45">
        <f t="shared" si="74"/>
        <v>0</v>
      </c>
      <c r="T668" s="45">
        <f t="shared" si="75"/>
        <v>0</v>
      </c>
      <c r="U668" s="47">
        <f t="shared" si="76"/>
        <v>549.84</v>
      </c>
    </row>
    <row r="669" spans="1:21" x14ac:dyDescent="0.3">
      <c r="A669" s="41" t="str">
        <f t="shared" si="70"/>
        <v>PANNBO</v>
      </c>
      <c r="B669" s="43">
        <v>45570</v>
      </c>
      <c r="C669" s="10" t="s">
        <v>711</v>
      </c>
      <c r="D669" s="10" t="s">
        <v>42</v>
      </c>
      <c r="E669" s="10" t="s">
        <v>26</v>
      </c>
      <c r="F669" s="10" t="s">
        <v>54</v>
      </c>
      <c r="G669" s="10" t="s">
        <v>5</v>
      </c>
      <c r="H669" s="10" t="s">
        <v>47</v>
      </c>
      <c r="I669" s="45">
        <v>2921</v>
      </c>
      <c r="J669" s="11">
        <v>0.42200000000000004</v>
      </c>
      <c r="K669" s="45">
        <f t="shared" si="71"/>
        <v>1688.338</v>
      </c>
      <c r="L669" s="10">
        <v>35</v>
      </c>
      <c r="M669" s="10">
        <v>3.2</v>
      </c>
      <c r="N669" s="10" t="b">
        <v>0</v>
      </c>
      <c r="O669" s="41"/>
      <c r="P669" s="45">
        <f t="shared" si="72"/>
        <v>709.10195999999996</v>
      </c>
      <c r="Q669" s="45">
        <f t="shared" si="73"/>
        <v>979.23604</v>
      </c>
      <c r="R669" s="45">
        <v>0</v>
      </c>
      <c r="S669" s="45">
        <f t="shared" si="74"/>
        <v>0</v>
      </c>
      <c r="T669" s="45">
        <f t="shared" si="75"/>
        <v>0</v>
      </c>
      <c r="U669" s="47">
        <f t="shared" si="76"/>
        <v>979.23604</v>
      </c>
    </row>
    <row r="670" spans="1:21" x14ac:dyDescent="0.3">
      <c r="A670" s="41" t="str">
        <f t="shared" si="70"/>
        <v>PBANDR</v>
      </c>
      <c r="B670" s="43">
        <v>45571</v>
      </c>
      <c r="C670" s="10" t="s">
        <v>712</v>
      </c>
      <c r="D670" s="10" t="s">
        <v>21</v>
      </c>
      <c r="E670" s="10" t="s">
        <v>30</v>
      </c>
      <c r="F670" s="10" t="s">
        <v>54</v>
      </c>
      <c r="G670" s="10" t="s">
        <v>5</v>
      </c>
      <c r="H670" s="10" t="s">
        <v>32</v>
      </c>
      <c r="I670" s="45">
        <v>2112</v>
      </c>
      <c r="J670" s="11">
        <v>0.51900000000000002</v>
      </c>
      <c r="K670" s="45">
        <f t="shared" si="71"/>
        <v>1015.872</v>
      </c>
      <c r="L670" s="10">
        <v>35</v>
      </c>
      <c r="M670" s="10">
        <v>2.5</v>
      </c>
      <c r="N670" s="10" t="b">
        <v>0</v>
      </c>
      <c r="O670" s="41"/>
      <c r="P670" s="45">
        <f t="shared" si="72"/>
        <v>426.66623999999996</v>
      </c>
      <c r="Q670" s="45">
        <f t="shared" si="73"/>
        <v>589.20576000000005</v>
      </c>
      <c r="R670" s="45">
        <v>0</v>
      </c>
      <c r="S670" s="45">
        <f t="shared" si="74"/>
        <v>0</v>
      </c>
      <c r="T670" s="45">
        <f t="shared" si="75"/>
        <v>0</v>
      </c>
      <c r="U670" s="47">
        <f t="shared" si="76"/>
        <v>589.20576000000005</v>
      </c>
    </row>
    <row r="671" spans="1:21" x14ac:dyDescent="0.3">
      <c r="A671" s="41" t="str">
        <f t="shared" si="70"/>
        <v>PH&amp;MOU</v>
      </c>
      <c r="B671" s="43">
        <v>45571</v>
      </c>
      <c r="C671" s="10" t="s">
        <v>713</v>
      </c>
      <c r="D671" s="10" t="s">
        <v>37</v>
      </c>
      <c r="E671" s="10" t="s">
        <v>2</v>
      </c>
      <c r="F671" s="10" t="s">
        <v>4</v>
      </c>
      <c r="G671" s="10" t="s">
        <v>46</v>
      </c>
      <c r="H671" s="10" t="s">
        <v>16</v>
      </c>
      <c r="I671" s="45">
        <v>4139</v>
      </c>
      <c r="J671" s="11">
        <v>0</v>
      </c>
      <c r="K671" s="45">
        <f t="shared" si="71"/>
        <v>4139</v>
      </c>
      <c r="L671" s="10">
        <v>30</v>
      </c>
      <c r="M671" s="10">
        <v>4.5999999999999996</v>
      </c>
      <c r="N671" s="10" t="b">
        <v>0</v>
      </c>
      <c r="O671" s="41"/>
      <c r="P671" s="45">
        <f t="shared" si="72"/>
        <v>1738.3799999999999</v>
      </c>
      <c r="Q671" s="45">
        <f t="shared" si="73"/>
        <v>2400.62</v>
      </c>
      <c r="R671" s="45">
        <v>0</v>
      </c>
      <c r="S671" s="45">
        <f t="shared" si="74"/>
        <v>0</v>
      </c>
      <c r="T671" s="45">
        <f t="shared" si="75"/>
        <v>0</v>
      </c>
      <c r="U671" s="47">
        <f t="shared" si="76"/>
        <v>2400.62</v>
      </c>
    </row>
    <row r="672" spans="1:21" x14ac:dyDescent="0.3">
      <c r="A672" s="41" t="str">
        <f t="shared" si="70"/>
        <v>PMANSH</v>
      </c>
      <c r="B672" s="43">
        <v>45571</v>
      </c>
      <c r="C672" s="10" t="s">
        <v>714</v>
      </c>
      <c r="D672" s="10" t="s">
        <v>31</v>
      </c>
      <c r="E672" s="10" t="s">
        <v>18</v>
      </c>
      <c r="F672" s="10" t="s">
        <v>4</v>
      </c>
      <c r="G672" s="10" t="s">
        <v>49</v>
      </c>
      <c r="H672" s="10" t="s">
        <v>88</v>
      </c>
      <c r="I672" s="45">
        <v>3373</v>
      </c>
      <c r="J672" s="11">
        <v>0.58599999999999997</v>
      </c>
      <c r="K672" s="45">
        <f t="shared" si="71"/>
        <v>1396.422</v>
      </c>
      <c r="L672" s="10">
        <v>16</v>
      </c>
      <c r="M672" s="10">
        <v>3.9</v>
      </c>
      <c r="N672" s="10" t="b">
        <v>0</v>
      </c>
      <c r="O672" s="41"/>
      <c r="P672" s="45">
        <f t="shared" si="72"/>
        <v>586.49724000000003</v>
      </c>
      <c r="Q672" s="45">
        <f t="shared" si="73"/>
        <v>809.92475999999999</v>
      </c>
      <c r="R672" s="45">
        <v>0</v>
      </c>
      <c r="S672" s="45">
        <f t="shared" si="74"/>
        <v>0</v>
      </c>
      <c r="T672" s="45">
        <f t="shared" si="75"/>
        <v>0</v>
      </c>
      <c r="U672" s="47">
        <f t="shared" si="76"/>
        <v>809.92475999999999</v>
      </c>
    </row>
    <row r="673" spans="1:21" x14ac:dyDescent="0.3">
      <c r="A673" s="41" t="str">
        <f t="shared" si="70"/>
        <v>PH&amp;MBO</v>
      </c>
      <c r="B673" s="43">
        <v>45571</v>
      </c>
      <c r="C673" s="10" t="s">
        <v>715</v>
      </c>
      <c r="D673" s="10" t="s">
        <v>37</v>
      </c>
      <c r="E673" s="10" t="s">
        <v>26</v>
      </c>
      <c r="F673" s="10" t="s">
        <v>4</v>
      </c>
      <c r="G673" s="10" t="s">
        <v>46</v>
      </c>
      <c r="H673" s="10" t="s">
        <v>58</v>
      </c>
      <c r="I673" s="45">
        <v>2579</v>
      </c>
      <c r="J673" s="11">
        <v>0.13900000000000001</v>
      </c>
      <c r="K673" s="45">
        <f t="shared" si="71"/>
        <v>2220.5189999999998</v>
      </c>
      <c r="L673" s="10">
        <v>16</v>
      </c>
      <c r="M673" s="10">
        <v>1.3</v>
      </c>
      <c r="N673" s="10" t="b">
        <v>1</v>
      </c>
      <c r="O673" s="41" t="s">
        <v>33</v>
      </c>
      <c r="P673" s="45">
        <f t="shared" si="72"/>
        <v>932.61797999999987</v>
      </c>
      <c r="Q673" s="45">
        <f t="shared" si="73"/>
        <v>1287.9010199999998</v>
      </c>
      <c r="R673" s="45">
        <v>150</v>
      </c>
      <c r="S673" s="45">
        <f t="shared" si="74"/>
        <v>222.05189999999999</v>
      </c>
      <c r="T673" s="45">
        <f t="shared" si="75"/>
        <v>2220.5189999999998</v>
      </c>
      <c r="U673" s="47">
        <f t="shared" si="76"/>
        <v>-1304.6698799999999</v>
      </c>
    </row>
    <row r="674" spans="1:21" x14ac:dyDescent="0.3">
      <c r="A674" s="41" t="str">
        <f t="shared" si="70"/>
        <v>PBANBO</v>
      </c>
      <c r="B674" s="43">
        <v>45571</v>
      </c>
      <c r="C674" s="10" t="s">
        <v>716</v>
      </c>
      <c r="D674" s="10" t="s">
        <v>21</v>
      </c>
      <c r="E674" s="10" t="s">
        <v>26</v>
      </c>
      <c r="F674" s="10" t="s">
        <v>54</v>
      </c>
      <c r="G674" s="10" t="s">
        <v>12</v>
      </c>
      <c r="H674" s="10" t="s">
        <v>56</v>
      </c>
      <c r="I674" s="45">
        <v>2261</v>
      </c>
      <c r="J674" s="11">
        <v>0.26400000000000001</v>
      </c>
      <c r="K674" s="45">
        <f t="shared" si="71"/>
        <v>1664.096</v>
      </c>
      <c r="L674" s="10">
        <v>24</v>
      </c>
      <c r="M674" s="10">
        <v>3.8</v>
      </c>
      <c r="N674" s="10" t="b">
        <v>1</v>
      </c>
      <c r="O674" s="41" t="s">
        <v>44</v>
      </c>
      <c r="P674" s="45">
        <f t="shared" si="72"/>
        <v>698.92031999999995</v>
      </c>
      <c r="Q674" s="45">
        <f t="shared" si="73"/>
        <v>965.17568000000006</v>
      </c>
      <c r="R674" s="45">
        <v>150</v>
      </c>
      <c r="S674" s="45">
        <f t="shared" si="74"/>
        <v>166.40960000000001</v>
      </c>
      <c r="T674" s="45">
        <f t="shared" si="75"/>
        <v>1664.096</v>
      </c>
      <c r="U674" s="47">
        <f t="shared" si="76"/>
        <v>-1015.3299199999999</v>
      </c>
    </row>
    <row r="675" spans="1:21" x14ac:dyDescent="0.3">
      <c r="A675" s="41" t="str">
        <f t="shared" si="70"/>
        <v>PMANDR</v>
      </c>
      <c r="B675" s="43">
        <v>45572</v>
      </c>
      <c r="C675" s="10" t="s">
        <v>717</v>
      </c>
      <c r="D675" s="10" t="s">
        <v>31</v>
      </c>
      <c r="E675" s="10" t="s">
        <v>30</v>
      </c>
      <c r="F675" s="10" t="s">
        <v>4</v>
      </c>
      <c r="G675" s="10" t="s">
        <v>46</v>
      </c>
      <c r="H675" s="10" t="s">
        <v>13</v>
      </c>
      <c r="I675" s="45">
        <v>2436</v>
      </c>
      <c r="J675" s="11">
        <v>0</v>
      </c>
      <c r="K675" s="45">
        <f t="shared" si="71"/>
        <v>2436</v>
      </c>
      <c r="L675" s="10">
        <v>11</v>
      </c>
      <c r="M675" s="10">
        <v>2.2000000000000002</v>
      </c>
      <c r="N675" s="10" t="b">
        <v>0</v>
      </c>
      <c r="O675" s="41"/>
      <c r="P675" s="45">
        <f t="shared" si="72"/>
        <v>1023.12</v>
      </c>
      <c r="Q675" s="45">
        <f t="shared" si="73"/>
        <v>1412.88</v>
      </c>
      <c r="R675" s="45">
        <v>0</v>
      </c>
      <c r="S675" s="45">
        <f t="shared" si="74"/>
        <v>0</v>
      </c>
      <c r="T675" s="45">
        <f t="shared" si="75"/>
        <v>0</v>
      </c>
      <c r="U675" s="47">
        <f t="shared" si="76"/>
        <v>1412.88</v>
      </c>
    </row>
    <row r="676" spans="1:21" x14ac:dyDescent="0.3">
      <c r="A676" s="41" t="str">
        <f t="shared" si="70"/>
        <v>PGAPAC</v>
      </c>
      <c r="B676" s="43">
        <v>45572</v>
      </c>
      <c r="C676" s="10" t="s">
        <v>718</v>
      </c>
      <c r="D676" s="10" t="s">
        <v>53</v>
      </c>
      <c r="E676" s="10" t="s">
        <v>15</v>
      </c>
      <c r="F676" s="10" t="s">
        <v>11</v>
      </c>
      <c r="G676" s="10" t="s">
        <v>7</v>
      </c>
      <c r="H676" s="10" t="s">
        <v>28</v>
      </c>
      <c r="I676" s="45">
        <v>219</v>
      </c>
      <c r="J676" s="11">
        <v>0</v>
      </c>
      <c r="K676" s="45">
        <f t="shared" si="71"/>
        <v>219</v>
      </c>
      <c r="L676" s="10">
        <v>35</v>
      </c>
      <c r="M676" s="10">
        <v>4.0999999999999996</v>
      </c>
      <c r="N676" s="10" t="b">
        <v>0</v>
      </c>
      <c r="O676" s="41"/>
      <c r="P676" s="45">
        <f t="shared" si="72"/>
        <v>91.97999999999999</v>
      </c>
      <c r="Q676" s="45">
        <f t="shared" si="73"/>
        <v>127.02000000000001</v>
      </c>
      <c r="R676" s="45">
        <v>0</v>
      </c>
      <c r="S676" s="45">
        <f t="shared" si="74"/>
        <v>0</v>
      </c>
      <c r="T676" s="45">
        <f t="shared" si="75"/>
        <v>0</v>
      </c>
      <c r="U676" s="47">
        <f t="shared" si="76"/>
        <v>127.02000000000001</v>
      </c>
    </row>
    <row r="677" spans="1:21" x14ac:dyDescent="0.3">
      <c r="A677" s="41" t="str">
        <f t="shared" si="70"/>
        <v>PMANTO</v>
      </c>
      <c r="B677" s="43">
        <v>45572</v>
      </c>
      <c r="C677" s="10" t="s">
        <v>719</v>
      </c>
      <c r="D677" s="10" t="s">
        <v>31</v>
      </c>
      <c r="E677" s="10" t="s">
        <v>9</v>
      </c>
      <c r="F677" s="10" t="s">
        <v>11</v>
      </c>
      <c r="G677" s="10" t="s">
        <v>46</v>
      </c>
      <c r="H677" s="10" t="s">
        <v>32</v>
      </c>
      <c r="I677" s="45">
        <v>1438</v>
      </c>
      <c r="J677" s="11">
        <v>0</v>
      </c>
      <c r="K677" s="45">
        <f t="shared" si="71"/>
        <v>1438</v>
      </c>
      <c r="L677" s="10">
        <v>5</v>
      </c>
      <c r="M677" s="10">
        <v>3.3</v>
      </c>
      <c r="N677" s="10" t="b">
        <v>0</v>
      </c>
      <c r="O677" s="41"/>
      <c r="P677" s="45">
        <f t="shared" si="72"/>
        <v>603.95999999999992</v>
      </c>
      <c r="Q677" s="45">
        <f t="shared" si="73"/>
        <v>834.04000000000008</v>
      </c>
      <c r="R677" s="45">
        <v>0</v>
      </c>
      <c r="S677" s="45">
        <f t="shared" si="74"/>
        <v>0</v>
      </c>
      <c r="T677" s="45">
        <f t="shared" si="75"/>
        <v>0</v>
      </c>
      <c r="U677" s="47">
        <f t="shared" si="76"/>
        <v>834.04000000000008</v>
      </c>
    </row>
    <row r="678" spans="1:21" x14ac:dyDescent="0.3">
      <c r="A678" s="41" t="str">
        <f t="shared" si="70"/>
        <v>PBANOU</v>
      </c>
      <c r="B678" s="43">
        <v>45573</v>
      </c>
      <c r="C678" s="10" t="s">
        <v>720</v>
      </c>
      <c r="D678" s="10" t="s">
        <v>21</v>
      </c>
      <c r="E678" s="10" t="s">
        <v>2</v>
      </c>
      <c r="F678" s="10" t="s">
        <v>23</v>
      </c>
      <c r="G678" s="10" t="s">
        <v>38</v>
      </c>
      <c r="H678" s="10" t="s">
        <v>88</v>
      </c>
      <c r="I678" s="45">
        <v>4348</v>
      </c>
      <c r="J678" s="11">
        <v>0</v>
      </c>
      <c r="K678" s="45">
        <f t="shared" si="71"/>
        <v>4348</v>
      </c>
      <c r="L678" s="10">
        <v>47</v>
      </c>
      <c r="M678" s="10">
        <v>4.9000000000000004</v>
      </c>
      <c r="N678" s="10" t="b">
        <v>0</v>
      </c>
      <c r="O678" s="41"/>
      <c r="P678" s="45">
        <f t="shared" si="72"/>
        <v>1826.1599999999999</v>
      </c>
      <c r="Q678" s="45">
        <f t="shared" si="73"/>
        <v>2521.84</v>
      </c>
      <c r="R678" s="45">
        <v>0</v>
      </c>
      <c r="S678" s="45">
        <f t="shared" si="74"/>
        <v>0</v>
      </c>
      <c r="T678" s="45">
        <f t="shared" si="75"/>
        <v>0</v>
      </c>
      <c r="U678" s="47">
        <f t="shared" si="76"/>
        <v>2521.84</v>
      </c>
    </row>
    <row r="679" spans="1:21" x14ac:dyDescent="0.3">
      <c r="A679" s="41" t="str">
        <f t="shared" si="70"/>
        <v>PBANAC</v>
      </c>
      <c r="B679" s="43">
        <v>45573</v>
      </c>
      <c r="C679" s="10" t="s">
        <v>721</v>
      </c>
      <c r="D679" s="10" t="s">
        <v>21</v>
      </c>
      <c r="E679" s="10" t="s">
        <v>15</v>
      </c>
      <c r="F679" s="10" t="s">
        <v>23</v>
      </c>
      <c r="G679" s="10" t="s">
        <v>7</v>
      </c>
      <c r="H679" s="10" t="s">
        <v>88</v>
      </c>
      <c r="I679" s="45">
        <v>468</v>
      </c>
      <c r="J679" s="11">
        <v>0.58299999999999996</v>
      </c>
      <c r="K679" s="45">
        <f t="shared" si="71"/>
        <v>195.15600000000001</v>
      </c>
      <c r="L679" s="10">
        <v>4</v>
      </c>
      <c r="M679" s="10">
        <v>1.6</v>
      </c>
      <c r="N679" s="10" t="b">
        <v>0</v>
      </c>
      <c r="O679" s="41"/>
      <c r="P679" s="45">
        <f t="shared" si="72"/>
        <v>81.965519999999998</v>
      </c>
      <c r="Q679" s="45">
        <f t="shared" si="73"/>
        <v>113.19048000000001</v>
      </c>
      <c r="R679" s="45">
        <v>0</v>
      </c>
      <c r="S679" s="45">
        <f t="shared" si="74"/>
        <v>0</v>
      </c>
      <c r="T679" s="45">
        <f t="shared" si="75"/>
        <v>0</v>
      </c>
      <c r="U679" s="47">
        <f t="shared" si="76"/>
        <v>113.19048000000001</v>
      </c>
    </row>
    <row r="680" spans="1:21" x14ac:dyDescent="0.3">
      <c r="A680" s="41" t="str">
        <f t="shared" si="70"/>
        <v>PGAPAC</v>
      </c>
      <c r="B680" s="43">
        <v>45573</v>
      </c>
      <c r="C680" s="10" t="s">
        <v>722</v>
      </c>
      <c r="D680" s="10" t="s">
        <v>53</v>
      </c>
      <c r="E680" s="10" t="s">
        <v>15</v>
      </c>
      <c r="F680" s="10" t="s">
        <v>11</v>
      </c>
      <c r="G680" s="10" t="s">
        <v>7</v>
      </c>
      <c r="H680" s="10" t="s">
        <v>58</v>
      </c>
      <c r="I680" s="45">
        <v>214</v>
      </c>
      <c r="J680" s="11">
        <v>7.0999999999999994E-2</v>
      </c>
      <c r="K680" s="45">
        <f t="shared" si="71"/>
        <v>198.80600000000001</v>
      </c>
      <c r="L680" s="10">
        <v>11</v>
      </c>
      <c r="M680" s="10">
        <v>1.2</v>
      </c>
      <c r="N680" s="10" t="b">
        <v>0</v>
      </c>
      <c r="O680" s="41"/>
      <c r="P680" s="45">
        <f t="shared" si="72"/>
        <v>83.498519999999999</v>
      </c>
      <c r="Q680" s="45">
        <f t="shared" si="73"/>
        <v>115.30748000000001</v>
      </c>
      <c r="R680" s="45">
        <v>0</v>
      </c>
      <c r="S680" s="45">
        <f t="shared" si="74"/>
        <v>0</v>
      </c>
      <c r="T680" s="45">
        <f t="shared" si="75"/>
        <v>0</v>
      </c>
      <c r="U680" s="47">
        <f t="shared" si="76"/>
        <v>115.30748000000001</v>
      </c>
    </row>
    <row r="681" spans="1:21" x14ac:dyDescent="0.3">
      <c r="A681" s="41" t="str">
        <f t="shared" si="70"/>
        <v>PZARAC</v>
      </c>
      <c r="B681" s="43">
        <v>45573</v>
      </c>
      <c r="C681" s="10" t="s">
        <v>723</v>
      </c>
      <c r="D681" s="10" t="s">
        <v>3</v>
      </c>
      <c r="E681" s="10" t="s">
        <v>15</v>
      </c>
      <c r="F681" s="10" t="s">
        <v>4</v>
      </c>
      <c r="G681" s="10" t="s">
        <v>7</v>
      </c>
      <c r="H681" s="10" t="s">
        <v>6</v>
      </c>
      <c r="I681" s="45">
        <v>171</v>
      </c>
      <c r="J681" s="11">
        <v>0</v>
      </c>
      <c r="K681" s="45">
        <f t="shared" si="71"/>
        <v>171</v>
      </c>
      <c r="L681" s="10">
        <v>29</v>
      </c>
      <c r="M681" s="10">
        <v>4.3</v>
      </c>
      <c r="N681" s="10" t="b">
        <v>1</v>
      </c>
      <c r="O681" s="41" t="s">
        <v>44</v>
      </c>
      <c r="P681" s="45">
        <f t="shared" si="72"/>
        <v>71.819999999999993</v>
      </c>
      <c r="Q681" s="45">
        <f t="shared" si="73"/>
        <v>99.18</v>
      </c>
      <c r="R681" s="45">
        <v>150</v>
      </c>
      <c r="S681" s="45">
        <f t="shared" si="74"/>
        <v>17.100000000000001</v>
      </c>
      <c r="T681" s="45">
        <f t="shared" si="75"/>
        <v>171</v>
      </c>
      <c r="U681" s="47">
        <f t="shared" si="76"/>
        <v>-238.92</v>
      </c>
    </row>
    <row r="682" spans="1:21" x14ac:dyDescent="0.3">
      <c r="A682" s="41" t="str">
        <f t="shared" si="70"/>
        <v>PFORAC</v>
      </c>
      <c r="B682" s="43">
        <v>45574</v>
      </c>
      <c r="C682" s="10" t="s">
        <v>724</v>
      </c>
      <c r="D682" s="10" t="s">
        <v>65</v>
      </c>
      <c r="E682" s="10" t="s">
        <v>15</v>
      </c>
      <c r="F682" s="10" t="s">
        <v>11</v>
      </c>
      <c r="G682" s="10" t="s">
        <v>7</v>
      </c>
      <c r="H682" s="10" t="s">
        <v>35</v>
      </c>
      <c r="I682" s="45">
        <v>401</v>
      </c>
      <c r="J682" s="11">
        <v>0</v>
      </c>
      <c r="K682" s="45">
        <f t="shared" si="71"/>
        <v>401</v>
      </c>
      <c r="L682" s="10">
        <v>38</v>
      </c>
      <c r="M682" s="10">
        <v>3.2</v>
      </c>
      <c r="N682" s="10" t="b">
        <v>0</v>
      </c>
      <c r="O682" s="41"/>
      <c r="P682" s="45">
        <f t="shared" si="72"/>
        <v>168.42</v>
      </c>
      <c r="Q682" s="45">
        <f t="shared" si="73"/>
        <v>232.58</v>
      </c>
      <c r="R682" s="45">
        <v>0</v>
      </c>
      <c r="S682" s="45">
        <f t="shared" si="74"/>
        <v>0</v>
      </c>
      <c r="T682" s="45">
        <f t="shared" si="75"/>
        <v>0</v>
      </c>
      <c r="U682" s="47">
        <f t="shared" si="76"/>
        <v>232.58</v>
      </c>
    </row>
    <row r="683" spans="1:21" x14ac:dyDescent="0.3">
      <c r="A683" s="41" t="str">
        <f t="shared" si="70"/>
        <v>PMANSH</v>
      </c>
      <c r="B683" s="43">
        <v>45574</v>
      </c>
      <c r="C683" s="10" t="s">
        <v>725</v>
      </c>
      <c r="D683" s="10" t="s">
        <v>31</v>
      </c>
      <c r="E683" s="10" t="s">
        <v>18</v>
      </c>
      <c r="F683" s="10" t="s">
        <v>54</v>
      </c>
      <c r="G683" s="10" t="s">
        <v>46</v>
      </c>
      <c r="H683" s="10" t="s">
        <v>35</v>
      </c>
      <c r="I683" s="45">
        <v>3557</v>
      </c>
      <c r="J683" s="11">
        <v>0</v>
      </c>
      <c r="K683" s="45">
        <f t="shared" si="71"/>
        <v>3557</v>
      </c>
      <c r="L683" s="10">
        <v>8</v>
      </c>
      <c r="M683" s="10">
        <v>4.9000000000000004</v>
      </c>
      <c r="N683" s="10" t="b">
        <v>0</v>
      </c>
      <c r="O683" s="41"/>
      <c r="P683" s="45">
        <f t="shared" si="72"/>
        <v>1493.94</v>
      </c>
      <c r="Q683" s="45">
        <f t="shared" si="73"/>
        <v>2063.06</v>
      </c>
      <c r="R683" s="45">
        <v>0</v>
      </c>
      <c r="S683" s="45">
        <f t="shared" si="74"/>
        <v>0</v>
      </c>
      <c r="T683" s="45">
        <f t="shared" si="75"/>
        <v>0</v>
      </c>
      <c r="U683" s="47">
        <f t="shared" si="76"/>
        <v>2063.06</v>
      </c>
    </row>
    <row r="684" spans="1:21" x14ac:dyDescent="0.3">
      <c r="A684" s="41" t="str">
        <f t="shared" si="70"/>
        <v>PANNBO</v>
      </c>
      <c r="B684" s="43">
        <v>45574</v>
      </c>
      <c r="C684" s="10" t="s">
        <v>726</v>
      </c>
      <c r="D684" s="10" t="s">
        <v>42</v>
      </c>
      <c r="E684" s="10" t="s">
        <v>26</v>
      </c>
      <c r="F684" s="10" t="s">
        <v>54</v>
      </c>
      <c r="G684" s="10" t="s">
        <v>46</v>
      </c>
      <c r="H684" s="10" t="s">
        <v>28</v>
      </c>
      <c r="I684" s="45">
        <v>2998</v>
      </c>
      <c r="J684" s="11">
        <v>0</v>
      </c>
      <c r="K684" s="45">
        <f t="shared" si="71"/>
        <v>2998</v>
      </c>
      <c r="L684" s="10">
        <v>18</v>
      </c>
      <c r="M684" s="10">
        <v>1.9</v>
      </c>
      <c r="N684" s="10" t="b">
        <v>1</v>
      </c>
      <c r="O684" s="41" t="s">
        <v>44</v>
      </c>
      <c r="P684" s="45">
        <f t="shared" si="72"/>
        <v>1259.1599999999999</v>
      </c>
      <c r="Q684" s="45">
        <f t="shared" si="73"/>
        <v>1738.8400000000001</v>
      </c>
      <c r="R684" s="45">
        <v>150</v>
      </c>
      <c r="S684" s="45">
        <f t="shared" si="74"/>
        <v>299.8</v>
      </c>
      <c r="T684" s="45">
        <f t="shared" si="75"/>
        <v>2998</v>
      </c>
      <c r="U684" s="47">
        <f t="shared" si="76"/>
        <v>-1708.9599999999998</v>
      </c>
    </row>
    <row r="685" spans="1:21" x14ac:dyDescent="0.3">
      <c r="A685" s="41" t="str">
        <f t="shared" si="70"/>
        <v>PZAROU</v>
      </c>
      <c r="B685" s="43">
        <v>45574</v>
      </c>
      <c r="C685" s="10" t="s">
        <v>727</v>
      </c>
      <c r="D685" s="10" t="s">
        <v>3</v>
      </c>
      <c r="E685" s="10" t="s">
        <v>2</v>
      </c>
      <c r="F685" s="10" t="s">
        <v>4</v>
      </c>
      <c r="G685" s="10" t="s">
        <v>49</v>
      </c>
      <c r="H685" s="10" t="s">
        <v>35</v>
      </c>
      <c r="I685" s="45">
        <v>3136</v>
      </c>
      <c r="J685" s="11">
        <v>0</v>
      </c>
      <c r="K685" s="45">
        <f t="shared" si="71"/>
        <v>3136</v>
      </c>
      <c r="L685" s="10">
        <v>27</v>
      </c>
      <c r="M685" s="10">
        <v>2.6</v>
      </c>
      <c r="N685" s="10" t="b">
        <v>1</v>
      </c>
      <c r="O685" s="41" t="s">
        <v>80</v>
      </c>
      <c r="P685" s="45">
        <f t="shared" si="72"/>
        <v>1317.12</v>
      </c>
      <c r="Q685" s="45">
        <f t="shared" si="73"/>
        <v>1818.88</v>
      </c>
      <c r="R685" s="45">
        <v>150</v>
      </c>
      <c r="S685" s="45">
        <f t="shared" si="74"/>
        <v>313.60000000000002</v>
      </c>
      <c r="T685" s="45">
        <f t="shared" si="75"/>
        <v>3136</v>
      </c>
      <c r="U685" s="47">
        <f t="shared" si="76"/>
        <v>-1780.7199999999998</v>
      </c>
    </row>
    <row r="686" spans="1:21" x14ac:dyDescent="0.3">
      <c r="A686" s="41" t="str">
        <f t="shared" si="70"/>
        <v>PBANBO</v>
      </c>
      <c r="B686" s="43">
        <v>45575</v>
      </c>
      <c r="C686" s="10" t="s">
        <v>728</v>
      </c>
      <c r="D686" s="10" t="s">
        <v>21</v>
      </c>
      <c r="E686" s="10" t="s">
        <v>26</v>
      </c>
      <c r="F686" s="10" t="s">
        <v>11</v>
      </c>
      <c r="G686" s="10" t="s">
        <v>46</v>
      </c>
      <c r="H686" s="10" t="s">
        <v>6</v>
      </c>
      <c r="I686" s="45">
        <v>2987</v>
      </c>
      <c r="J686" s="11">
        <v>0</v>
      </c>
      <c r="K686" s="45">
        <f t="shared" si="71"/>
        <v>2987</v>
      </c>
      <c r="L686" s="10">
        <v>13</v>
      </c>
      <c r="M686" s="10">
        <v>3.2</v>
      </c>
      <c r="N686" s="10" t="b">
        <v>0</v>
      </c>
      <c r="O686" s="41"/>
      <c r="P686" s="45">
        <f t="shared" si="72"/>
        <v>1254.54</v>
      </c>
      <c r="Q686" s="45">
        <f t="shared" si="73"/>
        <v>1732.46</v>
      </c>
      <c r="R686" s="45">
        <v>0</v>
      </c>
      <c r="S686" s="45">
        <f t="shared" si="74"/>
        <v>0</v>
      </c>
      <c r="T686" s="45">
        <f t="shared" si="75"/>
        <v>0</v>
      </c>
      <c r="U686" s="47">
        <f t="shared" si="76"/>
        <v>1732.46</v>
      </c>
    </row>
    <row r="687" spans="1:21" x14ac:dyDescent="0.3">
      <c r="A687" s="41" t="str">
        <f t="shared" si="70"/>
        <v>PANNDR</v>
      </c>
      <c r="B687" s="43">
        <v>45575</v>
      </c>
      <c r="C687" s="10" t="s">
        <v>729</v>
      </c>
      <c r="D687" s="10" t="s">
        <v>42</v>
      </c>
      <c r="E687" s="10" t="s">
        <v>30</v>
      </c>
      <c r="F687" s="10" t="s">
        <v>11</v>
      </c>
      <c r="G687" s="10" t="s">
        <v>12</v>
      </c>
      <c r="H687" s="10" t="s">
        <v>13</v>
      </c>
      <c r="I687" s="45">
        <v>2419</v>
      </c>
      <c r="J687" s="11">
        <v>0</v>
      </c>
      <c r="K687" s="45">
        <f t="shared" si="71"/>
        <v>2419</v>
      </c>
      <c r="L687" s="10">
        <v>17</v>
      </c>
      <c r="M687" s="10"/>
      <c r="N687" s="10" t="b">
        <v>0</v>
      </c>
      <c r="O687" s="41"/>
      <c r="P687" s="45">
        <f t="shared" si="72"/>
        <v>1015.98</v>
      </c>
      <c r="Q687" s="45">
        <f t="shared" si="73"/>
        <v>1403.02</v>
      </c>
      <c r="R687" s="45">
        <v>0</v>
      </c>
      <c r="S687" s="45">
        <f t="shared" si="74"/>
        <v>0</v>
      </c>
      <c r="T687" s="45">
        <f t="shared" si="75"/>
        <v>0</v>
      </c>
      <c r="U687" s="47">
        <f t="shared" si="76"/>
        <v>1403.02</v>
      </c>
    </row>
    <row r="688" spans="1:21" x14ac:dyDescent="0.3">
      <c r="A688" s="41" t="str">
        <f t="shared" si="70"/>
        <v>PUNIOU</v>
      </c>
      <c r="B688" s="43">
        <v>45575</v>
      </c>
      <c r="C688" s="10" t="s">
        <v>730</v>
      </c>
      <c r="D688" s="10" t="s">
        <v>10</v>
      </c>
      <c r="E688" s="10" t="s">
        <v>2</v>
      </c>
      <c r="F688" s="10" t="s">
        <v>23</v>
      </c>
      <c r="G688" s="10" t="s">
        <v>49</v>
      </c>
      <c r="H688" s="10" t="s">
        <v>58</v>
      </c>
      <c r="I688" s="45">
        <v>3061</v>
      </c>
      <c r="J688" s="11">
        <v>5.0000000000000001E-3</v>
      </c>
      <c r="K688" s="45">
        <f t="shared" si="71"/>
        <v>3045.6950000000002</v>
      </c>
      <c r="L688" s="10">
        <v>28</v>
      </c>
      <c r="M688" s="10">
        <v>2.7</v>
      </c>
      <c r="N688" s="10" t="b">
        <v>0</v>
      </c>
      <c r="O688" s="41"/>
      <c r="P688" s="45">
        <f t="shared" si="72"/>
        <v>1279.1919</v>
      </c>
      <c r="Q688" s="45">
        <f t="shared" si="73"/>
        <v>1766.5031000000001</v>
      </c>
      <c r="R688" s="45">
        <v>0</v>
      </c>
      <c r="S688" s="45">
        <f t="shared" si="74"/>
        <v>0</v>
      </c>
      <c r="T688" s="45">
        <f t="shared" si="75"/>
        <v>0</v>
      </c>
      <c r="U688" s="47">
        <f t="shared" si="76"/>
        <v>1766.5031000000001</v>
      </c>
    </row>
    <row r="689" spans="1:21" x14ac:dyDescent="0.3">
      <c r="A689" s="41" t="str">
        <f t="shared" si="70"/>
        <v>PUNISH</v>
      </c>
      <c r="B689" s="43">
        <v>45575</v>
      </c>
      <c r="C689" s="10" t="s">
        <v>731</v>
      </c>
      <c r="D689" s="10" t="s">
        <v>10</v>
      </c>
      <c r="E689" s="10" t="s">
        <v>18</v>
      </c>
      <c r="F689" s="10" t="s">
        <v>54</v>
      </c>
      <c r="G689" s="10" t="s">
        <v>46</v>
      </c>
      <c r="H689" s="10" t="s">
        <v>13</v>
      </c>
      <c r="I689" s="45">
        <v>4350</v>
      </c>
      <c r="J689" s="11">
        <v>0.126</v>
      </c>
      <c r="K689" s="45">
        <f t="shared" si="71"/>
        <v>3801.9</v>
      </c>
      <c r="L689" s="10">
        <v>6</v>
      </c>
      <c r="M689" s="10">
        <v>1.7</v>
      </c>
      <c r="N689" s="10" t="b">
        <v>1</v>
      </c>
      <c r="O689" s="41" t="s">
        <v>50</v>
      </c>
      <c r="P689" s="45">
        <f t="shared" si="72"/>
        <v>1596.798</v>
      </c>
      <c r="Q689" s="45">
        <f t="shared" si="73"/>
        <v>2205.1019999999999</v>
      </c>
      <c r="R689" s="45">
        <v>150</v>
      </c>
      <c r="S689" s="45">
        <f t="shared" si="74"/>
        <v>380.19000000000005</v>
      </c>
      <c r="T689" s="45">
        <f t="shared" si="75"/>
        <v>3801.9</v>
      </c>
      <c r="U689" s="47">
        <f t="shared" si="76"/>
        <v>-2126.9880000000003</v>
      </c>
    </row>
    <row r="690" spans="1:21" x14ac:dyDescent="0.3">
      <c r="A690" s="41" t="str">
        <f t="shared" si="70"/>
        <v>PMANBO</v>
      </c>
      <c r="B690" s="43">
        <v>45576</v>
      </c>
      <c r="C690" s="10" t="s">
        <v>732</v>
      </c>
      <c r="D690" s="10" t="s">
        <v>31</v>
      </c>
      <c r="E690" s="10" t="s">
        <v>26</v>
      </c>
      <c r="F690" s="10" t="s">
        <v>54</v>
      </c>
      <c r="G690" s="10" t="s">
        <v>46</v>
      </c>
      <c r="H690" s="10" t="s">
        <v>32</v>
      </c>
      <c r="I690" s="45">
        <v>2560</v>
      </c>
      <c r="J690" s="11">
        <v>0.11800000000000001</v>
      </c>
      <c r="K690" s="45">
        <f t="shared" si="71"/>
        <v>2257.92</v>
      </c>
      <c r="L690" s="10">
        <v>8</v>
      </c>
      <c r="M690" s="10"/>
      <c r="N690" s="10" t="b">
        <v>0</v>
      </c>
      <c r="O690" s="41"/>
      <c r="P690" s="45">
        <f t="shared" si="72"/>
        <v>948.32640000000004</v>
      </c>
      <c r="Q690" s="45">
        <f t="shared" si="73"/>
        <v>1309.5936000000002</v>
      </c>
      <c r="R690" s="45">
        <v>0</v>
      </c>
      <c r="S690" s="45">
        <f t="shared" si="74"/>
        <v>0</v>
      </c>
      <c r="T690" s="45">
        <f t="shared" si="75"/>
        <v>0</v>
      </c>
      <c r="U690" s="47">
        <f t="shared" si="76"/>
        <v>1309.5936000000002</v>
      </c>
    </row>
    <row r="691" spans="1:21" x14ac:dyDescent="0.3">
      <c r="A691" s="41" t="str">
        <f t="shared" si="70"/>
        <v>PANNBO</v>
      </c>
      <c r="B691" s="43">
        <v>45576</v>
      </c>
      <c r="C691" s="10" t="s">
        <v>733</v>
      </c>
      <c r="D691" s="10" t="s">
        <v>42</v>
      </c>
      <c r="E691" s="10" t="s">
        <v>26</v>
      </c>
      <c r="F691" s="10" t="s">
        <v>4</v>
      </c>
      <c r="G691" s="10" t="s">
        <v>5</v>
      </c>
      <c r="H691" s="10" t="s">
        <v>47</v>
      </c>
      <c r="I691" s="45">
        <v>2957</v>
      </c>
      <c r="J691" s="11">
        <v>0.52</v>
      </c>
      <c r="K691" s="45">
        <f t="shared" si="71"/>
        <v>1419.36</v>
      </c>
      <c r="L691" s="10">
        <v>20</v>
      </c>
      <c r="M691" s="10">
        <v>1.2</v>
      </c>
      <c r="N691" s="10" t="b">
        <v>0</v>
      </c>
      <c r="O691" s="41"/>
      <c r="P691" s="45">
        <f t="shared" si="72"/>
        <v>596.13119999999992</v>
      </c>
      <c r="Q691" s="45">
        <f t="shared" si="73"/>
        <v>823.22879999999998</v>
      </c>
      <c r="R691" s="45">
        <v>0</v>
      </c>
      <c r="S691" s="45">
        <f t="shared" si="74"/>
        <v>0</v>
      </c>
      <c r="T691" s="45">
        <f t="shared" si="75"/>
        <v>0</v>
      </c>
      <c r="U691" s="47">
        <f t="shared" si="76"/>
        <v>823.22879999999998</v>
      </c>
    </row>
    <row r="692" spans="1:21" x14ac:dyDescent="0.3">
      <c r="A692" s="41" t="str">
        <f t="shared" si="70"/>
        <v>PH&amp;MTO</v>
      </c>
      <c r="B692" s="43">
        <v>45576</v>
      </c>
      <c r="C692" s="10" t="s">
        <v>734</v>
      </c>
      <c r="D692" s="10" t="s">
        <v>37</v>
      </c>
      <c r="E692" s="10" t="s">
        <v>9</v>
      </c>
      <c r="F692" s="10" t="s">
        <v>4</v>
      </c>
      <c r="G692" s="10" t="s">
        <v>5</v>
      </c>
      <c r="H692" s="10" t="s">
        <v>16</v>
      </c>
      <c r="I692" s="45">
        <v>1078</v>
      </c>
      <c r="J692" s="11">
        <v>0.46399999999999997</v>
      </c>
      <c r="K692" s="45">
        <f t="shared" si="71"/>
        <v>577.80799999999999</v>
      </c>
      <c r="L692" s="10">
        <v>50</v>
      </c>
      <c r="M692" s="10">
        <v>2.7</v>
      </c>
      <c r="N692" s="10" t="b">
        <v>0</v>
      </c>
      <c r="O692" s="41"/>
      <c r="P692" s="45">
        <f t="shared" si="72"/>
        <v>242.67935999999997</v>
      </c>
      <c r="Q692" s="45">
        <f t="shared" si="73"/>
        <v>335.12864000000002</v>
      </c>
      <c r="R692" s="45">
        <v>0</v>
      </c>
      <c r="S692" s="45">
        <f t="shared" si="74"/>
        <v>0</v>
      </c>
      <c r="T692" s="45">
        <f t="shared" si="75"/>
        <v>0</v>
      </c>
      <c r="U692" s="47">
        <f t="shared" si="76"/>
        <v>335.12864000000002</v>
      </c>
    </row>
    <row r="693" spans="1:21" x14ac:dyDescent="0.3">
      <c r="A693" s="41" t="str">
        <f t="shared" si="70"/>
        <v>PH&amp;MBO</v>
      </c>
      <c r="B693" s="43">
        <v>45577</v>
      </c>
      <c r="C693" s="10" t="s">
        <v>735</v>
      </c>
      <c r="D693" s="10" t="s">
        <v>37</v>
      </c>
      <c r="E693" s="10" t="s">
        <v>26</v>
      </c>
      <c r="F693" s="10" t="s">
        <v>23</v>
      </c>
      <c r="G693" s="10" t="s">
        <v>46</v>
      </c>
      <c r="H693" s="10" t="s">
        <v>7</v>
      </c>
      <c r="I693" s="45">
        <v>2484</v>
      </c>
      <c r="J693" s="11">
        <v>0</v>
      </c>
      <c r="K693" s="45">
        <f t="shared" si="71"/>
        <v>2484</v>
      </c>
      <c r="L693" s="10">
        <v>16</v>
      </c>
      <c r="M693" s="10"/>
      <c r="N693" s="10" t="b">
        <v>0</v>
      </c>
      <c r="O693" s="41"/>
      <c r="P693" s="45">
        <f t="shared" si="72"/>
        <v>1043.28</v>
      </c>
      <c r="Q693" s="45">
        <f t="shared" si="73"/>
        <v>1440.72</v>
      </c>
      <c r="R693" s="45">
        <v>0</v>
      </c>
      <c r="S693" s="45">
        <f t="shared" si="74"/>
        <v>0</v>
      </c>
      <c r="T693" s="45">
        <f t="shared" si="75"/>
        <v>0</v>
      </c>
      <c r="U693" s="47">
        <f t="shared" si="76"/>
        <v>1440.72</v>
      </c>
    </row>
    <row r="694" spans="1:21" x14ac:dyDescent="0.3">
      <c r="A694" s="41" t="str">
        <f t="shared" si="70"/>
        <v>PANNTO</v>
      </c>
      <c r="B694" s="43">
        <v>45577</v>
      </c>
      <c r="C694" s="10" t="s">
        <v>736</v>
      </c>
      <c r="D694" s="10" t="s">
        <v>42</v>
      </c>
      <c r="E694" s="10" t="s">
        <v>9</v>
      </c>
      <c r="F694" s="10" t="s">
        <v>23</v>
      </c>
      <c r="G694" s="10" t="s">
        <v>38</v>
      </c>
      <c r="H694" s="10" t="s">
        <v>58</v>
      </c>
      <c r="I694" s="45">
        <v>982</v>
      </c>
      <c r="J694" s="11">
        <v>0.45399999999999996</v>
      </c>
      <c r="K694" s="45">
        <f t="shared" si="71"/>
        <v>536.17200000000003</v>
      </c>
      <c r="L694" s="10">
        <v>46</v>
      </c>
      <c r="M694" s="10">
        <v>2.5</v>
      </c>
      <c r="N694" s="10" t="b">
        <v>0</v>
      </c>
      <c r="O694" s="41"/>
      <c r="P694" s="45">
        <f t="shared" si="72"/>
        <v>225.19224</v>
      </c>
      <c r="Q694" s="45">
        <f t="shared" si="73"/>
        <v>310.97976000000006</v>
      </c>
      <c r="R694" s="45">
        <v>0</v>
      </c>
      <c r="S694" s="45">
        <f t="shared" si="74"/>
        <v>0</v>
      </c>
      <c r="T694" s="45">
        <f t="shared" si="75"/>
        <v>0</v>
      </c>
      <c r="U694" s="47">
        <f t="shared" si="76"/>
        <v>310.97976000000006</v>
      </c>
    </row>
    <row r="695" spans="1:21" x14ac:dyDescent="0.3">
      <c r="A695" s="41" t="str">
        <f t="shared" si="70"/>
        <v>PZARBO</v>
      </c>
      <c r="B695" s="43">
        <v>45577</v>
      </c>
      <c r="C695" s="10" t="s">
        <v>737</v>
      </c>
      <c r="D695" s="10" t="s">
        <v>3</v>
      </c>
      <c r="E695" s="10" t="s">
        <v>26</v>
      </c>
      <c r="F695" s="10" t="s">
        <v>23</v>
      </c>
      <c r="G695" s="10" t="s">
        <v>27</v>
      </c>
      <c r="H695" s="10" t="s">
        <v>35</v>
      </c>
      <c r="I695" s="45">
        <v>2654</v>
      </c>
      <c r="J695" s="11">
        <v>0</v>
      </c>
      <c r="K695" s="45">
        <f t="shared" si="71"/>
        <v>2654</v>
      </c>
      <c r="L695" s="10">
        <v>43</v>
      </c>
      <c r="M695" s="10">
        <v>2.5</v>
      </c>
      <c r="N695" s="10" t="b">
        <v>0</v>
      </c>
      <c r="O695" s="41"/>
      <c r="P695" s="45">
        <f t="shared" si="72"/>
        <v>1114.68</v>
      </c>
      <c r="Q695" s="45">
        <f t="shared" si="73"/>
        <v>1539.32</v>
      </c>
      <c r="R695" s="45">
        <v>0</v>
      </c>
      <c r="S695" s="45">
        <f t="shared" si="74"/>
        <v>0</v>
      </c>
      <c r="T695" s="45">
        <f t="shared" si="75"/>
        <v>0</v>
      </c>
      <c r="U695" s="47">
        <f t="shared" si="76"/>
        <v>1539.32</v>
      </c>
    </row>
    <row r="696" spans="1:21" x14ac:dyDescent="0.3">
      <c r="A696" s="41" t="str">
        <f t="shared" si="70"/>
        <v>PH&amp;MTO</v>
      </c>
      <c r="B696" s="43">
        <v>45577</v>
      </c>
      <c r="C696" s="10" t="s">
        <v>738</v>
      </c>
      <c r="D696" s="10" t="s">
        <v>37</v>
      </c>
      <c r="E696" s="10" t="s">
        <v>9</v>
      </c>
      <c r="F696" s="10" t="s">
        <v>54</v>
      </c>
      <c r="G696" s="10" t="s">
        <v>7</v>
      </c>
      <c r="H696" s="10" t="s">
        <v>47</v>
      </c>
      <c r="I696" s="45">
        <v>1175</v>
      </c>
      <c r="J696" s="11">
        <v>0</v>
      </c>
      <c r="K696" s="45">
        <f t="shared" si="71"/>
        <v>1175</v>
      </c>
      <c r="L696" s="10">
        <v>27</v>
      </c>
      <c r="M696" s="10">
        <v>3.3</v>
      </c>
      <c r="N696" s="10" t="b">
        <v>0</v>
      </c>
      <c r="O696" s="41"/>
      <c r="P696" s="45">
        <f t="shared" si="72"/>
        <v>493.5</v>
      </c>
      <c r="Q696" s="45">
        <f t="shared" si="73"/>
        <v>681.5</v>
      </c>
      <c r="R696" s="45">
        <v>0</v>
      </c>
      <c r="S696" s="45">
        <f t="shared" si="74"/>
        <v>0</v>
      </c>
      <c r="T696" s="45">
        <f t="shared" si="75"/>
        <v>0</v>
      </c>
      <c r="U696" s="47">
        <f t="shared" si="76"/>
        <v>681.5</v>
      </c>
    </row>
    <row r="697" spans="1:21" x14ac:dyDescent="0.3">
      <c r="A697" s="41" t="str">
        <f t="shared" si="70"/>
        <v>PUNISH</v>
      </c>
      <c r="B697" s="43">
        <v>45578</v>
      </c>
      <c r="C697" s="10" t="s">
        <v>739</v>
      </c>
      <c r="D697" s="10" t="s">
        <v>10</v>
      </c>
      <c r="E697" s="10" t="s">
        <v>18</v>
      </c>
      <c r="F697" s="10" t="s">
        <v>4</v>
      </c>
      <c r="G697" s="10" t="s">
        <v>49</v>
      </c>
      <c r="H697" s="10" t="s">
        <v>58</v>
      </c>
      <c r="I697" s="45">
        <v>3295</v>
      </c>
      <c r="J697" s="11">
        <v>0</v>
      </c>
      <c r="K697" s="45">
        <f t="shared" si="71"/>
        <v>3295</v>
      </c>
      <c r="L697" s="10">
        <v>12</v>
      </c>
      <c r="M697" s="10">
        <v>1.2</v>
      </c>
      <c r="N697" s="10" t="b">
        <v>0</v>
      </c>
      <c r="O697" s="41"/>
      <c r="P697" s="45">
        <f t="shared" si="72"/>
        <v>1383.8999999999999</v>
      </c>
      <c r="Q697" s="45">
        <f t="shared" si="73"/>
        <v>1911.1000000000001</v>
      </c>
      <c r="R697" s="45">
        <v>0</v>
      </c>
      <c r="S697" s="45">
        <f t="shared" si="74"/>
        <v>0</v>
      </c>
      <c r="T697" s="45">
        <f t="shared" si="75"/>
        <v>0</v>
      </c>
      <c r="U697" s="47">
        <f t="shared" si="76"/>
        <v>1911.1000000000001</v>
      </c>
    </row>
    <row r="698" spans="1:21" x14ac:dyDescent="0.3">
      <c r="A698" s="41" t="str">
        <f t="shared" si="70"/>
        <v>PMANSH</v>
      </c>
      <c r="B698" s="43">
        <v>45578</v>
      </c>
      <c r="C698" s="10" t="s">
        <v>740</v>
      </c>
      <c r="D698" s="10" t="s">
        <v>31</v>
      </c>
      <c r="E698" s="10" t="s">
        <v>18</v>
      </c>
      <c r="F698" s="10" t="s">
        <v>11</v>
      </c>
      <c r="G698" s="10" t="s">
        <v>27</v>
      </c>
      <c r="H698" s="10" t="s">
        <v>16</v>
      </c>
      <c r="I698" s="45">
        <v>3648</v>
      </c>
      <c r="J698" s="11">
        <v>0.22500000000000001</v>
      </c>
      <c r="K698" s="45">
        <f t="shared" si="71"/>
        <v>2827.2000000000003</v>
      </c>
      <c r="L698" s="10">
        <v>42</v>
      </c>
      <c r="M698" s="10">
        <v>2.8</v>
      </c>
      <c r="N698" s="10" t="b">
        <v>0</v>
      </c>
      <c r="O698" s="41"/>
      <c r="P698" s="45">
        <f t="shared" si="72"/>
        <v>1187.424</v>
      </c>
      <c r="Q698" s="45">
        <f t="shared" si="73"/>
        <v>1639.7760000000003</v>
      </c>
      <c r="R698" s="45">
        <v>0</v>
      </c>
      <c r="S698" s="45">
        <f t="shared" si="74"/>
        <v>0</v>
      </c>
      <c r="T698" s="45">
        <f t="shared" si="75"/>
        <v>0</v>
      </c>
      <c r="U698" s="47">
        <f t="shared" si="76"/>
        <v>1639.7760000000003</v>
      </c>
    </row>
    <row r="699" spans="1:21" x14ac:dyDescent="0.3">
      <c r="A699" s="41" t="str">
        <f t="shared" si="70"/>
        <v>PMANTO</v>
      </c>
      <c r="B699" s="43">
        <v>45578</v>
      </c>
      <c r="C699" s="10" t="s">
        <v>741</v>
      </c>
      <c r="D699" s="10" t="s">
        <v>31</v>
      </c>
      <c r="E699" s="10" t="s">
        <v>9</v>
      </c>
      <c r="F699" s="10" t="s">
        <v>11</v>
      </c>
      <c r="G699" s="10" t="s">
        <v>27</v>
      </c>
      <c r="H699" s="10" t="s">
        <v>13</v>
      </c>
      <c r="I699" s="45">
        <v>1073</v>
      </c>
      <c r="J699" s="11">
        <v>0</v>
      </c>
      <c r="K699" s="45">
        <f t="shared" si="71"/>
        <v>1073</v>
      </c>
      <c r="L699" s="10">
        <v>18</v>
      </c>
      <c r="M699" s="10">
        <v>1.9</v>
      </c>
      <c r="N699" s="10" t="b">
        <v>0</v>
      </c>
      <c r="O699" s="41"/>
      <c r="P699" s="45">
        <f t="shared" si="72"/>
        <v>450.65999999999997</v>
      </c>
      <c r="Q699" s="45">
        <f t="shared" si="73"/>
        <v>622.34</v>
      </c>
      <c r="R699" s="45">
        <v>0</v>
      </c>
      <c r="S699" s="45">
        <f t="shared" si="74"/>
        <v>0</v>
      </c>
      <c r="T699" s="45">
        <f t="shared" si="75"/>
        <v>0</v>
      </c>
      <c r="U699" s="47">
        <f t="shared" si="76"/>
        <v>622.34</v>
      </c>
    </row>
    <row r="700" spans="1:21" x14ac:dyDescent="0.3">
      <c r="A700" s="41" t="str">
        <f t="shared" si="70"/>
        <v>PUNIAC</v>
      </c>
      <c r="B700" s="43">
        <v>45578</v>
      </c>
      <c r="C700" s="10" t="s">
        <v>742</v>
      </c>
      <c r="D700" s="10" t="s">
        <v>10</v>
      </c>
      <c r="E700" s="10" t="s">
        <v>15</v>
      </c>
      <c r="F700" s="10" t="s">
        <v>23</v>
      </c>
      <c r="G700" s="10" t="s">
        <v>7</v>
      </c>
      <c r="H700" s="10" t="s">
        <v>6</v>
      </c>
      <c r="I700" s="45">
        <v>460</v>
      </c>
      <c r="J700" s="11">
        <v>0</v>
      </c>
      <c r="K700" s="45">
        <f t="shared" si="71"/>
        <v>460</v>
      </c>
      <c r="L700" s="10">
        <v>39</v>
      </c>
      <c r="M700" s="10"/>
      <c r="N700" s="10" t="b">
        <v>0</v>
      </c>
      <c r="O700" s="41"/>
      <c r="P700" s="45">
        <f t="shared" si="72"/>
        <v>193.2</v>
      </c>
      <c r="Q700" s="45">
        <f t="shared" si="73"/>
        <v>266.8</v>
      </c>
      <c r="R700" s="45">
        <v>0</v>
      </c>
      <c r="S700" s="45">
        <f t="shared" si="74"/>
        <v>0</v>
      </c>
      <c r="T700" s="45">
        <f t="shared" si="75"/>
        <v>0</v>
      </c>
      <c r="U700" s="47">
        <f t="shared" si="76"/>
        <v>266.8</v>
      </c>
    </row>
    <row r="701" spans="1:21" x14ac:dyDescent="0.3">
      <c r="A701" s="41" t="str">
        <f t="shared" si="70"/>
        <v>PH&amp;MTO</v>
      </c>
      <c r="B701" s="43">
        <v>45579</v>
      </c>
      <c r="C701" s="10" t="s">
        <v>743</v>
      </c>
      <c r="D701" s="10" t="s">
        <v>37</v>
      </c>
      <c r="E701" s="10" t="s">
        <v>9</v>
      </c>
      <c r="F701" s="10" t="s">
        <v>11</v>
      </c>
      <c r="G701" s="10" t="s">
        <v>12</v>
      </c>
      <c r="H701" s="10" t="s">
        <v>47</v>
      </c>
      <c r="I701" s="45">
        <v>1756</v>
      </c>
      <c r="J701" s="11">
        <v>0</v>
      </c>
      <c r="K701" s="45">
        <f t="shared" si="71"/>
        <v>1756</v>
      </c>
      <c r="L701" s="10">
        <v>31</v>
      </c>
      <c r="M701" s="10">
        <v>3.8</v>
      </c>
      <c r="N701" s="10" t="b">
        <v>1</v>
      </c>
      <c r="O701" s="41" t="s">
        <v>24</v>
      </c>
      <c r="P701" s="45">
        <f t="shared" si="72"/>
        <v>737.52</v>
      </c>
      <c r="Q701" s="45">
        <f t="shared" si="73"/>
        <v>1018.48</v>
      </c>
      <c r="R701" s="45">
        <v>150</v>
      </c>
      <c r="S701" s="45">
        <f t="shared" si="74"/>
        <v>175.60000000000002</v>
      </c>
      <c r="T701" s="45">
        <f t="shared" si="75"/>
        <v>1756</v>
      </c>
      <c r="U701" s="47">
        <f t="shared" si="76"/>
        <v>-1063.1199999999999</v>
      </c>
    </row>
    <row r="702" spans="1:21" x14ac:dyDescent="0.3">
      <c r="A702" s="41" t="str">
        <f t="shared" si="70"/>
        <v>PH&amp;MBO</v>
      </c>
      <c r="B702" s="43">
        <v>45579</v>
      </c>
      <c r="C702" s="10" t="s">
        <v>744</v>
      </c>
      <c r="D702" s="10" t="s">
        <v>37</v>
      </c>
      <c r="E702" s="10" t="s">
        <v>26</v>
      </c>
      <c r="F702" s="10" t="s">
        <v>4</v>
      </c>
      <c r="G702" s="10" t="s">
        <v>46</v>
      </c>
      <c r="H702" s="10" t="s">
        <v>88</v>
      </c>
      <c r="I702" s="45">
        <v>2889</v>
      </c>
      <c r="J702" s="11">
        <v>0</v>
      </c>
      <c r="K702" s="45">
        <f t="shared" si="71"/>
        <v>2889</v>
      </c>
      <c r="L702" s="10">
        <v>5</v>
      </c>
      <c r="M702" s="10">
        <v>3.5</v>
      </c>
      <c r="N702" s="10" t="b">
        <v>1</v>
      </c>
      <c r="O702" s="41" t="s">
        <v>33</v>
      </c>
      <c r="P702" s="45">
        <f t="shared" si="72"/>
        <v>1213.3799999999999</v>
      </c>
      <c r="Q702" s="45">
        <f t="shared" si="73"/>
        <v>1675.6200000000001</v>
      </c>
      <c r="R702" s="45">
        <v>150</v>
      </c>
      <c r="S702" s="45">
        <f t="shared" si="74"/>
        <v>288.90000000000003</v>
      </c>
      <c r="T702" s="45">
        <f t="shared" si="75"/>
        <v>2889</v>
      </c>
      <c r="U702" s="47">
        <f t="shared" si="76"/>
        <v>-1652.28</v>
      </c>
    </row>
    <row r="703" spans="1:21" x14ac:dyDescent="0.3">
      <c r="A703" s="41" t="str">
        <f t="shared" si="70"/>
        <v>PH&amp;MAC</v>
      </c>
      <c r="B703" s="43">
        <v>45579</v>
      </c>
      <c r="C703" s="10" t="s">
        <v>745</v>
      </c>
      <c r="D703" s="10" t="s">
        <v>37</v>
      </c>
      <c r="E703" s="10" t="s">
        <v>15</v>
      </c>
      <c r="F703" s="10" t="s">
        <v>54</v>
      </c>
      <c r="G703" s="10" t="s">
        <v>7</v>
      </c>
      <c r="H703" s="10" t="s">
        <v>28</v>
      </c>
      <c r="I703" s="45">
        <v>296</v>
      </c>
      <c r="J703" s="11">
        <v>0</v>
      </c>
      <c r="K703" s="45">
        <f t="shared" si="71"/>
        <v>296</v>
      </c>
      <c r="L703" s="10">
        <v>1</v>
      </c>
      <c r="M703" s="10">
        <v>1.8</v>
      </c>
      <c r="N703" s="10" t="b">
        <v>1</v>
      </c>
      <c r="O703" s="41" t="s">
        <v>33</v>
      </c>
      <c r="P703" s="45">
        <f t="shared" si="72"/>
        <v>124.32</v>
      </c>
      <c r="Q703" s="45">
        <f t="shared" si="73"/>
        <v>171.68</v>
      </c>
      <c r="R703" s="45">
        <v>150</v>
      </c>
      <c r="S703" s="45">
        <f t="shared" si="74"/>
        <v>29.6</v>
      </c>
      <c r="T703" s="45">
        <f t="shared" si="75"/>
        <v>296</v>
      </c>
      <c r="U703" s="47">
        <f t="shared" si="76"/>
        <v>-303.92</v>
      </c>
    </row>
    <row r="704" spans="1:21" x14ac:dyDescent="0.3">
      <c r="A704" s="41" t="str">
        <f t="shared" si="70"/>
        <v>PMANAC</v>
      </c>
      <c r="B704" s="43">
        <v>45579</v>
      </c>
      <c r="C704" s="10" t="s">
        <v>746</v>
      </c>
      <c r="D704" s="10" t="s">
        <v>31</v>
      </c>
      <c r="E704" s="10" t="s">
        <v>15</v>
      </c>
      <c r="F704" s="10" t="s">
        <v>4</v>
      </c>
      <c r="G704" s="10" t="s">
        <v>7</v>
      </c>
      <c r="H704" s="10" t="s">
        <v>16</v>
      </c>
      <c r="I704" s="45">
        <v>442</v>
      </c>
      <c r="J704" s="11">
        <v>0.34899999999999998</v>
      </c>
      <c r="K704" s="45">
        <f t="shared" si="71"/>
        <v>287.74200000000002</v>
      </c>
      <c r="L704" s="10">
        <v>11</v>
      </c>
      <c r="M704" s="10"/>
      <c r="N704" s="10" t="b">
        <v>1</v>
      </c>
      <c r="O704" s="41" t="s">
        <v>44</v>
      </c>
      <c r="P704" s="45">
        <f t="shared" si="72"/>
        <v>120.85164</v>
      </c>
      <c r="Q704" s="45">
        <f t="shared" si="73"/>
        <v>166.89036000000002</v>
      </c>
      <c r="R704" s="45">
        <v>150</v>
      </c>
      <c r="S704" s="45">
        <f t="shared" si="74"/>
        <v>28.774200000000004</v>
      </c>
      <c r="T704" s="45">
        <f t="shared" si="75"/>
        <v>287.74200000000002</v>
      </c>
      <c r="U704" s="47">
        <f t="shared" si="76"/>
        <v>-299.62583999999998</v>
      </c>
    </row>
    <row r="705" spans="1:21" x14ac:dyDescent="0.3">
      <c r="A705" s="41" t="str">
        <f t="shared" si="70"/>
        <v>PFORTO</v>
      </c>
      <c r="B705" s="43">
        <v>45580</v>
      </c>
      <c r="C705" s="10" t="s">
        <v>747</v>
      </c>
      <c r="D705" s="10" t="s">
        <v>65</v>
      </c>
      <c r="E705" s="10" t="s">
        <v>9</v>
      </c>
      <c r="F705" s="10" t="s">
        <v>54</v>
      </c>
      <c r="G705" s="10" t="s">
        <v>7</v>
      </c>
      <c r="H705" s="10" t="s">
        <v>6</v>
      </c>
      <c r="I705" s="45">
        <v>1743</v>
      </c>
      <c r="J705" s="11">
        <v>0</v>
      </c>
      <c r="K705" s="45">
        <f t="shared" si="71"/>
        <v>1743</v>
      </c>
      <c r="L705" s="10">
        <v>20</v>
      </c>
      <c r="M705" s="10">
        <v>3</v>
      </c>
      <c r="N705" s="10" t="b">
        <v>1</v>
      </c>
      <c r="O705" s="41" t="s">
        <v>33</v>
      </c>
      <c r="P705" s="45">
        <f t="shared" si="72"/>
        <v>732.06</v>
      </c>
      <c r="Q705" s="45">
        <f t="shared" si="73"/>
        <v>1010.94</v>
      </c>
      <c r="R705" s="45">
        <v>150</v>
      </c>
      <c r="S705" s="45">
        <f t="shared" si="74"/>
        <v>174.3</v>
      </c>
      <c r="T705" s="45">
        <f t="shared" si="75"/>
        <v>1743</v>
      </c>
      <c r="U705" s="47">
        <f t="shared" si="76"/>
        <v>-1056.3599999999999</v>
      </c>
    </row>
    <row r="706" spans="1:21" x14ac:dyDescent="0.3">
      <c r="A706" s="41" t="str">
        <f t="shared" ref="A706:A769" si="77">UPPER("P"&amp;LEFT(D706,3)&amp;LEFT(E706,2))</f>
        <v>PANNBO</v>
      </c>
      <c r="B706" s="43">
        <v>45580</v>
      </c>
      <c r="C706" s="10" t="s">
        <v>748</v>
      </c>
      <c r="D706" s="10" t="s">
        <v>42</v>
      </c>
      <c r="E706" s="10" t="s">
        <v>26</v>
      </c>
      <c r="F706" s="10" t="s">
        <v>4</v>
      </c>
      <c r="G706" s="10" t="s">
        <v>7</v>
      </c>
      <c r="H706" s="10" t="s">
        <v>56</v>
      </c>
      <c r="I706" s="45">
        <v>2656</v>
      </c>
      <c r="J706" s="11">
        <v>0</v>
      </c>
      <c r="K706" s="45">
        <f t="shared" si="71"/>
        <v>2656</v>
      </c>
      <c r="L706" s="10">
        <v>35</v>
      </c>
      <c r="M706" s="10">
        <v>3.3</v>
      </c>
      <c r="N706" s="10" t="b">
        <v>1</v>
      </c>
      <c r="O706" s="41" t="s">
        <v>33</v>
      </c>
      <c r="P706" s="45">
        <f t="shared" si="72"/>
        <v>1115.52</v>
      </c>
      <c r="Q706" s="45">
        <f t="shared" si="73"/>
        <v>1540.48</v>
      </c>
      <c r="R706" s="45">
        <v>150</v>
      </c>
      <c r="S706" s="45">
        <f t="shared" si="74"/>
        <v>265.60000000000002</v>
      </c>
      <c r="T706" s="45">
        <f t="shared" si="75"/>
        <v>2656</v>
      </c>
      <c r="U706" s="47">
        <f t="shared" si="76"/>
        <v>-1531.12</v>
      </c>
    </row>
    <row r="707" spans="1:21" x14ac:dyDescent="0.3">
      <c r="A707" s="41" t="str">
        <f t="shared" si="77"/>
        <v>PMANBO</v>
      </c>
      <c r="B707" s="43">
        <v>45580</v>
      </c>
      <c r="C707" s="10" t="s">
        <v>749</v>
      </c>
      <c r="D707" s="10" t="s">
        <v>31</v>
      </c>
      <c r="E707" s="10" t="s">
        <v>26</v>
      </c>
      <c r="F707" s="10" t="s">
        <v>54</v>
      </c>
      <c r="G707" s="10" t="s">
        <v>38</v>
      </c>
      <c r="H707" s="10" t="s">
        <v>88</v>
      </c>
      <c r="I707" s="45">
        <v>2205</v>
      </c>
      <c r="J707" s="11">
        <v>0</v>
      </c>
      <c r="K707" s="45">
        <f t="shared" ref="K707:K770" si="78">I707*(1-J707)</f>
        <v>2205</v>
      </c>
      <c r="L707" s="10">
        <v>28</v>
      </c>
      <c r="M707" s="10">
        <v>1.5</v>
      </c>
      <c r="N707" s="10" t="b">
        <v>0</v>
      </c>
      <c r="O707" s="41"/>
      <c r="P707" s="45">
        <f t="shared" ref="P707:P770" si="79">K707*0.42</f>
        <v>926.09999999999991</v>
      </c>
      <c r="Q707" s="45">
        <f t="shared" ref="Q707:Q770" si="80">K707-P707</f>
        <v>1278.9000000000001</v>
      </c>
      <c r="R707" s="45">
        <v>0</v>
      </c>
      <c r="S707" s="45">
        <f t="shared" ref="S707:S770" si="81">IF(N707=TRUE,K707*0.1,0)</f>
        <v>0</v>
      </c>
      <c r="T707" s="45">
        <f t="shared" ref="T707:T770" si="82">IF(N707=TRUE,K707,0)</f>
        <v>0</v>
      </c>
      <c r="U707" s="47">
        <f t="shared" ref="U707:U770" si="83">Q707-R707-S707-T707</f>
        <v>1278.9000000000001</v>
      </c>
    </row>
    <row r="708" spans="1:21" x14ac:dyDescent="0.3">
      <c r="A708" s="41" t="str">
        <f t="shared" si="77"/>
        <v>PUNIAC</v>
      </c>
      <c r="B708" s="43">
        <v>45580</v>
      </c>
      <c r="C708" s="10" t="s">
        <v>750</v>
      </c>
      <c r="D708" s="10" t="s">
        <v>10</v>
      </c>
      <c r="E708" s="10" t="s">
        <v>15</v>
      </c>
      <c r="F708" s="10" t="s">
        <v>11</v>
      </c>
      <c r="G708" s="10" t="s">
        <v>7</v>
      </c>
      <c r="H708" s="10" t="s">
        <v>32</v>
      </c>
      <c r="I708" s="45">
        <v>476</v>
      </c>
      <c r="J708" s="11">
        <v>7.9000000000000001E-2</v>
      </c>
      <c r="K708" s="45">
        <f t="shared" si="78"/>
        <v>438.39600000000002</v>
      </c>
      <c r="L708" s="10">
        <v>43</v>
      </c>
      <c r="M708" s="10">
        <v>4.7</v>
      </c>
      <c r="N708" s="10" t="b">
        <v>1</v>
      </c>
      <c r="O708" s="41" t="s">
        <v>33</v>
      </c>
      <c r="P708" s="45">
        <f t="shared" si="79"/>
        <v>184.12631999999999</v>
      </c>
      <c r="Q708" s="45">
        <f t="shared" si="80"/>
        <v>254.26968000000002</v>
      </c>
      <c r="R708" s="45">
        <v>150</v>
      </c>
      <c r="S708" s="45">
        <f t="shared" si="81"/>
        <v>43.839600000000004</v>
      </c>
      <c r="T708" s="45">
        <f t="shared" si="82"/>
        <v>438.39600000000002</v>
      </c>
      <c r="U708" s="47">
        <f t="shared" si="83"/>
        <v>-377.96591999999998</v>
      </c>
    </row>
    <row r="709" spans="1:21" x14ac:dyDescent="0.3">
      <c r="A709" s="41" t="str">
        <f t="shared" si="77"/>
        <v>PMANDR</v>
      </c>
      <c r="B709" s="43">
        <v>45581</v>
      </c>
      <c r="C709" s="10" t="s">
        <v>751</v>
      </c>
      <c r="D709" s="10" t="s">
        <v>31</v>
      </c>
      <c r="E709" s="10" t="s">
        <v>30</v>
      </c>
      <c r="F709" s="10" t="s">
        <v>54</v>
      </c>
      <c r="G709" s="10" t="s">
        <v>46</v>
      </c>
      <c r="H709" s="10" t="s">
        <v>56</v>
      </c>
      <c r="I709" s="45">
        <v>2696</v>
      </c>
      <c r="J709" s="11">
        <v>0</v>
      </c>
      <c r="K709" s="45">
        <f t="shared" si="78"/>
        <v>2696</v>
      </c>
      <c r="L709" s="10">
        <v>24</v>
      </c>
      <c r="M709" s="10">
        <v>3.9</v>
      </c>
      <c r="N709" s="10" t="b">
        <v>0</v>
      </c>
      <c r="O709" s="41"/>
      <c r="P709" s="45">
        <f t="shared" si="79"/>
        <v>1132.32</v>
      </c>
      <c r="Q709" s="45">
        <f t="shared" si="80"/>
        <v>1563.68</v>
      </c>
      <c r="R709" s="45">
        <v>0</v>
      </c>
      <c r="S709" s="45">
        <f t="shared" si="81"/>
        <v>0</v>
      </c>
      <c r="T709" s="45">
        <f t="shared" si="82"/>
        <v>0</v>
      </c>
      <c r="U709" s="47">
        <f t="shared" si="83"/>
        <v>1563.68</v>
      </c>
    </row>
    <row r="710" spans="1:21" x14ac:dyDescent="0.3">
      <c r="A710" s="41" t="str">
        <f t="shared" si="77"/>
        <v>PFORBO</v>
      </c>
      <c r="B710" s="43">
        <v>45581</v>
      </c>
      <c r="C710" s="10" t="s">
        <v>752</v>
      </c>
      <c r="D710" s="10" t="s">
        <v>65</v>
      </c>
      <c r="E710" s="10" t="s">
        <v>26</v>
      </c>
      <c r="F710" s="10" t="s">
        <v>54</v>
      </c>
      <c r="G710" s="10" t="s">
        <v>49</v>
      </c>
      <c r="H710" s="10" t="s">
        <v>58</v>
      </c>
      <c r="I710" s="45">
        <v>2462</v>
      </c>
      <c r="J710" s="11">
        <v>0.35399999999999998</v>
      </c>
      <c r="K710" s="45">
        <f t="shared" si="78"/>
        <v>1590.452</v>
      </c>
      <c r="L710" s="10">
        <v>17</v>
      </c>
      <c r="M710" s="10"/>
      <c r="N710" s="10" t="b">
        <v>0</v>
      </c>
      <c r="O710" s="41"/>
      <c r="P710" s="45">
        <f t="shared" si="79"/>
        <v>667.98983999999996</v>
      </c>
      <c r="Q710" s="45">
        <f t="shared" si="80"/>
        <v>922.46216000000004</v>
      </c>
      <c r="R710" s="45">
        <v>0</v>
      </c>
      <c r="S710" s="45">
        <f t="shared" si="81"/>
        <v>0</v>
      </c>
      <c r="T710" s="45">
        <f t="shared" si="82"/>
        <v>0</v>
      </c>
      <c r="U710" s="47">
        <f t="shared" si="83"/>
        <v>922.46216000000004</v>
      </c>
    </row>
    <row r="711" spans="1:21" x14ac:dyDescent="0.3">
      <c r="A711" s="41" t="str">
        <f t="shared" si="77"/>
        <v>PZARTO</v>
      </c>
      <c r="B711" s="43">
        <v>45581</v>
      </c>
      <c r="C711" s="10" t="s">
        <v>753</v>
      </c>
      <c r="D711" s="10" t="s">
        <v>3</v>
      </c>
      <c r="E711" s="10" t="s">
        <v>9</v>
      </c>
      <c r="F711" s="10" t="s">
        <v>23</v>
      </c>
      <c r="G711" s="10" t="s">
        <v>49</v>
      </c>
      <c r="H711" s="10" t="s">
        <v>43</v>
      </c>
      <c r="I711" s="45">
        <v>1611</v>
      </c>
      <c r="J711" s="11">
        <v>0.19699999999999998</v>
      </c>
      <c r="K711" s="45">
        <f t="shared" si="78"/>
        <v>1293.633</v>
      </c>
      <c r="L711" s="10">
        <v>39</v>
      </c>
      <c r="M711" s="10">
        <v>1.3</v>
      </c>
      <c r="N711" s="10" t="b">
        <v>0</v>
      </c>
      <c r="O711" s="41"/>
      <c r="P711" s="45">
        <f t="shared" si="79"/>
        <v>543.32586000000003</v>
      </c>
      <c r="Q711" s="45">
        <f t="shared" si="80"/>
        <v>750.30714</v>
      </c>
      <c r="R711" s="45">
        <v>0</v>
      </c>
      <c r="S711" s="45">
        <f t="shared" si="81"/>
        <v>0</v>
      </c>
      <c r="T711" s="45">
        <f t="shared" si="82"/>
        <v>0</v>
      </c>
      <c r="U711" s="47">
        <f t="shared" si="83"/>
        <v>750.30714</v>
      </c>
    </row>
    <row r="712" spans="1:21" x14ac:dyDescent="0.3">
      <c r="A712" s="41" t="str">
        <f t="shared" si="77"/>
        <v>PANNAC</v>
      </c>
      <c r="B712" s="43">
        <v>45582</v>
      </c>
      <c r="C712" s="10" t="s">
        <v>754</v>
      </c>
      <c r="D712" s="10" t="s">
        <v>42</v>
      </c>
      <c r="E712" s="10" t="s">
        <v>15</v>
      </c>
      <c r="F712" s="10" t="s">
        <v>4</v>
      </c>
      <c r="G712" s="10" t="s">
        <v>7</v>
      </c>
      <c r="H712" s="10" t="s">
        <v>16</v>
      </c>
      <c r="I712" s="45">
        <v>351</v>
      </c>
      <c r="J712" s="11">
        <v>0.45399999999999996</v>
      </c>
      <c r="K712" s="45">
        <f t="shared" si="78"/>
        <v>191.64600000000002</v>
      </c>
      <c r="L712" s="10">
        <v>46</v>
      </c>
      <c r="M712" s="10"/>
      <c r="N712" s="10" t="b">
        <v>0</v>
      </c>
      <c r="O712" s="41"/>
      <c r="P712" s="45">
        <f t="shared" si="79"/>
        <v>80.491320000000002</v>
      </c>
      <c r="Q712" s="45">
        <f t="shared" si="80"/>
        <v>111.15468000000001</v>
      </c>
      <c r="R712" s="45">
        <v>0</v>
      </c>
      <c r="S712" s="45">
        <f t="shared" si="81"/>
        <v>0</v>
      </c>
      <c r="T712" s="45">
        <f t="shared" si="82"/>
        <v>0</v>
      </c>
      <c r="U712" s="47">
        <f t="shared" si="83"/>
        <v>111.15468000000001</v>
      </c>
    </row>
    <row r="713" spans="1:21" x14ac:dyDescent="0.3">
      <c r="A713" s="41" t="str">
        <f t="shared" si="77"/>
        <v>PBANOU</v>
      </c>
      <c r="B713" s="43">
        <v>45582</v>
      </c>
      <c r="C713" s="10" t="s">
        <v>755</v>
      </c>
      <c r="D713" s="10" t="s">
        <v>21</v>
      </c>
      <c r="E713" s="10" t="s">
        <v>2</v>
      </c>
      <c r="F713" s="10" t="s">
        <v>54</v>
      </c>
      <c r="G713" s="10" t="s">
        <v>12</v>
      </c>
      <c r="H713" s="10" t="s">
        <v>58</v>
      </c>
      <c r="I713" s="45">
        <v>3652</v>
      </c>
      <c r="J713" s="11">
        <v>0</v>
      </c>
      <c r="K713" s="45">
        <f t="shared" si="78"/>
        <v>3652</v>
      </c>
      <c r="L713" s="10">
        <v>41</v>
      </c>
      <c r="M713" s="10">
        <v>2.7</v>
      </c>
      <c r="N713" s="10" t="b">
        <v>1</v>
      </c>
      <c r="O713" s="41" t="s">
        <v>33</v>
      </c>
      <c r="P713" s="45">
        <f t="shared" si="79"/>
        <v>1533.84</v>
      </c>
      <c r="Q713" s="45">
        <f t="shared" si="80"/>
        <v>2118.16</v>
      </c>
      <c r="R713" s="45">
        <v>150</v>
      </c>
      <c r="S713" s="45">
        <f t="shared" si="81"/>
        <v>365.20000000000005</v>
      </c>
      <c r="T713" s="45">
        <f t="shared" si="82"/>
        <v>3652</v>
      </c>
      <c r="U713" s="47">
        <f t="shared" si="83"/>
        <v>-2049.04</v>
      </c>
    </row>
    <row r="714" spans="1:21" x14ac:dyDescent="0.3">
      <c r="A714" s="41" t="str">
        <f t="shared" si="77"/>
        <v>PBANTO</v>
      </c>
      <c r="B714" s="43">
        <v>45582</v>
      </c>
      <c r="C714" s="10" t="s">
        <v>756</v>
      </c>
      <c r="D714" s="10" t="s">
        <v>21</v>
      </c>
      <c r="E714" s="10" t="s">
        <v>9</v>
      </c>
      <c r="F714" s="10" t="s">
        <v>54</v>
      </c>
      <c r="G714" s="10" t="s">
        <v>38</v>
      </c>
      <c r="H714" s="10" t="s">
        <v>58</v>
      </c>
      <c r="I714" s="45">
        <v>1769</v>
      </c>
      <c r="J714" s="11">
        <v>0.35799999999999998</v>
      </c>
      <c r="K714" s="45">
        <f t="shared" si="78"/>
        <v>1135.6980000000001</v>
      </c>
      <c r="L714" s="10">
        <v>2</v>
      </c>
      <c r="M714" s="10">
        <v>4.9000000000000004</v>
      </c>
      <c r="N714" s="10" t="b">
        <v>0</v>
      </c>
      <c r="O714" s="41"/>
      <c r="P714" s="45">
        <f t="shared" si="79"/>
        <v>476.99316000000005</v>
      </c>
      <c r="Q714" s="45">
        <f t="shared" si="80"/>
        <v>658.7048400000001</v>
      </c>
      <c r="R714" s="45">
        <v>0</v>
      </c>
      <c r="S714" s="45">
        <f t="shared" si="81"/>
        <v>0</v>
      </c>
      <c r="T714" s="45">
        <f t="shared" si="82"/>
        <v>0</v>
      </c>
      <c r="U714" s="47">
        <f t="shared" si="83"/>
        <v>658.7048400000001</v>
      </c>
    </row>
    <row r="715" spans="1:21" x14ac:dyDescent="0.3">
      <c r="A715" s="41" t="str">
        <f t="shared" si="77"/>
        <v>PANNBO</v>
      </c>
      <c r="B715" s="43">
        <v>45582</v>
      </c>
      <c r="C715" s="10" t="s">
        <v>757</v>
      </c>
      <c r="D715" s="10" t="s">
        <v>42</v>
      </c>
      <c r="E715" s="10" t="s">
        <v>26</v>
      </c>
      <c r="F715" s="10" t="s">
        <v>4</v>
      </c>
      <c r="G715" s="10" t="s">
        <v>27</v>
      </c>
      <c r="H715" s="10" t="s">
        <v>56</v>
      </c>
      <c r="I715" s="45">
        <v>2027</v>
      </c>
      <c r="J715" s="11">
        <v>0</v>
      </c>
      <c r="K715" s="45">
        <f t="shared" si="78"/>
        <v>2027</v>
      </c>
      <c r="L715" s="10">
        <v>27</v>
      </c>
      <c r="M715" s="10">
        <v>1.8</v>
      </c>
      <c r="N715" s="10" t="b">
        <v>0</v>
      </c>
      <c r="O715" s="41"/>
      <c r="P715" s="45">
        <f t="shared" si="79"/>
        <v>851.33999999999992</v>
      </c>
      <c r="Q715" s="45">
        <f t="shared" si="80"/>
        <v>1175.6600000000001</v>
      </c>
      <c r="R715" s="45">
        <v>0</v>
      </c>
      <c r="S715" s="45">
        <f t="shared" si="81"/>
        <v>0</v>
      </c>
      <c r="T715" s="45">
        <f t="shared" si="82"/>
        <v>0</v>
      </c>
      <c r="U715" s="47">
        <f t="shared" si="83"/>
        <v>1175.6600000000001</v>
      </c>
    </row>
    <row r="716" spans="1:21" x14ac:dyDescent="0.3">
      <c r="A716" s="41" t="str">
        <f t="shared" si="77"/>
        <v>PZAROU</v>
      </c>
      <c r="B716" s="43">
        <v>45583</v>
      </c>
      <c r="C716" s="10" t="s">
        <v>758</v>
      </c>
      <c r="D716" s="10" t="s">
        <v>3</v>
      </c>
      <c r="E716" s="10" t="s">
        <v>2</v>
      </c>
      <c r="F716" s="10" t="s">
        <v>23</v>
      </c>
      <c r="G716" s="10" t="s">
        <v>38</v>
      </c>
      <c r="H716" s="10" t="s">
        <v>35</v>
      </c>
      <c r="I716" s="45">
        <v>3768</v>
      </c>
      <c r="J716" s="11">
        <v>0</v>
      </c>
      <c r="K716" s="45">
        <f t="shared" si="78"/>
        <v>3768</v>
      </c>
      <c r="L716" s="10">
        <v>27</v>
      </c>
      <c r="M716" s="10">
        <v>3.1</v>
      </c>
      <c r="N716" s="10" t="b">
        <v>1</v>
      </c>
      <c r="O716" s="41" t="s">
        <v>33</v>
      </c>
      <c r="P716" s="45">
        <f t="shared" si="79"/>
        <v>1582.56</v>
      </c>
      <c r="Q716" s="45">
        <f t="shared" si="80"/>
        <v>2185.44</v>
      </c>
      <c r="R716" s="45">
        <v>150</v>
      </c>
      <c r="S716" s="45">
        <f t="shared" si="81"/>
        <v>376.8</v>
      </c>
      <c r="T716" s="45">
        <f t="shared" si="82"/>
        <v>3768</v>
      </c>
      <c r="U716" s="47">
        <f t="shared" si="83"/>
        <v>-2109.3599999999997</v>
      </c>
    </row>
    <row r="717" spans="1:21" x14ac:dyDescent="0.3">
      <c r="A717" s="41" t="str">
        <f t="shared" si="77"/>
        <v>PUNIDR</v>
      </c>
      <c r="B717" s="43">
        <v>45583</v>
      </c>
      <c r="C717" s="10" t="s">
        <v>759</v>
      </c>
      <c r="D717" s="10" t="s">
        <v>10</v>
      </c>
      <c r="E717" s="10" t="s">
        <v>30</v>
      </c>
      <c r="F717" s="10" t="s">
        <v>11</v>
      </c>
      <c r="G717" s="10" t="s">
        <v>5</v>
      </c>
      <c r="H717" s="10" t="s">
        <v>28</v>
      </c>
      <c r="I717" s="45">
        <v>1930</v>
      </c>
      <c r="J717" s="11">
        <v>0.27800000000000002</v>
      </c>
      <c r="K717" s="45">
        <f t="shared" si="78"/>
        <v>1393.46</v>
      </c>
      <c r="L717" s="10">
        <v>0</v>
      </c>
      <c r="M717" s="10">
        <v>4.0999999999999996</v>
      </c>
      <c r="N717" s="10" t="b">
        <v>0</v>
      </c>
      <c r="O717" s="41"/>
      <c r="P717" s="45">
        <f t="shared" si="79"/>
        <v>585.25319999999999</v>
      </c>
      <c r="Q717" s="45">
        <f t="shared" si="80"/>
        <v>808.20680000000004</v>
      </c>
      <c r="R717" s="45">
        <v>0</v>
      </c>
      <c r="S717" s="45">
        <f t="shared" si="81"/>
        <v>0</v>
      </c>
      <c r="T717" s="45">
        <f t="shared" si="82"/>
        <v>0</v>
      </c>
      <c r="U717" s="47">
        <f t="shared" si="83"/>
        <v>808.20680000000004</v>
      </c>
    </row>
    <row r="718" spans="1:21" x14ac:dyDescent="0.3">
      <c r="A718" s="41" t="str">
        <f t="shared" si="77"/>
        <v>PFOROU</v>
      </c>
      <c r="B718" s="43">
        <v>45583</v>
      </c>
      <c r="C718" s="10" t="s">
        <v>760</v>
      </c>
      <c r="D718" s="10" t="s">
        <v>65</v>
      </c>
      <c r="E718" s="10" t="s">
        <v>2</v>
      </c>
      <c r="F718" s="10" t="s">
        <v>23</v>
      </c>
      <c r="G718" s="10" t="s">
        <v>12</v>
      </c>
      <c r="H718" s="10" t="s">
        <v>13</v>
      </c>
      <c r="I718" s="45">
        <v>3516</v>
      </c>
      <c r="J718" s="11">
        <v>0</v>
      </c>
      <c r="K718" s="45">
        <f t="shared" si="78"/>
        <v>3516</v>
      </c>
      <c r="L718" s="10">
        <v>19</v>
      </c>
      <c r="M718" s="10">
        <v>1.5</v>
      </c>
      <c r="N718" s="10" t="b">
        <v>1</v>
      </c>
      <c r="O718" s="41" t="s">
        <v>50</v>
      </c>
      <c r="P718" s="45">
        <f t="shared" si="79"/>
        <v>1476.72</v>
      </c>
      <c r="Q718" s="45">
        <f t="shared" si="80"/>
        <v>2039.28</v>
      </c>
      <c r="R718" s="45">
        <v>150</v>
      </c>
      <c r="S718" s="45">
        <f t="shared" si="81"/>
        <v>351.6</v>
      </c>
      <c r="T718" s="45">
        <f t="shared" si="82"/>
        <v>3516</v>
      </c>
      <c r="U718" s="47">
        <f t="shared" si="83"/>
        <v>-1978.3200000000002</v>
      </c>
    </row>
    <row r="719" spans="1:21" x14ac:dyDescent="0.3">
      <c r="A719" s="41" t="str">
        <f t="shared" si="77"/>
        <v>PBANOU</v>
      </c>
      <c r="B719" s="43">
        <v>45583</v>
      </c>
      <c r="C719" s="10" t="s">
        <v>761</v>
      </c>
      <c r="D719" s="10" t="s">
        <v>21</v>
      </c>
      <c r="E719" s="10" t="s">
        <v>2</v>
      </c>
      <c r="F719" s="10" t="s">
        <v>11</v>
      </c>
      <c r="G719" s="10" t="s">
        <v>7</v>
      </c>
      <c r="H719" s="10" t="s">
        <v>35</v>
      </c>
      <c r="I719" s="45">
        <v>4495</v>
      </c>
      <c r="J719" s="11">
        <v>0.43700000000000006</v>
      </c>
      <c r="K719" s="45">
        <f t="shared" si="78"/>
        <v>2530.6849999999999</v>
      </c>
      <c r="L719" s="10">
        <v>30</v>
      </c>
      <c r="M719" s="10">
        <v>3.2</v>
      </c>
      <c r="N719" s="10" t="b">
        <v>0</v>
      </c>
      <c r="O719" s="41"/>
      <c r="P719" s="45">
        <f t="shared" si="79"/>
        <v>1062.8877</v>
      </c>
      <c r="Q719" s="45">
        <f t="shared" si="80"/>
        <v>1467.7973</v>
      </c>
      <c r="R719" s="45">
        <v>0</v>
      </c>
      <c r="S719" s="45">
        <f t="shared" si="81"/>
        <v>0</v>
      </c>
      <c r="T719" s="45">
        <f t="shared" si="82"/>
        <v>0</v>
      </c>
      <c r="U719" s="47">
        <f t="shared" si="83"/>
        <v>1467.7973</v>
      </c>
    </row>
    <row r="720" spans="1:21" x14ac:dyDescent="0.3">
      <c r="A720" s="41" t="str">
        <f t="shared" si="77"/>
        <v>PUNIOU</v>
      </c>
      <c r="B720" s="43">
        <v>45583</v>
      </c>
      <c r="C720" s="10" t="s">
        <v>762</v>
      </c>
      <c r="D720" s="10" t="s">
        <v>10</v>
      </c>
      <c r="E720" s="10" t="s">
        <v>2</v>
      </c>
      <c r="F720" s="10" t="s">
        <v>54</v>
      </c>
      <c r="G720" s="10" t="s">
        <v>5</v>
      </c>
      <c r="H720" s="10" t="s">
        <v>35</v>
      </c>
      <c r="I720" s="45">
        <v>4204</v>
      </c>
      <c r="J720" s="11">
        <v>0.39700000000000002</v>
      </c>
      <c r="K720" s="45">
        <f t="shared" si="78"/>
        <v>2535.0119999999997</v>
      </c>
      <c r="L720" s="10">
        <v>20</v>
      </c>
      <c r="M720" s="10">
        <v>4.0999999999999996</v>
      </c>
      <c r="N720" s="10" t="b">
        <v>0</v>
      </c>
      <c r="O720" s="41"/>
      <c r="P720" s="45">
        <f t="shared" si="79"/>
        <v>1064.7050399999998</v>
      </c>
      <c r="Q720" s="45">
        <f t="shared" si="80"/>
        <v>1470.3069599999999</v>
      </c>
      <c r="R720" s="45">
        <v>0</v>
      </c>
      <c r="S720" s="45">
        <f t="shared" si="81"/>
        <v>0</v>
      </c>
      <c r="T720" s="45">
        <f t="shared" si="82"/>
        <v>0</v>
      </c>
      <c r="U720" s="47">
        <f t="shared" si="83"/>
        <v>1470.3069599999999</v>
      </c>
    </row>
    <row r="721" spans="1:21" x14ac:dyDescent="0.3">
      <c r="A721" s="41" t="str">
        <f t="shared" si="77"/>
        <v>PUNITO</v>
      </c>
      <c r="B721" s="43">
        <v>45584</v>
      </c>
      <c r="C721" s="10" t="s">
        <v>763</v>
      </c>
      <c r="D721" s="10" t="s">
        <v>10</v>
      </c>
      <c r="E721" s="10" t="s">
        <v>9</v>
      </c>
      <c r="F721" s="10" t="s">
        <v>23</v>
      </c>
      <c r="G721" s="10" t="s">
        <v>5</v>
      </c>
      <c r="H721" s="10" t="s">
        <v>32</v>
      </c>
      <c r="I721" s="45">
        <v>1319</v>
      </c>
      <c r="J721" s="11">
        <v>0</v>
      </c>
      <c r="K721" s="45">
        <f t="shared" si="78"/>
        <v>1319</v>
      </c>
      <c r="L721" s="10">
        <v>28</v>
      </c>
      <c r="M721" s="10"/>
      <c r="N721" s="10" t="b">
        <v>1</v>
      </c>
      <c r="O721" s="41" t="s">
        <v>33</v>
      </c>
      <c r="P721" s="45">
        <f t="shared" si="79"/>
        <v>553.98</v>
      </c>
      <c r="Q721" s="45">
        <f t="shared" si="80"/>
        <v>765.02</v>
      </c>
      <c r="R721" s="45">
        <v>150</v>
      </c>
      <c r="S721" s="45">
        <f t="shared" si="81"/>
        <v>131.9</v>
      </c>
      <c r="T721" s="45">
        <f t="shared" si="82"/>
        <v>1319</v>
      </c>
      <c r="U721" s="47">
        <f t="shared" si="83"/>
        <v>-835.88</v>
      </c>
    </row>
    <row r="722" spans="1:21" x14ac:dyDescent="0.3">
      <c r="A722" s="41" t="str">
        <f t="shared" si="77"/>
        <v>PUNITO</v>
      </c>
      <c r="B722" s="43">
        <v>45584</v>
      </c>
      <c r="C722" s="10" t="s">
        <v>764</v>
      </c>
      <c r="D722" s="10" t="s">
        <v>10</v>
      </c>
      <c r="E722" s="10" t="s">
        <v>9</v>
      </c>
      <c r="F722" s="10" t="s">
        <v>54</v>
      </c>
      <c r="G722" s="10" t="s">
        <v>12</v>
      </c>
      <c r="H722" s="10" t="s">
        <v>28</v>
      </c>
      <c r="I722" s="45">
        <v>1131</v>
      </c>
      <c r="J722" s="11">
        <v>0</v>
      </c>
      <c r="K722" s="45">
        <f t="shared" si="78"/>
        <v>1131</v>
      </c>
      <c r="L722" s="10">
        <v>21</v>
      </c>
      <c r="M722" s="10"/>
      <c r="N722" s="10" t="b">
        <v>0</v>
      </c>
      <c r="O722" s="41"/>
      <c r="P722" s="45">
        <f t="shared" si="79"/>
        <v>475.02</v>
      </c>
      <c r="Q722" s="45">
        <f t="shared" si="80"/>
        <v>655.98</v>
      </c>
      <c r="R722" s="45">
        <v>0</v>
      </c>
      <c r="S722" s="45">
        <f t="shared" si="81"/>
        <v>0</v>
      </c>
      <c r="T722" s="45">
        <f t="shared" si="82"/>
        <v>0</v>
      </c>
      <c r="U722" s="47">
        <f t="shared" si="83"/>
        <v>655.98</v>
      </c>
    </row>
    <row r="723" spans="1:21" x14ac:dyDescent="0.3">
      <c r="A723" s="41" t="str">
        <f t="shared" si="77"/>
        <v>PGAPSH</v>
      </c>
      <c r="B723" s="43">
        <v>45584</v>
      </c>
      <c r="C723" s="10" t="s">
        <v>765</v>
      </c>
      <c r="D723" s="10" t="s">
        <v>53</v>
      </c>
      <c r="E723" s="10" t="s">
        <v>18</v>
      </c>
      <c r="F723" s="10" t="s">
        <v>4</v>
      </c>
      <c r="G723" s="10" t="s">
        <v>27</v>
      </c>
      <c r="H723" s="10" t="s">
        <v>13</v>
      </c>
      <c r="I723" s="45">
        <v>3903</v>
      </c>
      <c r="J723" s="11">
        <v>0.54899999999999993</v>
      </c>
      <c r="K723" s="45">
        <f t="shared" si="78"/>
        <v>1760.2530000000002</v>
      </c>
      <c r="L723" s="10">
        <v>44</v>
      </c>
      <c r="M723" s="10">
        <v>2.2000000000000002</v>
      </c>
      <c r="N723" s="10" t="b">
        <v>0</v>
      </c>
      <c r="O723" s="41"/>
      <c r="P723" s="45">
        <f t="shared" si="79"/>
        <v>739.30626000000007</v>
      </c>
      <c r="Q723" s="45">
        <f t="shared" si="80"/>
        <v>1020.9467400000001</v>
      </c>
      <c r="R723" s="45">
        <v>0</v>
      </c>
      <c r="S723" s="45">
        <f t="shared" si="81"/>
        <v>0</v>
      </c>
      <c r="T723" s="45">
        <f t="shared" si="82"/>
        <v>0</v>
      </c>
      <c r="U723" s="47">
        <f t="shared" si="83"/>
        <v>1020.9467400000001</v>
      </c>
    </row>
    <row r="724" spans="1:21" x14ac:dyDescent="0.3">
      <c r="A724" s="41" t="str">
        <f t="shared" si="77"/>
        <v>PZARAC</v>
      </c>
      <c r="B724" s="43">
        <v>45585</v>
      </c>
      <c r="C724" s="10" t="s">
        <v>766</v>
      </c>
      <c r="D724" s="10" t="s">
        <v>3</v>
      </c>
      <c r="E724" s="10" t="s">
        <v>15</v>
      </c>
      <c r="F724" s="10" t="s">
        <v>23</v>
      </c>
      <c r="G724" s="10" t="s">
        <v>7</v>
      </c>
      <c r="H724" s="10" t="s">
        <v>32</v>
      </c>
      <c r="I724" s="45">
        <v>216</v>
      </c>
      <c r="J724" s="11">
        <v>0</v>
      </c>
      <c r="K724" s="45">
        <f t="shared" si="78"/>
        <v>216</v>
      </c>
      <c r="L724" s="10">
        <v>49</v>
      </c>
      <c r="M724" s="10">
        <v>4.2</v>
      </c>
      <c r="N724" s="10" t="b">
        <v>1</v>
      </c>
      <c r="O724" s="41" t="s">
        <v>50</v>
      </c>
      <c r="P724" s="45">
        <f t="shared" si="79"/>
        <v>90.72</v>
      </c>
      <c r="Q724" s="45">
        <f t="shared" si="80"/>
        <v>125.28</v>
      </c>
      <c r="R724" s="45">
        <v>150</v>
      </c>
      <c r="S724" s="45">
        <f t="shared" si="81"/>
        <v>21.6</v>
      </c>
      <c r="T724" s="45">
        <f t="shared" si="82"/>
        <v>216</v>
      </c>
      <c r="U724" s="47">
        <f t="shared" si="83"/>
        <v>-262.32</v>
      </c>
    </row>
    <row r="725" spans="1:21" x14ac:dyDescent="0.3">
      <c r="A725" s="41" t="str">
        <f t="shared" si="77"/>
        <v>PMANTO</v>
      </c>
      <c r="B725" s="43">
        <v>45585</v>
      </c>
      <c r="C725" s="10" t="s">
        <v>767</v>
      </c>
      <c r="D725" s="10" t="s">
        <v>31</v>
      </c>
      <c r="E725" s="10" t="s">
        <v>9</v>
      </c>
      <c r="F725" s="10" t="s">
        <v>23</v>
      </c>
      <c r="G725" s="10" t="s">
        <v>12</v>
      </c>
      <c r="H725" s="10" t="s">
        <v>13</v>
      </c>
      <c r="I725" s="45">
        <v>1429</v>
      </c>
      <c r="J725" s="11">
        <v>0</v>
      </c>
      <c r="K725" s="45">
        <f t="shared" si="78"/>
        <v>1429</v>
      </c>
      <c r="L725" s="10">
        <v>38</v>
      </c>
      <c r="M725" s="10">
        <v>3.8</v>
      </c>
      <c r="N725" s="10" t="b">
        <v>1</v>
      </c>
      <c r="O725" s="41" t="s">
        <v>33</v>
      </c>
      <c r="P725" s="45">
        <f t="shared" si="79"/>
        <v>600.17999999999995</v>
      </c>
      <c r="Q725" s="45">
        <f t="shared" si="80"/>
        <v>828.82</v>
      </c>
      <c r="R725" s="45">
        <v>150</v>
      </c>
      <c r="S725" s="45">
        <f t="shared" si="81"/>
        <v>142.9</v>
      </c>
      <c r="T725" s="45">
        <f t="shared" si="82"/>
        <v>1429</v>
      </c>
      <c r="U725" s="47">
        <f t="shared" si="83"/>
        <v>-893.07999999999993</v>
      </c>
    </row>
    <row r="726" spans="1:21" x14ac:dyDescent="0.3">
      <c r="A726" s="41" t="str">
        <f t="shared" si="77"/>
        <v>PUNIDR</v>
      </c>
      <c r="B726" s="43">
        <v>45585</v>
      </c>
      <c r="C726" s="10" t="s">
        <v>768</v>
      </c>
      <c r="D726" s="10" t="s">
        <v>10</v>
      </c>
      <c r="E726" s="10" t="s">
        <v>30</v>
      </c>
      <c r="F726" s="10" t="s">
        <v>4</v>
      </c>
      <c r="G726" s="10" t="s">
        <v>27</v>
      </c>
      <c r="H726" s="10" t="s">
        <v>6</v>
      </c>
      <c r="I726" s="45">
        <v>2435</v>
      </c>
      <c r="J726" s="11">
        <v>0</v>
      </c>
      <c r="K726" s="45">
        <f t="shared" si="78"/>
        <v>2435</v>
      </c>
      <c r="L726" s="10">
        <v>48</v>
      </c>
      <c r="M726" s="10">
        <v>3.4</v>
      </c>
      <c r="N726" s="10" t="b">
        <v>0</v>
      </c>
      <c r="O726" s="41"/>
      <c r="P726" s="45">
        <f t="shared" si="79"/>
        <v>1022.6999999999999</v>
      </c>
      <c r="Q726" s="45">
        <f t="shared" si="80"/>
        <v>1412.3000000000002</v>
      </c>
      <c r="R726" s="45">
        <v>0</v>
      </c>
      <c r="S726" s="45">
        <f t="shared" si="81"/>
        <v>0</v>
      </c>
      <c r="T726" s="45">
        <f t="shared" si="82"/>
        <v>0</v>
      </c>
      <c r="U726" s="47">
        <f t="shared" si="83"/>
        <v>1412.3000000000002</v>
      </c>
    </row>
    <row r="727" spans="1:21" x14ac:dyDescent="0.3">
      <c r="A727" s="41" t="str">
        <f t="shared" si="77"/>
        <v>PUNIOU</v>
      </c>
      <c r="B727" s="43">
        <v>45586</v>
      </c>
      <c r="C727" s="10" t="s">
        <v>769</v>
      </c>
      <c r="D727" s="10" t="s">
        <v>10</v>
      </c>
      <c r="E727" s="10" t="s">
        <v>2</v>
      </c>
      <c r="F727" s="10" t="s">
        <v>4</v>
      </c>
      <c r="G727" s="10" t="s">
        <v>46</v>
      </c>
      <c r="H727" s="10" t="s">
        <v>88</v>
      </c>
      <c r="I727" s="45">
        <v>3093</v>
      </c>
      <c r="J727" s="11">
        <v>0</v>
      </c>
      <c r="K727" s="45">
        <f t="shared" si="78"/>
        <v>3093</v>
      </c>
      <c r="L727" s="10">
        <v>42</v>
      </c>
      <c r="M727" s="10">
        <v>2.5</v>
      </c>
      <c r="N727" s="10" t="b">
        <v>0</v>
      </c>
      <c r="O727" s="41"/>
      <c r="P727" s="45">
        <f t="shared" si="79"/>
        <v>1299.06</v>
      </c>
      <c r="Q727" s="45">
        <f t="shared" si="80"/>
        <v>1793.94</v>
      </c>
      <c r="R727" s="45">
        <v>0</v>
      </c>
      <c r="S727" s="45">
        <f t="shared" si="81"/>
        <v>0</v>
      </c>
      <c r="T727" s="45">
        <f t="shared" si="82"/>
        <v>0</v>
      </c>
      <c r="U727" s="47">
        <f t="shared" si="83"/>
        <v>1793.94</v>
      </c>
    </row>
    <row r="728" spans="1:21" x14ac:dyDescent="0.3">
      <c r="A728" s="41" t="str">
        <f t="shared" si="77"/>
        <v>PFORSH</v>
      </c>
      <c r="B728" s="43">
        <v>45586</v>
      </c>
      <c r="C728" s="10" t="s">
        <v>770</v>
      </c>
      <c r="D728" s="10" t="s">
        <v>65</v>
      </c>
      <c r="E728" s="10" t="s">
        <v>18</v>
      </c>
      <c r="F728" s="10" t="s">
        <v>54</v>
      </c>
      <c r="G728" s="10" t="s">
        <v>27</v>
      </c>
      <c r="H728" s="10" t="s">
        <v>35</v>
      </c>
      <c r="I728" s="45">
        <v>4233</v>
      </c>
      <c r="J728" s="11">
        <v>0.56999999999999995</v>
      </c>
      <c r="K728" s="45">
        <f t="shared" si="78"/>
        <v>1820.1900000000003</v>
      </c>
      <c r="L728" s="10">
        <v>46</v>
      </c>
      <c r="M728" s="10"/>
      <c r="N728" s="10" t="b">
        <v>1</v>
      </c>
      <c r="O728" s="41" t="s">
        <v>33</v>
      </c>
      <c r="P728" s="45">
        <f t="shared" si="79"/>
        <v>764.47980000000007</v>
      </c>
      <c r="Q728" s="45">
        <f t="shared" si="80"/>
        <v>1055.7102000000002</v>
      </c>
      <c r="R728" s="45">
        <v>150</v>
      </c>
      <c r="S728" s="45">
        <f t="shared" si="81"/>
        <v>182.01900000000003</v>
      </c>
      <c r="T728" s="45">
        <f t="shared" si="82"/>
        <v>1820.1900000000003</v>
      </c>
      <c r="U728" s="47">
        <f t="shared" si="83"/>
        <v>-1096.4988000000001</v>
      </c>
    </row>
    <row r="729" spans="1:21" x14ac:dyDescent="0.3">
      <c r="A729" s="41" t="str">
        <f t="shared" si="77"/>
        <v>PGAPBO</v>
      </c>
      <c r="B729" s="43">
        <v>45586</v>
      </c>
      <c r="C729" s="10" t="s">
        <v>771</v>
      </c>
      <c r="D729" s="10" t="s">
        <v>53</v>
      </c>
      <c r="E729" s="10" t="s">
        <v>26</v>
      </c>
      <c r="F729" s="10" t="s">
        <v>11</v>
      </c>
      <c r="G729" s="10" t="s">
        <v>27</v>
      </c>
      <c r="H729" s="10" t="s">
        <v>43</v>
      </c>
      <c r="I729" s="45">
        <v>2476</v>
      </c>
      <c r="J729" s="11">
        <v>0</v>
      </c>
      <c r="K729" s="45">
        <f t="shared" si="78"/>
        <v>2476</v>
      </c>
      <c r="L729" s="10">
        <v>32</v>
      </c>
      <c r="M729" s="10"/>
      <c r="N729" s="10" t="b">
        <v>1</v>
      </c>
      <c r="O729" s="41" t="s">
        <v>309</v>
      </c>
      <c r="P729" s="45">
        <f t="shared" si="79"/>
        <v>1039.92</v>
      </c>
      <c r="Q729" s="45">
        <f t="shared" si="80"/>
        <v>1436.08</v>
      </c>
      <c r="R729" s="45">
        <v>150</v>
      </c>
      <c r="S729" s="45">
        <f t="shared" si="81"/>
        <v>247.60000000000002</v>
      </c>
      <c r="T729" s="45">
        <f t="shared" si="82"/>
        <v>2476</v>
      </c>
      <c r="U729" s="47">
        <f t="shared" si="83"/>
        <v>-1437.52</v>
      </c>
    </row>
    <row r="730" spans="1:21" x14ac:dyDescent="0.3">
      <c r="A730" s="41" t="str">
        <f t="shared" si="77"/>
        <v>PZARAC</v>
      </c>
      <c r="B730" s="43">
        <v>45586</v>
      </c>
      <c r="C730" s="10" t="s">
        <v>772</v>
      </c>
      <c r="D730" s="10" t="s">
        <v>3</v>
      </c>
      <c r="E730" s="10" t="s">
        <v>15</v>
      </c>
      <c r="F730" s="10" t="s">
        <v>23</v>
      </c>
      <c r="G730" s="10" t="s">
        <v>7</v>
      </c>
      <c r="H730" s="10" t="s">
        <v>56</v>
      </c>
      <c r="I730" s="45">
        <v>374</v>
      </c>
      <c r="J730" s="11">
        <v>0</v>
      </c>
      <c r="K730" s="45">
        <f t="shared" si="78"/>
        <v>374</v>
      </c>
      <c r="L730" s="10">
        <v>36</v>
      </c>
      <c r="M730" s="10">
        <v>3.6</v>
      </c>
      <c r="N730" s="10" t="b">
        <v>1</v>
      </c>
      <c r="O730" s="41" t="s">
        <v>44</v>
      </c>
      <c r="P730" s="45">
        <f t="shared" si="79"/>
        <v>157.07999999999998</v>
      </c>
      <c r="Q730" s="45">
        <f t="shared" si="80"/>
        <v>216.92000000000002</v>
      </c>
      <c r="R730" s="45">
        <v>150</v>
      </c>
      <c r="S730" s="45">
        <f t="shared" si="81"/>
        <v>37.4</v>
      </c>
      <c r="T730" s="45">
        <f t="shared" si="82"/>
        <v>374</v>
      </c>
      <c r="U730" s="47">
        <f t="shared" si="83"/>
        <v>-344.47999999999996</v>
      </c>
    </row>
    <row r="731" spans="1:21" x14ac:dyDescent="0.3">
      <c r="A731" s="41" t="str">
        <f t="shared" si="77"/>
        <v>PMANBO</v>
      </c>
      <c r="B731" s="43">
        <v>45587</v>
      </c>
      <c r="C731" s="10" t="s">
        <v>773</v>
      </c>
      <c r="D731" s="10" t="s">
        <v>31</v>
      </c>
      <c r="E731" s="10" t="s">
        <v>26</v>
      </c>
      <c r="F731" s="10" t="s">
        <v>23</v>
      </c>
      <c r="G731" s="10" t="s">
        <v>27</v>
      </c>
      <c r="H731" s="10" t="s">
        <v>6</v>
      </c>
      <c r="I731" s="45">
        <v>2619</v>
      </c>
      <c r="J731" s="11">
        <v>0</v>
      </c>
      <c r="K731" s="45">
        <f t="shared" si="78"/>
        <v>2619</v>
      </c>
      <c r="L731" s="10">
        <v>38</v>
      </c>
      <c r="M731" s="10">
        <v>2.7</v>
      </c>
      <c r="N731" s="10" t="b">
        <v>0</v>
      </c>
      <c r="O731" s="41"/>
      <c r="P731" s="45">
        <f t="shared" si="79"/>
        <v>1099.98</v>
      </c>
      <c r="Q731" s="45">
        <f t="shared" si="80"/>
        <v>1519.02</v>
      </c>
      <c r="R731" s="45">
        <v>0</v>
      </c>
      <c r="S731" s="45">
        <f t="shared" si="81"/>
        <v>0</v>
      </c>
      <c r="T731" s="45">
        <f t="shared" si="82"/>
        <v>0</v>
      </c>
      <c r="U731" s="47">
        <f t="shared" si="83"/>
        <v>1519.02</v>
      </c>
    </row>
    <row r="732" spans="1:21" x14ac:dyDescent="0.3">
      <c r="A732" s="41" t="str">
        <f t="shared" si="77"/>
        <v>PBANDR</v>
      </c>
      <c r="B732" s="43">
        <v>45587</v>
      </c>
      <c r="C732" s="10" t="s">
        <v>774</v>
      </c>
      <c r="D732" s="10" t="s">
        <v>21</v>
      </c>
      <c r="E732" s="10" t="s">
        <v>30</v>
      </c>
      <c r="F732" s="10" t="s">
        <v>11</v>
      </c>
      <c r="G732" s="10" t="s">
        <v>7</v>
      </c>
      <c r="H732" s="10" t="s">
        <v>7</v>
      </c>
      <c r="I732" s="45">
        <v>2096</v>
      </c>
      <c r="J732" s="11">
        <v>0</v>
      </c>
      <c r="K732" s="45">
        <f t="shared" si="78"/>
        <v>2096</v>
      </c>
      <c r="L732" s="10">
        <v>42</v>
      </c>
      <c r="M732" s="10">
        <v>1.7</v>
      </c>
      <c r="N732" s="10" t="b">
        <v>0</v>
      </c>
      <c r="O732" s="41"/>
      <c r="P732" s="45">
        <f t="shared" si="79"/>
        <v>880.31999999999994</v>
      </c>
      <c r="Q732" s="45">
        <f t="shared" si="80"/>
        <v>1215.68</v>
      </c>
      <c r="R732" s="45">
        <v>0</v>
      </c>
      <c r="S732" s="45">
        <f t="shared" si="81"/>
        <v>0</v>
      </c>
      <c r="T732" s="45">
        <f t="shared" si="82"/>
        <v>0</v>
      </c>
      <c r="U732" s="47">
        <f t="shared" si="83"/>
        <v>1215.68</v>
      </c>
    </row>
    <row r="733" spans="1:21" x14ac:dyDescent="0.3">
      <c r="A733" s="41" t="str">
        <f t="shared" si="77"/>
        <v>PMANDR</v>
      </c>
      <c r="B733" s="43">
        <v>45587</v>
      </c>
      <c r="C733" s="10" t="s">
        <v>775</v>
      </c>
      <c r="D733" s="10" t="s">
        <v>31</v>
      </c>
      <c r="E733" s="10" t="s">
        <v>30</v>
      </c>
      <c r="F733" s="10" t="s">
        <v>54</v>
      </c>
      <c r="G733" s="10" t="s">
        <v>5</v>
      </c>
      <c r="H733" s="10" t="s">
        <v>43</v>
      </c>
      <c r="I733" s="45">
        <v>2302</v>
      </c>
      <c r="J733" s="11">
        <v>0</v>
      </c>
      <c r="K733" s="45">
        <f t="shared" si="78"/>
        <v>2302</v>
      </c>
      <c r="L733" s="10">
        <v>37</v>
      </c>
      <c r="M733" s="10">
        <v>2</v>
      </c>
      <c r="N733" s="10" t="b">
        <v>0</v>
      </c>
      <c r="O733" s="41"/>
      <c r="P733" s="45">
        <f t="shared" si="79"/>
        <v>966.83999999999992</v>
      </c>
      <c r="Q733" s="45">
        <f t="shared" si="80"/>
        <v>1335.16</v>
      </c>
      <c r="R733" s="45">
        <v>0</v>
      </c>
      <c r="S733" s="45">
        <f t="shared" si="81"/>
        <v>0</v>
      </c>
      <c r="T733" s="45">
        <f t="shared" si="82"/>
        <v>0</v>
      </c>
      <c r="U733" s="47">
        <f t="shared" si="83"/>
        <v>1335.16</v>
      </c>
    </row>
    <row r="734" spans="1:21" x14ac:dyDescent="0.3">
      <c r="A734" s="41" t="str">
        <f t="shared" si="77"/>
        <v>PH&amp;MBO</v>
      </c>
      <c r="B734" s="43">
        <v>45587</v>
      </c>
      <c r="C734" s="10" t="s">
        <v>776</v>
      </c>
      <c r="D734" s="10" t="s">
        <v>37</v>
      </c>
      <c r="E734" s="10" t="s">
        <v>26</v>
      </c>
      <c r="F734" s="10" t="s">
        <v>54</v>
      </c>
      <c r="G734" s="10" t="s">
        <v>49</v>
      </c>
      <c r="H734" s="10" t="s">
        <v>13</v>
      </c>
      <c r="I734" s="45">
        <v>2358</v>
      </c>
      <c r="J734" s="11">
        <v>0</v>
      </c>
      <c r="K734" s="45">
        <f t="shared" si="78"/>
        <v>2358</v>
      </c>
      <c r="L734" s="10">
        <v>13</v>
      </c>
      <c r="M734" s="10">
        <v>4.4000000000000004</v>
      </c>
      <c r="N734" s="10" t="b">
        <v>0</v>
      </c>
      <c r="O734" s="41"/>
      <c r="P734" s="45">
        <f t="shared" si="79"/>
        <v>990.36</v>
      </c>
      <c r="Q734" s="45">
        <f t="shared" si="80"/>
        <v>1367.6399999999999</v>
      </c>
      <c r="R734" s="45">
        <v>0</v>
      </c>
      <c r="S734" s="45">
        <f t="shared" si="81"/>
        <v>0</v>
      </c>
      <c r="T734" s="45">
        <f t="shared" si="82"/>
        <v>0</v>
      </c>
      <c r="U734" s="47">
        <f t="shared" si="83"/>
        <v>1367.6399999999999</v>
      </c>
    </row>
    <row r="735" spans="1:21" x14ac:dyDescent="0.3">
      <c r="A735" s="41" t="str">
        <f t="shared" si="77"/>
        <v>PUNISH</v>
      </c>
      <c r="B735" s="43">
        <v>45588</v>
      </c>
      <c r="C735" s="10" t="s">
        <v>777</v>
      </c>
      <c r="D735" s="10" t="s">
        <v>10</v>
      </c>
      <c r="E735" s="10" t="s">
        <v>18</v>
      </c>
      <c r="F735" s="10" t="s">
        <v>54</v>
      </c>
      <c r="G735" s="10" t="s">
        <v>46</v>
      </c>
      <c r="H735" s="10" t="s">
        <v>16</v>
      </c>
      <c r="I735" s="45">
        <v>4198</v>
      </c>
      <c r="J735" s="11">
        <v>0.157</v>
      </c>
      <c r="K735" s="45">
        <f t="shared" si="78"/>
        <v>3538.9139999999998</v>
      </c>
      <c r="L735" s="10">
        <v>43</v>
      </c>
      <c r="M735" s="10"/>
      <c r="N735" s="10" t="b">
        <v>0</v>
      </c>
      <c r="O735" s="41"/>
      <c r="P735" s="45">
        <f t="shared" si="79"/>
        <v>1486.3438799999999</v>
      </c>
      <c r="Q735" s="45">
        <f t="shared" si="80"/>
        <v>2052.5701199999999</v>
      </c>
      <c r="R735" s="45">
        <v>0</v>
      </c>
      <c r="S735" s="45">
        <f t="shared" si="81"/>
        <v>0</v>
      </c>
      <c r="T735" s="45">
        <f t="shared" si="82"/>
        <v>0</v>
      </c>
      <c r="U735" s="47">
        <f t="shared" si="83"/>
        <v>2052.5701199999999</v>
      </c>
    </row>
    <row r="736" spans="1:21" x14ac:dyDescent="0.3">
      <c r="A736" s="41" t="str">
        <f t="shared" si="77"/>
        <v>PFORAC</v>
      </c>
      <c r="B736" s="43">
        <v>45588</v>
      </c>
      <c r="C736" s="10" t="s">
        <v>778</v>
      </c>
      <c r="D736" s="10" t="s">
        <v>65</v>
      </c>
      <c r="E736" s="10" t="s">
        <v>15</v>
      </c>
      <c r="F736" s="10" t="s">
        <v>23</v>
      </c>
      <c r="G736" s="10" t="s">
        <v>7</v>
      </c>
      <c r="H736" s="10" t="s">
        <v>56</v>
      </c>
      <c r="I736" s="45">
        <v>222</v>
      </c>
      <c r="J736" s="11">
        <v>0</v>
      </c>
      <c r="K736" s="45">
        <f t="shared" si="78"/>
        <v>222</v>
      </c>
      <c r="L736" s="10">
        <v>42</v>
      </c>
      <c r="M736" s="10">
        <v>4.7</v>
      </c>
      <c r="N736" s="10" t="b">
        <v>0</v>
      </c>
      <c r="O736" s="41"/>
      <c r="P736" s="45">
        <f t="shared" si="79"/>
        <v>93.24</v>
      </c>
      <c r="Q736" s="45">
        <f t="shared" si="80"/>
        <v>128.76</v>
      </c>
      <c r="R736" s="45">
        <v>0</v>
      </c>
      <c r="S736" s="45">
        <f t="shared" si="81"/>
        <v>0</v>
      </c>
      <c r="T736" s="45">
        <f t="shared" si="82"/>
        <v>0</v>
      </c>
      <c r="U736" s="47">
        <f t="shared" si="83"/>
        <v>128.76</v>
      </c>
    </row>
    <row r="737" spans="1:21" x14ac:dyDescent="0.3">
      <c r="A737" s="41" t="str">
        <f t="shared" si="77"/>
        <v>PGAPAC</v>
      </c>
      <c r="B737" s="43">
        <v>45588</v>
      </c>
      <c r="C737" s="10" t="s">
        <v>779</v>
      </c>
      <c r="D737" s="10" t="s">
        <v>53</v>
      </c>
      <c r="E737" s="10" t="s">
        <v>15</v>
      </c>
      <c r="F737" s="10" t="s">
        <v>4</v>
      </c>
      <c r="G737" s="10" t="s">
        <v>7</v>
      </c>
      <c r="H737" s="10" t="s">
        <v>6</v>
      </c>
      <c r="I737" s="45">
        <v>437</v>
      </c>
      <c r="J737" s="11">
        <v>0</v>
      </c>
      <c r="K737" s="45">
        <f t="shared" si="78"/>
        <v>437</v>
      </c>
      <c r="L737" s="10">
        <v>26</v>
      </c>
      <c r="M737" s="10">
        <v>3.8</v>
      </c>
      <c r="N737" s="10" t="b">
        <v>0</v>
      </c>
      <c r="O737" s="41"/>
      <c r="P737" s="45">
        <f t="shared" si="79"/>
        <v>183.54</v>
      </c>
      <c r="Q737" s="45">
        <f t="shared" si="80"/>
        <v>253.46</v>
      </c>
      <c r="R737" s="45">
        <v>0</v>
      </c>
      <c r="S737" s="45">
        <f t="shared" si="81"/>
        <v>0</v>
      </c>
      <c r="T737" s="45">
        <f t="shared" si="82"/>
        <v>0</v>
      </c>
      <c r="U737" s="47">
        <f t="shared" si="83"/>
        <v>253.46</v>
      </c>
    </row>
    <row r="738" spans="1:21" x14ac:dyDescent="0.3">
      <c r="A738" s="41" t="str">
        <f t="shared" si="77"/>
        <v>PBANBO</v>
      </c>
      <c r="B738" s="43">
        <v>45588</v>
      </c>
      <c r="C738" s="10" t="s">
        <v>780</v>
      </c>
      <c r="D738" s="10" t="s">
        <v>21</v>
      </c>
      <c r="E738" s="10" t="s">
        <v>26</v>
      </c>
      <c r="F738" s="10" t="s">
        <v>23</v>
      </c>
      <c r="G738" s="10" t="s">
        <v>38</v>
      </c>
      <c r="H738" s="10" t="s">
        <v>56</v>
      </c>
      <c r="I738" s="45">
        <v>2515</v>
      </c>
      <c r="J738" s="11">
        <v>0</v>
      </c>
      <c r="K738" s="45">
        <f t="shared" si="78"/>
        <v>2515</v>
      </c>
      <c r="L738" s="10">
        <v>15</v>
      </c>
      <c r="M738" s="10">
        <v>4.5999999999999996</v>
      </c>
      <c r="N738" s="10" t="b">
        <v>1</v>
      </c>
      <c r="O738" s="41" t="s">
        <v>33</v>
      </c>
      <c r="P738" s="45">
        <f t="shared" si="79"/>
        <v>1056.3</v>
      </c>
      <c r="Q738" s="45">
        <f t="shared" si="80"/>
        <v>1458.7</v>
      </c>
      <c r="R738" s="45">
        <v>150</v>
      </c>
      <c r="S738" s="45">
        <f t="shared" si="81"/>
        <v>251.5</v>
      </c>
      <c r="T738" s="45">
        <f t="shared" si="82"/>
        <v>2515</v>
      </c>
      <c r="U738" s="47">
        <f t="shared" si="83"/>
        <v>-1457.8</v>
      </c>
    </row>
    <row r="739" spans="1:21" x14ac:dyDescent="0.3">
      <c r="A739" s="41" t="str">
        <f t="shared" si="77"/>
        <v>PFORDR</v>
      </c>
      <c r="B739" s="43">
        <v>45588</v>
      </c>
      <c r="C739" s="10" t="s">
        <v>781</v>
      </c>
      <c r="D739" s="10" t="s">
        <v>65</v>
      </c>
      <c r="E739" s="10" t="s">
        <v>30</v>
      </c>
      <c r="F739" s="10" t="s">
        <v>23</v>
      </c>
      <c r="G739" s="10" t="s">
        <v>38</v>
      </c>
      <c r="H739" s="10" t="s">
        <v>88</v>
      </c>
      <c r="I739" s="45">
        <v>2870</v>
      </c>
      <c r="J739" s="11">
        <v>0.35499999999999998</v>
      </c>
      <c r="K739" s="45">
        <f t="shared" si="78"/>
        <v>1851.15</v>
      </c>
      <c r="L739" s="10">
        <v>15</v>
      </c>
      <c r="M739" s="10">
        <v>3.1</v>
      </c>
      <c r="N739" s="10" t="b">
        <v>0</v>
      </c>
      <c r="O739" s="41"/>
      <c r="P739" s="45">
        <f t="shared" si="79"/>
        <v>777.48300000000006</v>
      </c>
      <c r="Q739" s="45">
        <f t="shared" si="80"/>
        <v>1073.6669999999999</v>
      </c>
      <c r="R739" s="45">
        <v>0</v>
      </c>
      <c r="S739" s="45">
        <f t="shared" si="81"/>
        <v>0</v>
      </c>
      <c r="T739" s="45">
        <f t="shared" si="82"/>
        <v>0</v>
      </c>
      <c r="U739" s="47">
        <f t="shared" si="83"/>
        <v>1073.6669999999999</v>
      </c>
    </row>
    <row r="740" spans="1:21" x14ac:dyDescent="0.3">
      <c r="A740" s="41" t="str">
        <f t="shared" si="77"/>
        <v>PANNBO</v>
      </c>
      <c r="B740" s="43">
        <v>45589</v>
      </c>
      <c r="C740" s="10" t="s">
        <v>782</v>
      </c>
      <c r="D740" s="10" t="s">
        <v>42</v>
      </c>
      <c r="E740" s="10" t="s">
        <v>26</v>
      </c>
      <c r="F740" s="10" t="s">
        <v>23</v>
      </c>
      <c r="G740" s="10" t="s">
        <v>38</v>
      </c>
      <c r="H740" s="10" t="s">
        <v>88</v>
      </c>
      <c r="I740" s="45">
        <v>2428</v>
      </c>
      <c r="J740" s="11">
        <v>0</v>
      </c>
      <c r="K740" s="45">
        <f t="shared" si="78"/>
        <v>2428</v>
      </c>
      <c r="L740" s="10">
        <v>32</v>
      </c>
      <c r="M740" s="10">
        <v>4.7</v>
      </c>
      <c r="N740" s="10" t="b">
        <v>0</v>
      </c>
      <c r="O740" s="41"/>
      <c r="P740" s="45">
        <f t="shared" si="79"/>
        <v>1019.76</v>
      </c>
      <c r="Q740" s="45">
        <f t="shared" si="80"/>
        <v>1408.24</v>
      </c>
      <c r="R740" s="45">
        <v>0</v>
      </c>
      <c r="S740" s="45">
        <f t="shared" si="81"/>
        <v>0</v>
      </c>
      <c r="T740" s="45">
        <f t="shared" si="82"/>
        <v>0</v>
      </c>
      <c r="U740" s="47">
        <f t="shared" si="83"/>
        <v>1408.24</v>
      </c>
    </row>
    <row r="741" spans="1:21" x14ac:dyDescent="0.3">
      <c r="A741" s="41" t="str">
        <f t="shared" si="77"/>
        <v>PZARTO</v>
      </c>
      <c r="B741" s="43">
        <v>45589</v>
      </c>
      <c r="C741" s="10" t="s">
        <v>783</v>
      </c>
      <c r="D741" s="10" t="s">
        <v>3</v>
      </c>
      <c r="E741" s="10" t="s">
        <v>9</v>
      </c>
      <c r="F741" s="10" t="s">
        <v>4</v>
      </c>
      <c r="G741" s="10" t="s">
        <v>5</v>
      </c>
      <c r="H741" s="10" t="s">
        <v>6</v>
      </c>
      <c r="I741" s="45">
        <v>1769</v>
      </c>
      <c r="J741" s="11">
        <v>0</v>
      </c>
      <c r="K741" s="45">
        <f t="shared" si="78"/>
        <v>1769</v>
      </c>
      <c r="L741" s="10">
        <v>33</v>
      </c>
      <c r="M741" s="10">
        <v>3.9</v>
      </c>
      <c r="N741" s="10" t="b">
        <v>0</v>
      </c>
      <c r="O741" s="41"/>
      <c r="P741" s="45">
        <f t="shared" si="79"/>
        <v>742.98</v>
      </c>
      <c r="Q741" s="45">
        <f t="shared" si="80"/>
        <v>1026.02</v>
      </c>
      <c r="R741" s="45">
        <v>0</v>
      </c>
      <c r="S741" s="45">
        <f t="shared" si="81"/>
        <v>0</v>
      </c>
      <c r="T741" s="45">
        <f t="shared" si="82"/>
        <v>0</v>
      </c>
      <c r="U741" s="47">
        <f t="shared" si="83"/>
        <v>1026.02</v>
      </c>
    </row>
    <row r="742" spans="1:21" x14ac:dyDescent="0.3">
      <c r="A742" s="41" t="str">
        <f t="shared" si="77"/>
        <v>PUNIDR</v>
      </c>
      <c r="B742" s="43">
        <v>45589</v>
      </c>
      <c r="C742" s="10" t="s">
        <v>784</v>
      </c>
      <c r="D742" s="10" t="s">
        <v>10</v>
      </c>
      <c r="E742" s="10" t="s">
        <v>30</v>
      </c>
      <c r="F742" s="10" t="s">
        <v>54</v>
      </c>
      <c r="G742" s="10" t="s">
        <v>5</v>
      </c>
      <c r="H742" s="10" t="s">
        <v>13</v>
      </c>
      <c r="I742" s="45">
        <v>2366</v>
      </c>
      <c r="J742" s="11">
        <v>0</v>
      </c>
      <c r="K742" s="45">
        <f t="shared" si="78"/>
        <v>2366</v>
      </c>
      <c r="L742" s="10">
        <v>34</v>
      </c>
      <c r="M742" s="10">
        <v>3</v>
      </c>
      <c r="N742" s="10" t="b">
        <v>0</v>
      </c>
      <c r="O742" s="41"/>
      <c r="P742" s="45">
        <f t="shared" si="79"/>
        <v>993.71999999999991</v>
      </c>
      <c r="Q742" s="45">
        <f t="shared" si="80"/>
        <v>1372.2800000000002</v>
      </c>
      <c r="R742" s="45">
        <v>0</v>
      </c>
      <c r="S742" s="45">
        <f t="shared" si="81"/>
        <v>0</v>
      </c>
      <c r="T742" s="45">
        <f t="shared" si="82"/>
        <v>0</v>
      </c>
      <c r="U742" s="47">
        <f t="shared" si="83"/>
        <v>1372.2800000000002</v>
      </c>
    </row>
    <row r="743" spans="1:21" x14ac:dyDescent="0.3">
      <c r="A743" s="41" t="str">
        <f t="shared" si="77"/>
        <v>PMANDR</v>
      </c>
      <c r="B743" s="43">
        <v>45590</v>
      </c>
      <c r="C743" s="10" t="s">
        <v>785</v>
      </c>
      <c r="D743" s="10" t="s">
        <v>31</v>
      </c>
      <c r="E743" s="10" t="s">
        <v>30</v>
      </c>
      <c r="F743" s="10" t="s">
        <v>11</v>
      </c>
      <c r="G743" s="10" t="s">
        <v>27</v>
      </c>
      <c r="H743" s="10" t="s">
        <v>58</v>
      </c>
      <c r="I743" s="45">
        <v>2258</v>
      </c>
      <c r="J743" s="11">
        <v>0.218</v>
      </c>
      <c r="K743" s="45">
        <f t="shared" si="78"/>
        <v>1765.7560000000001</v>
      </c>
      <c r="L743" s="10">
        <v>41</v>
      </c>
      <c r="M743" s="10">
        <v>2.1</v>
      </c>
      <c r="N743" s="10" t="b">
        <v>0</v>
      </c>
      <c r="O743" s="41"/>
      <c r="P743" s="45">
        <f t="shared" si="79"/>
        <v>741.61752000000001</v>
      </c>
      <c r="Q743" s="45">
        <f t="shared" si="80"/>
        <v>1024.1384800000001</v>
      </c>
      <c r="R743" s="45">
        <v>0</v>
      </c>
      <c r="S743" s="45">
        <f t="shared" si="81"/>
        <v>0</v>
      </c>
      <c r="T743" s="45">
        <f t="shared" si="82"/>
        <v>0</v>
      </c>
      <c r="U743" s="47">
        <f t="shared" si="83"/>
        <v>1024.1384800000001</v>
      </c>
    </row>
    <row r="744" spans="1:21" x14ac:dyDescent="0.3">
      <c r="A744" s="41" t="str">
        <f t="shared" si="77"/>
        <v>PFORTO</v>
      </c>
      <c r="B744" s="43">
        <v>45590</v>
      </c>
      <c r="C744" s="10" t="s">
        <v>786</v>
      </c>
      <c r="D744" s="10" t="s">
        <v>65</v>
      </c>
      <c r="E744" s="10" t="s">
        <v>9</v>
      </c>
      <c r="F744" s="10" t="s">
        <v>54</v>
      </c>
      <c r="G744" s="10" t="s">
        <v>27</v>
      </c>
      <c r="H744" s="10" t="s">
        <v>13</v>
      </c>
      <c r="I744" s="45">
        <v>1162</v>
      </c>
      <c r="J744" s="11">
        <v>0.34</v>
      </c>
      <c r="K744" s="45">
        <f t="shared" si="78"/>
        <v>766.92</v>
      </c>
      <c r="L744" s="10">
        <v>10</v>
      </c>
      <c r="M744" s="10"/>
      <c r="N744" s="10" t="b">
        <v>1</v>
      </c>
      <c r="O744" s="41" t="s">
        <v>33</v>
      </c>
      <c r="P744" s="45">
        <f t="shared" si="79"/>
        <v>322.10639999999995</v>
      </c>
      <c r="Q744" s="45">
        <f t="shared" si="80"/>
        <v>444.81360000000001</v>
      </c>
      <c r="R744" s="45">
        <v>150</v>
      </c>
      <c r="S744" s="45">
        <f t="shared" si="81"/>
        <v>76.691999999999993</v>
      </c>
      <c r="T744" s="45">
        <f t="shared" si="82"/>
        <v>766.92</v>
      </c>
      <c r="U744" s="47">
        <f t="shared" si="83"/>
        <v>-548.7983999999999</v>
      </c>
    </row>
    <row r="745" spans="1:21" x14ac:dyDescent="0.3">
      <c r="A745" s="41" t="str">
        <f t="shared" si="77"/>
        <v>PH&amp;MTO</v>
      </c>
      <c r="B745" s="43">
        <v>45590</v>
      </c>
      <c r="C745" s="10" t="s">
        <v>787</v>
      </c>
      <c r="D745" s="10" t="s">
        <v>37</v>
      </c>
      <c r="E745" s="10" t="s">
        <v>9</v>
      </c>
      <c r="F745" s="10" t="s">
        <v>11</v>
      </c>
      <c r="G745" s="10" t="s">
        <v>12</v>
      </c>
      <c r="H745" s="10" t="s">
        <v>43</v>
      </c>
      <c r="I745" s="45">
        <v>1227</v>
      </c>
      <c r="J745" s="11">
        <v>0.06</v>
      </c>
      <c r="K745" s="45">
        <f t="shared" si="78"/>
        <v>1153.3799999999999</v>
      </c>
      <c r="L745" s="10">
        <v>15</v>
      </c>
      <c r="M745" s="10"/>
      <c r="N745" s="10" t="b">
        <v>0</v>
      </c>
      <c r="O745" s="41"/>
      <c r="P745" s="45">
        <f t="shared" si="79"/>
        <v>484.41959999999995</v>
      </c>
      <c r="Q745" s="45">
        <f t="shared" si="80"/>
        <v>668.96039999999994</v>
      </c>
      <c r="R745" s="45">
        <v>0</v>
      </c>
      <c r="S745" s="45">
        <f t="shared" si="81"/>
        <v>0</v>
      </c>
      <c r="T745" s="45">
        <f t="shared" si="82"/>
        <v>0</v>
      </c>
      <c r="U745" s="47">
        <f t="shared" si="83"/>
        <v>668.96039999999994</v>
      </c>
    </row>
    <row r="746" spans="1:21" x14ac:dyDescent="0.3">
      <c r="A746" s="41" t="str">
        <f t="shared" si="77"/>
        <v>PANNTO</v>
      </c>
      <c r="B746" s="43">
        <v>45590</v>
      </c>
      <c r="C746" s="10" t="s">
        <v>788</v>
      </c>
      <c r="D746" s="10" t="s">
        <v>42</v>
      </c>
      <c r="E746" s="10" t="s">
        <v>9</v>
      </c>
      <c r="F746" s="10" t="s">
        <v>23</v>
      </c>
      <c r="G746" s="10" t="s">
        <v>7</v>
      </c>
      <c r="H746" s="10" t="s">
        <v>56</v>
      </c>
      <c r="I746" s="45">
        <v>1110</v>
      </c>
      <c r="J746" s="11">
        <v>0</v>
      </c>
      <c r="K746" s="45">
        <f t="shared" si="78"/>
        <v>1110</v>
      </c>
      <c r="L746" s="10">
        <v>16</v>
      </c>
      <c r="M746" s="10"/>
      <c r="N746" s="10" t="b">
        <v>1</v>
      </c>
      <c r="O746" s="41" t="s">
        <v>309</v>
      </c>
      <c r="P746" s="45">
        <f t="shared" si="79"/>
        <v>466.2</v>
      </c>
      <c r="Q746" s="45">
        <f t="shared" si="80"/>
        <v>643.79999999999995</v>
      </c>
      <c r="R746" s="45">
        <v>150</v>
      </c>
      <c r="S746" s="45">
        <f t="shared" si="81"/>
        <v>111</v>
      </c>
      <c r="T746" s="45">
        <f t="shared" si="82"/>
        <v>1110</v>
      </c>
      <c r="U746" s="47">
        <f t="shared" si="83"/>
        <v>-727.2</v>
      </c>
    </row>
    <row r="747" spans="1:21" x14ac:dyDescent="0.3">
      <c r="A747" s="41" t="str">
        <f t="shared" si="77"/>
        <v>PFORAC</v>
      </c>
      <c r="B747" s="43">
        <v>45590</v>
      </c>
      <c r="C747" s="10" t="s">
        <v>789</v>
      </c>
      <c r="D747" s="10" t="s">
        <v>65</v>
      </c>
      <c r="E747" s="10" t="s">
        <v>15</v>
      </c>
      <c r="F747" s="10" t="s">
        <v>4</v>
      </c>
      <c r="G747" s="10" t="s">
        <v>7</v>
      </c>
      <c r="H747" s="10" t="s">
        <v>6</v>
      </c>
      <c r="I747" s="45">
        <v>340</v>
      </c>
      <c r="J747" s="11">
        <v>0</v>
      </c>
      <c r="K747" s="45">
        <f t="shared" si="78"/>
        <v>340</v>
      </c>
      <c r="L747" s="10">
        <v>9</v>
      </c>
      <c r="M747" s="10">
        <v>4.5999999999999996</v>
      </c>
      <c r="N747" s="10" t="b">
        <v>0</v>
      </c>
      <c r="O747" s="41"/>
      <c r="P747" s="45">
        <f t="shared" si="79"/>
        <v>142.79999999999998</v>
      </c>
      <c r="Q747" s="45">
        <f t="shared" si="80"/>
        <v>197.20000000000002</v>
      </c>
      <c r="R747" s="45">
        <v>0</v>
      </c>
      <c r="S747" s="45">
        <f t="shared" si="81"/>
        <v>0</v>
      </c>
      <c r="T747" s="45">
        <f t="shared" si="82"/>
        <v>0</v>
      </c>
      <c r="U747" s="47">
        <f t="shared" si="83"/>
        <v>197.20000000000002</v>
      </c>
    </row>
    <row r="748" spans="1:21" x14ac:dyDescent="0.3">
      <c r="A748" s="41" t="str">
        <f t="shared" si="77"/>
        <v>PANNOU</v>
      </c>
      <c r="B748" s="43">
        <v>45591</v>
      </c>
      <c r="C748" s="10" t="s">
        <v>790</v>
      </c>
      <c r="D748" s="10" t="s">
        <v>42</v>
      </c>
      <c r="E748" s="10" t="s">
        <v>2</v>
      </c>
      <c r="F748" s="10" t="s">
        <v>11</v>
      </c>
      <c r="G748" s="10" t="s">
        <v>38</v>
      </c>
      <c r="H748" s="10" t="s">
        <v>28</v>
      </c>
      <c r="I748" s="45">
        <v>3684</v>
      </c>
      <c r="J748" s="11">
        <v>0.23</v>
      </c>
      <c r="K748" s="45">
        <f t="shared" si="78"/>
        <v>2836.6800000000003</v>
      </c>
      <c r="L748" s="10">
        <v>38</v>
      </c>
      <c r="M748" s="10"/>
      <c r="N748" s="10" t="b">
        <v>0</v>
      </c>
      <c r="O748" s="41"/>
      <c r="P748" s="45">
        <f t="shared" si="79"/>
        <v>1191.4056</v>
      </c>
      <c r="Q748" s="45">
        <f t="shared" si="80"/>
        <v>1645.2744000000002</v>
      </c>
      <c r="R748" s="45">
        <v>0</v>
      </c>
      <c r="S748" s="45">
        <f t="shared" si="81"/>
        <v>0</v>
      </c>
      <c r="T748" s="45">
        <f t="shared" si="82"/>
        <v>0</v>
      </c>
      <c r="U748" s="47">
        <f t="shared" si="83"/>
        <v>1645.2744000000002</v>
      </c>
    </row>
    <row r="749" spans="1:21" x14ac:dyDescent="0.3">
      <c r="A749" s="41" t="str">
        <f t="shared" si="77"/>
        <v>PFORAC</v>
      </c>
      <c r="B749" s="43">
        <v>45591</v>
      </c>
      <c r="C749" s="10" t="s">
        <v>791</v>
      </c>
      <c r="D749" s="10" t="s">
        <v>65</v>
      </c>
      <c r="E749" s="10" t="s">
        <v>15</v>
      </c>
      <c r="F749" s="10" t="s">
        <v>11</v>
      </c>
      <c r="G749" s="10" t="s">
        <v>7</v>
      </c>
      <c r="H749" s="10" t="s">
        <v>58</v>
      </c>
      <c r="I749" s="45">
        <v>255</v>
      </c>
      <c r="J749" s="11">
        <v>0</v>
      </c>
      <c r="K749" s="45">
        <f t="shared" si="78"/>
        <v>255</v>
      </c>
      <c r="L749" s="10">
        <v>50</v>
      </c>
      <c r="M749" s="10">
        <v>4</v>
      </c>
      <c r="N749" s="10" t="b">
        <v>0</v>
      </c>
      <c r="O749" s="41"/>
      <c r="P749" s="45">
        <f t="shared" si="79"/>
        <v>107.1</v>
      </c>
      <c r="Q749" s="45">
        <f t="shared" si="80"/>
        <v>147.9</v>
      </c>
      <c r="R749" s="45">
        <v>0</v>
      </c>
      <c r="S749" s="45">
        <f t="shared" si="81"/>
        <v>0</v>
      </c>
      <c r="T749" s="45">
        <f t="shared" si="82"/>
        <v>0</v>
      </c>
      <c r="U749" s="47">
        <f t="shared" si="83"/>
        <v>147.9</v>
      </c>
    </row>
    <row r="750" spans="1:21" x14ac:dyDescent="0.3">
      <c r="A750" s="41" t="str">
        <f t="shared" si="77"/>
        <v>PFORBO</v>
      </c>
      <c r="B750" s="43">
        <v>45591</v>
      </c>
      <c r="C750" s="10" t="s">
        <v>792</v>
      </c>
      <c r="D750" s="10" t="s">
        <v>65</v>
      </c>
      <c r="E750" s="10" t="s">
        <v>26</v>
      </c>
      <c r="F750" s="10" t="s">
        <v>54</v>
      </c>
      <c r="G750" s="10" t="s">
        <v>12</v>
      </c>
      <c r="H750" s="10" t="s">
        <v>6</v>
      </c>
      <c r="I750" s="45">
        <v>2619</v>
      </c>
      <c r="J750" s="11">
        <v>9.6000000000000002E-2</v>
      </c>
      <c r="K750" s="45">
        <f t="shared" si="78"/>
        <v>2367.576</v>
      </c>
      <c r="L750" s="10">
        <v>20</v>
      </c>
      <c r="M750" s="10">
        <v>2</v>
      </c>
      <c r="N750" s="10" t="b">
        <v>1</v>
      </c>
      <c r="O750" s="41" t="s">
        <v>33</v>
      </c>
      <c r="P750" s="45">
        <f t="shared" si="79"/>
        <v>994.38191999999992</v>
      </c>
      <c r="Q750" s="45">
        <f t="shared" si="80"/>
        <v>1373.1940800000002</v>
      </c>
      <c r="R750" s="45">
        <v>150</v>
      </c>
      <c r="S750" s="45">
        <f t="shared" si="81"/>
        <v>236.75760000000002</v>
      </c>
      <c r="T750" s="45">
        <f t="shared" si="82"/>
        <v>2367.576</v>
      </c>
      <c r="U750" s="47">
        <f t="shared" si="83"/>
        <v>-1381.1395199999997</v>
      </c>
    </row>
    <row r="751" spans="1:21" x14ac:dyDescent="0.3">
      <c r="A751" s="41" t="str">
        <f t="shared" si="77"/>
        <v>PFORAC</v>
      </c>
      <c r="B751" s="43">
        <v>45591</v>
      </c>
      <c r="C751" s="10" t="s">
        <v>793</v>
      </c>
      <c r="D751" s="10" t="s">
        <v>65</v>
      </c>
      <c r="E751" s="10" t="s">
        <v>15</v>
      </c>
      <c r="F751" s="10" t="s">
        <v>23</v>
      </c>
      <c r="G751" s="10" t="s">
        <v>7</v>
      </c>
      <c r="H751" s="10" t="s">
        <v>43</v>
      </c>
      <c r="I751" s="45">
        <v>383</v>
      </c>
      <c r="J751" s="11">
        <v>0</v>
      </c>
      <c r="K751" s="45">
        <f t="shared" si="78"/>
        <v>383</v>
      </c>
      <c r="L751" s="10">
        <v>33</v>
      </c>
      <c r="M751" s="10">
        <v>4.0999999999999996</v>
      </c>
      <c r="N751" s="10" t="b">
        <v>0</v>
      </c>
      <c r="O751" s="41"/>
      <c r="P751" s="45">
        <f t="shared" si="79"/>
        <v>160.85999999999999</v>
      </c>
      <c r="Q751" s="45">
        <f t="shared" si="80"/>
        <v>222.14000000000001</v>
      </c>
      <c r="R751" s="45">
        <v>0</v>
      </c>
      <c r="S751" s="45">
        <f t="shared" si="81"/>
        <v>0</v>
      </c>
      <c r="T751" s="45">
        <f t="shared" si="82"/>
        <v>0</v>
      </c>
      <c r="U751" s="47">
        <f t="shared" si="83"/>
        <v>222.14000000000001</v>
      </c>
    </row>
    <row r="752" spans="1:21" x14ac:dyDescent="0.3">
      <c r="A752" s="41" t="str">
        <f t="shared" si="77"/>
        <v>PBANDR</v>
      </c>
      <c r="B752" s="43">
        <v>45592</v>
      </c>
      <c r="C752" s="10" t="s">
        <v>794</v>
      </c>
      <c r="D752" s="10" t="s">
        <v>21</v>
      </c>
      <c r="E752" s="10" t="s">
        <v>30</v>
      </c>
      <c r="F752" s="10" t="s">
        <v>11</v>
      </c>
      <c r="G752" s="10" t="s">
        <v>5</v>
      </c>
      <c r="H752" s="10" t="s">
        <v>35</v>
      </c>
      <c r="I752" s="45">
        <v>2844</v>
      </c>
      <c r="J752" s="11">
        <v>0</v>
      </c>
      <c r="K752" s="45">
        <f t="shared" si="78"/>
        <v>2844</v>
      </c>
      <c r="L752" s="10">
        <v>18</v>
      </c>
      <c r="M752" s="10"/>
      <c r="N752" s="10" t="b">
        <v>0</v>
      </c>
      <c r="O752" s="41"/>
      <c r="P752" s="45">
        <f t="shared" si="79"/>
        <v>1194.48</v>
      </c>
      <c r="Q752" s="45">
        <f t="shared" si="80"/>
        <v>1649.52</v>
      </c>
      <c r="R752" s="45">
        <v>0</v>
      </c>
      <c r="S752" s="45">
        <f t="shared" si="81"/>
        <v>0</v>
      </c>
      <c r="T752" s="45">
        <f t="shared" si="82"/>
        <v>0</v>
      </c>
      <c r="U752" s="47">
        <f t="shared" si="83"/>
        <v>1649.52</v>
      </c>
    </row>
    <row r="753" spans="1:21" x14ac:dyDescent="0.3">
      <c r="A753" s="41" t="str">
        <f t="shared" si="77"/>
        <v>PH&amp;MOU</v>
      </c>
      <c r="B753" s="43">
        <v>45592</v>
      </c>
      <c r="C753" s="10" t="s">
        <v>795</v>
      </c>
      <c r="D753" s="10" t="s">
        <v>37</v>
      </c>
      <c r="E753" s="10" t="s">
        <v>2</v>
      </c>
      <c r="F753" s="10" t="s">
        <v>4</v>
      </c>
      <c r="G753" s="10" t="s">
        <v>38</v>
      </c>
      <c r="H753" s="10" t="s">
        <v>43</v>
      </c>
      <c r="I753" s="45">
        <v>3752</v>
      </c>
      <c r="J753" s="11">
        <v>0</v>
      </c>
      <c r="K753" s="45">
        <f t="shared" si="78"/>
        <v>3752</v>
      </c>
      <c r="L753" s="10">
        <v>25</v>
      </c>
      <c r="M753" s="10"/>
      <c r="N753" s="10" t="b">
        <v>0</v>
      </c>
      <c r="O753" s="41"/>
      <c r="P753" s="45">
        <f t="shared" si="79"/>
        <v>1575.84</v>
      </c>
      <c r="Q753" s="45">
        <f t="shared" si="80"/>
        <v>2176.16</v>
      </c>
      <c r="R753" s="45">
        <v>0</v>
      </c>
      <c r="S753" s="45">
        <f t="shared" si="81"/>
        <v>0</v>
      </c>
      <c r="T753" s="45">
        <f t="shared" si="82"/>
        <v>0</v>
      </c>
      <c r="U753" s="47">
        <f t="shared" si="83"/>
        <v>2176.16</v>
      </c>
    </row>
    <row r="754" spans="1:21" x14ac:dyDescent="0.3">
      <c r="A754" s="41" t="str">
        <f t="shared" si="77"/>
        <v>PUNIAC</v>
      </c>
      <c r="B754" s="43">
        <v>45592</v>
      </c>
      <c r="C754" s="10" t="s">
        <v>796</v>
      </c>
      <c r="D754" s="10" t="s">
        <v>10</v>
      </c>
      <c r="E754" s="10" t="s">
        <v>15</v>
      </c>
      <c r="F754" s="10" t="s">
        <v>54</v>
      </c>
      <c r="G754" s="10" t="s">
        <v>7</v>
      </c>
      <c r="H754" s="10" t="s">
        <v>47</v>
      </c>
      <c r="I754" s="45">
        <v>443</v>
      </c>
      <c r="J754" s="11">
        <v>0</v>
      </c>
      <c r="K754" s="45">
        <f t="shared" si="78"/>
        <v>443</v>
      </c>
      <c r="L754" s="10">
        <v>34</v>
      </c>
      <c r="M754" s="10">
        <v>2.6</v>
      </c>
      <c r="N754" s="10" t="b">
        <v>0</v>
      </c>
      <c r="O754" s="41"/>
      <c r="P754" s="45">
        <f t="shared" si="79"/>
        <v>186.06</v>
      </c>
      <c r="Q754" s="45">
        <f t="shared" si="80"/>
        <v>256.94</v>
      </c>
      <c r="R754" s="45">
        <v>0</v>
      </c>
      <c r="S754" s="45">
        <f t="shared" si="81"/>
        <v>0</v>
      </c>
      <c r="T754" s="45">
        <f t="shared" si="82"/>
        <v>0</v>
      </c>
      <c r="U754" s="47">
        <f t="shared" si="83"/>
        <v>256.94</v>
      </c>
    </row>
    <row r="755" spans="1:21" x14ac:dyDescent="0.3">
      <c r="A755" s="41" t="str">
        <f t="shared" si="77"/>
        <v>PUNIOU</v>
      </c>
      <c r="B755" s="43">
        <v>45593</v>
      </c>
      <c r="C755" s="10" t="s">
        <v>797</v>
      </c>
      <c r="D755" s="10" t="s">
        <v>10</v>
      </c>
      <c r="E755" s="10" t="s">
        <v>2</v>
      </c>
      <c r="F755" s="10" t="s">
        <v>4</v>
      </c>
      <c r="G755" s="10" t="s">
        <v>46</v>
      </c>
      <c r="H755" s="10" t="s">
        <v>88</v>
      </c>
      <c r="I755" s="45">
        <v>3232</v>
      </c>
      <c r="J755" s="11">
        <v>0</v>
      </c>
      <c r="K755" s="45">
        <f t="shared" si="78"/>
        <v>3232</v>
      </c>
      <c r="L755" s="10">
        <v>1</v>
      </c>
      <c r="M755" s="10">
        <v>4.9000000000000004</v>
      </c>
      <c r="N755" s="10" t="b">
        <v>0</v>
      </c>
      <c r="O755" s="41"/>
      <c r="P755" s="45">
        <f t="shared" si="79"/>
        <v>1357.44</v>
      </c>
      <c r="Q755" s="45">
        <f t="shared" si="80"/>
        <v>1874.56</v>
      </c>
      <c r="R755" s="45">
        <v>0</v>
      </c>
      <c r="S755" s="45">
        <f t="shared" si="81"/>
        <v>0</v>
      </c>
      <c r="T755" s="45">
        <f t="shared" si="82"/>
        <v>0</v>
      </c>
      <c r="U755" s="47">
        <f t="shared" si="83"/>
        <v>1874.56</v>
      </c>
    </row>
    <row r="756" spans="1:21" x14ac:dyDescent="0.3">
      <c r="A756" s="41" t="str">
        <f t="shared" si="77"/>
        <v>PANNAC</v>
      </c>
      <c r="B756" s="43">
        <v>45593</v>
      </c>
      <c r="C756" s="10" t="s">
        <v>798</v>
      </c>
      <c r="D756" s="10" t="s">
        <v>42</v>
      </c>
      <c r="E756" s="10" t="s">
        <v>15</v>
      </c>
      <c r="F756" s="10" t="s">
        <v>54</v>
      </c>
      <c r="G756" s="10" t="s">
        <v>7</v>
      </c>
      <c r="H756" s="10" t="s">
        <v>56</v>
      </c>
      <c r="I756" s="45">
        <v>485</v>
      </c>
      <c r="J756" s="11">
        <v>0</v>
      </c>
      <c r="K756" s="45">
        <f t="shared" si="78"/>
        <v>485</v>
      </c>
      <c r="L756" s="10">
        <v>44</v>
      </c>
      <c r="M756" s="10">
        <v>4.2</v>
      </c>
      <c r="N756" s="10" t="b">
        <v>1</v>
      </c>
      <c r="O756" s="41" t="s">
        <v>309</v>
      </c>
      <c r="P756" s="45">
        <f t="shared" si="79"/>
        <v>203.7</v>
      </c>
      <c r="Q756" s="45">
        <f t="shared" si="80"/>
        <v>281.3</v>
      </c>
      <c r="R756" s="45">
        <v>150</v>
      </c>
      <c r="S756" s="45">
        <f t="shared" si="81"/>
        <v>48.5</v>
      </c>
      <c r="T756" s="45">
        <f t="shared" si="82"/>
        <v>485</v>
      </c>
      <c r="U756" s="47">
        <f t="shared" si="83"/>
        <v>-402.2</v>
      </c>
    </row>
    <row r="757" spans="1:21" x14ac:dyDescent="0.3">
      <c r="A757" s="41" t="str">
        <f t="shared" si="77"/>
        <v>PUNIOU</v>
      </c>
      <c r="B757" s="43">
        <v>45593</v>
      </c>
      <c r="C757" s="10" t="s">
        <v>799</v>
      </c>
      <c r="D757" s="10" t="s">
        <v>10</v>
      </c>
      <c r="E757" s="10" t="s">
        <v>2</v>
      </c>
      <c r="F757" s="10" t="s">
        <v>11</v>
      </c>
      <c r="G757" s="10" t="s">
        <v>5</v>
      </c>
      <c r="H757" s="10" t="s">
        <v>47</v>
      </c>
      <c r="I757" s="45">
        <v>3651</v>
      </c>
      <c r="J757" s="11">
        <v>0</v>
      </c>
      <c r="K757" s="45">
        <f t="shared" si="78"/>
        <v>3651</v>
      </c>
      <c r="L757" s="10">
        <v>32</v>
      </c>
      <c r="M757" s="10">
        <v>4</v>
      </c>
      <c r="N757" s="10" t="b">
        <v>0</v>
      </c>
      <c r="O757" s="41"/>
      <c r="P757" s="45">
        <f t="shared" si="79"/>
        <v>1533.4199999999998</v>
      </c>
      <c r="Q757" s="45">
        <f t="shared" si="80"/>
        <v>2117.58</v>
      </c>
      <c r="R757" s="45">
        <v>0</v>
      </c>
      <c r="S757" s="45">
        <f t="shared" si="81"/>
        <v>0</v>
      </c>
      <c r="T757" s="45">
        <f t="shared" si="82"/>
        <v>0</v>
      </c>
      <c r="U757" s="47">
        <f t="shared" si="83"/>
        <v>2117.58</v>
      </c>
    </row>
    <row r="758" spans="1:21" x14ac:dyDescent="0.3">
      <c r="A758" s="41" t="str">
        <f t="shared" si="77"/>
        <v>PBANAC</v>
      </c>
      <c r="B758" s="43">
        <v>45593</v>
      </c>
      <c r="C758" s="10" t="s">
        <v>800</v>
      </c>
      <c r="D758" s="10" t="s">
        <v>21</v>
      </c>
      <c r="E758" s="10" t="s">
        <v>15</v>
      </c>
      <c r="F758" s="10" t="s">
        <v>11</v>
      </c>
      <c r="G758" s="10" t="s">
        <v>7</v>
      </c>
      <c r="H758" s="10" t="s">
        <v>43</v>
      </c>
      <c r="I758" s="45">
        <v>229</v>
      </c>
      <c r="J758" s="11">
        <v>0</v>
      </c>
      <c r="K758" s="45">
        <f t="shared" si="78"/>
        <v>229</v>
      </c>
      <c r="L758" s="10">
        <v>33</v>
      </c>
      <c r="M758" s="10"/>
      <c r="N758" s="10" t="b">
        <v>0</v>
      </c>
      <c r="O758" s="41"/>
      <c r="P758" s="45">
        <f t="shared" si="79"/>
        <v>96.179999999999993</v>
      </c>
      <c r="Q758" s="45">
        <f t="shared" si="80"/>
        <v>132.82</v>
      </c>
      <c r="R758" s="45">
        <v>0</v>
      </c>
      <c r="S758" s="45">
        <f t="shared" si="81"/>
        <v>0</v>
      </c>
      <c r="T758" s="45">
        <f t="shared" si="82"/>
        <v>0</v>
      </c>
      <c r="U758" s="47">
        <f t="shared" si="83"/>
        <v>132.82</v>
      </c>
    </row>
    <row r="759" spans="1:21" x14ac:dyDescent="0.3">
      <c r="A759" s="41" t="str">
        <f t="shared" si="77"/>
        <v>PH&amp;MDR</v>
      </c>
      <c r="B759" s="43">
        <v>45594</v>
      </c>
      <c r="C759" s="10" t="s">
        <v>801</v>
      </c>
      <c r="D759" s="10" t="s">
        <v>37</v>
      </c>
      <c r="E759" s="10" t="s">
        <v>30</v>
      </c>
      <c r="F759" s="10" t="s">
        <v>4</v>
      </c>
      <c r="G759" s="10" t="s">
        <v>12</v>
      </c>
      <c r="H759" s="10" t="s">
        <v>28</v>
      </c>
      <c r="I759" s="45">
        <v>2152</v>
      </c>
      <c r="J759" s="11">
        <v>0</v>
      </c>
      <c r="K759" s="45">
        <f t="shared" si="78"/>
        <v>2152</v>
      </c>
      <c r="L759" s="10">
        <v>13</v>
      </c>
      <c r="M759" s="10">
        <v>3.9</v>
      </c>
      <c r="N759" s="10" t="b">
        <v>1</v>
      </c>
      <c r="O759" s="41" t="s">
        <v>33</v>
      </c>
      <c r="P759" s="45">
        <f t="shared" si="79"/>
        <v>903.83999999999992</v>
      </c>
      <c r="Q759" s="45">
        <f t="shared" si="80"/>
        <v>1248.1600000000001</v>
      </c>
      <c r="R759" s="45">
        <v>150</v>
      </c>
      <c r="S759" s="45">
        <f t="shared" si="81"/>
        <v>215.20000000000002</v>
      </c>
      <c r="T759" s="45">
        <f t="shared" si="82"/>
        <v>2152</v>
      </c>
      <c r="U759" s="47">
        <f t="shared" si="83"/>
        <v>-1269.04</v>
      </c>
    </row>
    <row r="760" spans="1:21" x14ac:dyDescent="0.3">
      <c r="A760" s="41" t="str">
        <f t="shared" si="77"/>
        <v>PUNIAC</v>
      </c>
      <c r="B760" s="43">
        <v>45594</v>
      </c>
      <c r="C760" s="10" t="s">
        <v>802</v>
      </c>
      <c r="D760" s="10" t="s">
        <v>10</v>
      </c>
      <c r="E760" s="10" t="s">
        <v>15</v>
      </c>
      <c r="F760" s="10" t="s">
        <v>54</v>
      </c>
      <c r="G760" s="10" t="s">
        <v>7</v>
      </c>
      <c r="H760" s="10" t="s">
        <v>7</v>
      </c>
      <c r="I760" s="45">
        <v>276</v>
      </c>
      <c r="J760" s="11">
        <v>0</v>
      </c>
      <c r="K760" s="45">
        <f t="shared" si="78"/>
        <v>276</v>
      </c>
      <c r="L760" s="10">
        <v>18</v>
      </c>
      <c r="M760" s="10">
        <v>2.8</v>
      </c>
      <c r="N760" s="10" t="b">
        <v>0</v>
      </c>
      <c r="O760" s="41"/>
      <c r="P760" s="45">
        <f t="shared" si="79"/>
        <v>115.92</v>
      </c>
      <c r="Q760" s="45">
        <f t="shared" si="80"/>
        <v>160.07999999999998</v>
      </c>
      <c r="R760" s="45">
        <v>0</v>
      </c>
      <c r="S760" s="45">
        <f t="shared" si="81"/>
        <v>0</v>
      </c>
      <c r="T760" s="45">
        <f t="shared" si="82"/>
        <v>0</v>
      </c>
      <c r="U760" s="47">
        <f t="shared" si="83"/>
        <v>160.07999999999998</v>
      </c>
    </row>
    <row r="761" spans="1:21" x14ac:dyDescent="0.3">
      <c r="A761" s="41" t="str">
        <f t="shared" si="77"/>
        <v>PFORDR</v>
      </c>
      <c r="B761" s="43">
        <v>45594</v>
      </c>
      <c r="C761" s="10" t="s">
        <v>803</v>
      </c>
      <c r="D761" s="10" t="s">
        <v>65</v>
      </c>
      <c r="E761" s="10" t="s">
        <v>30</v>
      </c>
      <c r="F761" s="10" t="s">
        <v>54</v>
      </c>
      <c r="G761" s="10" t="s">
        <v>27</v>
      </c>
      <c r="H761" s="10" t="s">
        <v>16</v>
      </c>
      <c r="I761" s="45">
        <v>2403</v>
      </c>
      <c r="J761" s="11">
        <v>0</v>
      </c>
      <c r="K761" s="45">
        <f t="shared" si="78"/>
        <v>2403</v>
      </c>
      <c r="L761" s="10">
        <v>42</v>
      </c>
      <c r="M761" s="10">
        <v>2</v>
      </c>
      <c r="N761" s="10" t="b">
        <v>0</v>
      </c>
      <c r="O761" s="41"/>
      <c r="P761" s="45">
        <f t="shared" si="79"/>
        <v>1009.26</v>
      </c>
      <c r="Q761" s="45">
        <f t="shared" si="80"/>
        <v>1393.74</v>
      </c>
      <c r="R761" s="45">
        <v>0</v>
      </c>
      <c r="S761" s="45">
        <f t="shared" si="81"/>
        <v>0</v>
      </c>
      <c r="T761" s="45">
        <f t="shared" si="82"/>
        <v>0</v>
      </c>
      <c r="U761" s="47">
        <f t="shared" si="83"/>
        <v>1393.74</v>
      </c>
    </row>
    <row r="762" spans="1:21" x14ac:dyDescent="0.3">
      <c r="A762" s="41" t="str">
        <f t="shared" si="77"/>
        <v>PZARBO</v>
      </c>
      <c r="B762" s="43">
        <v>45594</v>
      </c>
      <c r="C762" s="10" t="s">
        <v>804</v>
      </c>
      <c r="D762" s="10" t="s">
        <v>3</v>
      </c>
      <c r="E762" s="10" t="s">
        <v>26</v>
      </c>
      <c r="F762" s="10" t="s">
        <v>11</v>
      </c>
      <c r="G762" s="10" t="s">
        <v>38</v>
      </c>
      <c r="H762" s="10" t="s">
        <v>32</v>
      </c>
      <c r="I762" s="45">
        <v>2005</v>
      </c>
      <c r="J762" s="11">
        <v>9.6000000000000002E-2</v>
      </c>
      <c r="K762" s="45">
        <f t="shared" si="78"/>
        <v>1812.52</v>
      </c>
      <c r="L762" s="10">
        <v>45</v>
      </c>
      <c r="M762" s="10">
        <v>2.1</v>
      </c>
      <c r="N762" s="10" t="b">
        <v>0</v>
      </c>
      <c r="O762" s="41"/>
      <c r="P762" s="45">
        <f t="shared" si="79"/>
        <v>761.25839999999994</v>
      </c>
      <c r="Q762" s="45">
        <f t="shared" si="80"/>
        <v>1051.2616</v>
      </c>
      <c r="R762" s="45">
        <v>0</v>
      </c>
      <c r="S762" s="45">
        <f t="shared" si="81"/>
        <v>0</v>
      </c>
      <c r="T762" s="45">
        <f t="shared" si="82"/>
        <v>0</v>
      </c>
      <c r="U762" s="47">
        <f t="shared" si="83"/>
        <v>1051.2616</v>
      </c>
    </row>
    <row r="763" spans="1:21" x14ac:dyDescent="0.3">
      <c r="A763" s="41" t="str">
        <f t="shared" si="77"/>
        <v>PFORAC</v>
      </c>
      <c r="B763" s="43">
        <v>45595</v>
      </c>
      <c r="C763" s="10" t="s">
        <v>805</v>
      </c>
      <c r="D763" s="10" t="s">
        <v>65</v>
      </c>
      <c r="E763" s="10" t="s">
        <v>15</v>
      </c>
      <c r="F763" s="10" t="s">
        <v>54</v>
      </c>
      <c r="G763" s="10" t="s">
        <v>7</v>
      </c>
      <c r="H763" s="10" t="s">
        <v>7</v>
      </c>
      <c r="I763" s="45">
        <v>370</v>
      </c>
      <c r="J763" s="11">
        <v>0.44600000000000001</v>
      </c>
      <c r="K763" s="45">
        <f t="shared" si="78"/>
        <v>204.98000000000002</v>
      </c>
      <c r="L763" s="10">
        <v>41</v>
      </c>
      <c r="M763" s="10">
        <v>2.2999999999999998</v>
      </c>
      <c r="N763" s="10" t="b">
        <v>0</v>
      </c>
      <c r="O763" s="41"/>
      <c r="P763" s="45">
        <f t="shared" si="79"/>
        <v>86.0916</v>
      </c>
      <c r="Q763" s="45">
        <f t="shared" si="80"/>
        <v>118.88840000000002</v>
      </c>
      <c r="R763" s="45">
        <v>0</v>
      </c>
      <c r="S763" s="45">
        <f t="shared" si="81"/>
        <v>0</v>
      </c>
      <c r="T763" s="45">
        <f t="shared" si="82"/>
        <v>0</v>
      </c>
      <c r="U763" s="47">
        <f t="shared" si="83"/>
        <v>118.88840000000002</v>
      </c>
    </row>
    <row r="764" spans="1:21" x14ac:dyDescent="0.3">
      <c r="A764" s="41" t="str">
        <f t="shared" si="77"/>
        <v>PMANOU</v>
      </c>
      <c r="B764" s="43">
        <v>45595</v>
      </c>
      <c r="C764" s="10" t="s">
        <v>806</v>
      </c>
      <c r="D764" s="10" t="s">
        <v>31</v>
      </c>
      <c r="E764" s="10" t="s">
        <v>2</v>
      </c>
      <c r="F764" s="10" t="s">
        <v>23</v>
      </c>
      <c r="G764" s="10" t="s">
        <v>49</v>
      </c>
      <c r="H764" s="10" t="s">
        <v>35</v>
      </c>
      <c r="I764" s="45">
        <v>3358</v>
      </c>
      <c r="J764" s="11">
        <v>3.0000000000000001E-3</v>
      </c>
      <c r="K764" s="45">
        <f t="shared" si="78"/>
        <v>3347.9259999999999</v>
      </c>
      <c r="L764" s="10">
        <v>30</v>
      </c>
      <c r="M764" s="10">
        <v>2.9</v>
      </c>
      <c r="N764" s="10" t="b">
        <v>1</v>
      </c>
      <c r="O764" s="41" t="s">
        <v>44</v>
      </c>
      <c r="P764" s="45">
        <f t="shared" si="79"/>
        <v>1406.1289199999999</v>
      </c>
      <c r="Q764" s="45">
        <f t="shared" si="80"/>
        <v>1941.7970800000001</v>
      </c>
      <c r="R764" s="45">
        <v>150</v>
      </c>
      <c r="S764" s="45">
        <f t="shared" si="81"/>
        <v>334.79259999999999</v>
      </c>
      <c r="T764" s="45">
        <f t="shared" si="82"/>
        <v>3347.9259999999999</v>
      </c>
      <c r="U764" s="47">
        <f t="shared" si="83"/>
        <v>-1890.9215199999999</v>
      </c>
    </row>
    <row r="765" spans="1:21" x14ac:dyDescent="0.3">
      <c r="A765" s="41" t="str">
        <f t="shared" si="77"/>
        <v>PGAPDR</v>
      </c>
      <c r="B765" s="43">
        <v>45595</v>
      </c>
      <c r="C765" s="10" t="s">
        <v>807</v>
      </c>
      <c r="D765" s="10" t="s">
        <v>53</v>
      </c>
      <c r="E765" s="10" t="s">
        <v>30</v>
      </c>
      <c r="F765" s="10" t="s">
        <v>4</v>
      </c>
      <c r="G765" s="10" t="s">
        <v>27</v>
      </c>
      <c r="H765" s="10" t="s">
        <v>43</v>
      </c>
      <c r="I765" s="45">
        <v>1956</v>
      </c>
      <c r="J765" s="11">
        <v>7.4999999999999997E-2</v>
      </c>
      <c r="K765" s="45">
        <f t="shared" si="78"/>
        <v>1809.3000000000002</v>
      </c>
      <c r="L765" s="10">
        <v>21</v>
      </c>
      <c r="M765" s="10">
        <v>4.5999999999999996</v>
      </c>
      <c r="N765" s="10" t="b">
        <v>0</v>
      </c>
      <c r="O765" s="41"/>
      <c r="P765" s="45">
        <f t="shared" si="79"/>
        <v>759.90600000000006</v>
      </c>
      <c r="Q765" s="45">
        <f t="shared" si="80"/>
        <v>1049.3940000000002</v>
      </c>
      <c r="R765" s="45">
        <v>0</v>
      </c>
      <c r="S765" s="45">
        <f t="shared" si="81"/>
        <v>0</v>
      </c>
      <c r="T765" s="45">
        <f t="shared" si="82"/>
        <v>0</v>
      </c>
      <c r="U765" s="47">
        <f t="shared" si="83"/>
        <v>1049.3940000000002</v>
      </c>
    </row>
    <row r="766" spans="1:21" x14ac:dyDescent="0.3">
      <c r="A766" s="41" t="str">
        <f t="shared" si="77"/>
        <v>PH&amp;MSH</v>
      </c>
      <c r="B766" s="43">
        <v>45596</v>
      </c>
      <c r="C766" s="10" t="s">
        <v>808</v>
      </c>
      <c r="D766" s="10" t="s">
        <v>37</v>
      </c>
      <c r="E766" s="10" t="s">
        <v>18</v>
      </c>
      <c r="F766" s="10" t="s">
        <v>4</v>
      </c>
      <c r="G766" s="10" t="s">
        <v>12</v>
      </c>
      <c r="H766" s="10" t="s">
        <v>32</v>
      </c>
      <c r="I766" s="45">
        <v>3900</v>
      </c>
      <c r="J766" s="11">
        <v>0</v>
      </c>
      <c r="K766" s="45">
        <f t="shared" si="78"/>
        <v>3900</v>
      </c>
      <c r="L766" s="10">
        <v>35</v>
      </c>
      <c r="M766" s="10">
        <v>2.9</v>
      </c>
      <c r="N766" s="10" t="b">
        <v>0</v>
      </c>
      <c r="O766" s="41"/>
      <c r="P766" s="45">
        <f t="shared" si="79"/>
        <v>1638</v>
      </c>
      <c r="Q766" s="45">
        <f t="shared" si="80"/>
        <v>2262</v>
      </c>
      <c r="R766" s="45">
        <v>0</v>
      </c>
      <c r="S766" s="45">
        <f t="shared" si="81"/>
        <v>0</v>
      </c>
      <c r="T766" s="45">
        <f t="shared" si="82"/>
        <v>0</v>
      </c>
      <c r="U766" s="47">
        <f t="shared" si="83"/>
        <v>2262</v>
      </c>
    </row>
    <row r="767" spans="1:21" x14ac:dyDescent="0.3">
      <c r="A767" s="41" t="str">
        <f t="shared" si="77"/>
        <v>PGAPBO</v>
      </c>
      <c r="B767" s="43">
        <v>45596</v>
      </c>
      <c r="C767" s="10" t="s">
        <v>809</v>
      </c>
      <c r="D767" s="10" t="s">
        <v>53</v>
      </c>
      <c r="E767" s="10" t="s">
        <v>26</v>
      </c>
      <c r="F767" s="10" t="s">
        <v>23</v>
      </c>
      <c r="G767" s="10" t="s">
        <v>12</v>
      </c>
      <c r="H767" s="10" t="s">
        <v>32</v>
      </c>
      <c r="I767" s="45">
        <v>2543</v>
      </c>
      <c r="J767" s="11">
        <v>0</v>
      </c>
      <c r="K767" s="45">
        <f t="shared" si="78"/>
        <v>2543</v>
      </c>
      <c r="L767" s="10">
        <v>17</v>
      </c>
      <c r="M767" s="10">
        <v>2</v>
      </c>
      <c r="N767" s="10" t="b">
        <v>0</v>
      </c>
      <c r="O767" s="41"/>
      <c r="P767" s="45">
        <f t="shared" si="79"/>
        <v>1068.06</v>
      </c>
      <c r="Q767" s="45">
        <f t="shared" si="80"/>
        <v>1474.94</v>
      </c>
      <c r="R767" s="45">
        <v>0</v>
      </c>
      <c r="S767" s="45">
        <f t="shared" si="81"/>
        <v>0</v>
      </c>
      <c r="T767" s="45">
        <f t="shared" si="82"/>
        <v>0</v>
      </c>
      <c r="U767" s="47">
        <f t="shared" si="83"/>
        <v>1474.94</v>
      </c>
    </row>
    <row r="768" spans="1:21" x14ac:dyDescent="0.3">
      <c r="A768" s="41" t="str">
        <f t="shared" si="77"/>
        <v>PH&amp;MBO</v>
      </c>
      <c r="B768" s="43">
        <v>45596</v>
      </c>
      <c r="C768" s="10" t="s">
        <v>810</v>
      </c>
      <c r="D768" s="10" t="s">
        <v>37</v>
      </c>
      <c r="E768" s="10" t="s">
        <v>26</v>
      </c>
      <c r="F768" s="10" t="s">
        <v>54</v>
      </c>
      <c r="G768" s="10" t="s">
        <v>12</v>
      </c>
      <c r="H768" s="10" t="s">
        <v>35</v>
      </c>
      <c r="I768" s="45">
        <v>2815</v>
      </c>
      <c r="J768" s="11">
        <v>0</v>
      </c>
      <c r="K768" s="45">
        <f t="shared" si="78"/>
        <v>2815</v>
      </c>
      <c r="L768" s="10">
        <v>18</v>
      </c>
      <c r="M768" s="10">
        <v>3.7</v>
      </c>
      <c r="N768" s="10" t="b">
        <v>0</v>
      </c>
      <c r="O768" s="41"/>
      <c r="P768" s="45">
        <f t="shared" si="79"/>
        <v>1182.3</v>
      </c>
      <c r="Q768" s="45">
        <f t="shared" si="80"/>
        <v>1632.7</v>
      </c>
      <c r="R768" s="45">
        <v>0</v>
      </c>
      <c r="S768" s="45">
        <f t="shared" si="81"/>
        <v>0</v>
      </c>
      <c r="T768" s="45">
        <f t="shared" si="82"/>
        <v>0</v>
      </c>
      <c r="U768" s="47">
        <f t="shared" si="83"/>
        <v>1632.7</v>
      </c>
    </row>
    <row r="769" spans="1:21" x14ac:dyDescent="0.3">
      <c r="A769" s="41" t="str">
        <f t="shared" si="77"/>
        <v>PFORDR</v>
      </c>
      <c r="B769" s="43">
        <v>45596</v>
      </c>
      <c r="C769" s="10" t="s">
        <v>811</v>
      </c>
      <c r="D769" s="10" t="s">
        <v>65</v>
      </c>
      <c r="E769" s="10" t="s">
        <v>30</v>
      </c>
      <c r="F769" s="10" t="s">
        <v>4</v>
      </c>
      <c r="G769" s="10" t="s">
        <v>5</v>
      </c>
      <c r="H769" s="10" t="s">
        <v>35</v>
      </c>
      <c r="I769" s="45">
        <v>2454</v>
      </c>
      <c r="J769" s="11">
        <v>0.36799999999999999</v>
      </c>
      <c r="K769" s="45">
        <f t="shared" si="78"/>
        <v>1550.9280000000001</v>
      </c>
      <c r="L769" s="10">
        <v>37</v>
      </c>
      <c r="M769" s="10">
        <v>3.3</v>
      </c>
      <c r="N769" s="10" t="b">
        <v>0</v>
      </c>
      <c r="O769" s="41"/>
      <c r="P769" s="45">
        <f t="shared" si="79"/>
        <v>651.38976000000002</v>
      </c>
      <c r="Q769" s="45">
        <f t="shared" si="80"/>
        <v>899.53824000000009</v>
      </c>
      <c r="R769" s="45">
        <v>0</v>
      </c>
      <c r="S769" s="45">
        <f t="shared" si="81"/>
        <v>0</v>
      </c>
      <c r="T769" s="45">
        <f t="shared" si="82"/>
        <v>0</v>
      </c>
      <c r="U769" s="47">
        <f t="shared" si="83"/>
        <v>899.53824000000009</v>
      </c>
    </row>
    <row r="770" spans="1:21" x14ac:dyDescent="0.3">
      <c r="A770" s="41" t="str">
        <f t="shared" ref="A770:A833" si="84">UPPER("P"&amp;LEFT(D770,3)&amp;LEFT(E770,2))</f>
        <v>PUNITO</v>
      </c>
      <c r="B770" s="43">
        <v>45597</v>
      </c>
      <c r="C770" s="10" t="s">
        <v>812</v>
      </c>
      <c r="D770" s="10" t="s">
        <v>10</v>
      </c>
      <c r="E770" s="10" t="s">
        <v>9</v>
      </c>
      <c r="F770" s="10" t="s">
        <v>23</v>
      </c>
      <c r="G770" s="10" t="s">
        <v>12</v>
      </c>
      <c r="H770" s="10" t="s">
        <v>28</v>
      </c>
      <c r="I770" s="45">
        <v>1414</v>
      </c>
      <c r="J770" s="11">
        <v>0</v>
      </c>
      <c r="K770" s="45">
        <f t="shared" si="78"/>
        <v>1414</v>
      </c>
      <c r="L770" s="10">
        <v>25</v>
      </c>
      <c r="M770" s="10">
        <v>2.5</v>
      </c>
      <c r="N770" s="10" t="b">
        <v>0</v>
      </c>
      <c r="O770" s="41"/>
      <c r="P770" s="45">
        <f t="shared" si="79"/>
        <v>593.88</v>
      </c>
      <c r="Q770" s="45">
        <f t="shared" si="80"/>
        <v>820.12</v>
      </c>
      <c r="R770" s="45">
        <v>0</v>
      </c>
      <c r="S770" s="45">
        <f t="shared" si="81"/>
        <v>0</v>
      </c>
      <c r="T770" s="45">
        <f t="shared" si="82"/>
        <v>0</v>
      </c>
      <c r="U770" s="47">
        <f t="shared" si="83"/>
        <v>820.12</v>
      </c>
    </row>
    <row r="771" spans="1:21" x14ac:dyDescent="0.3">
      <c r="A771" s="41" t="str">
        <f t="shared" si="84"/>
        <v>PZARTO</v>
      </c>
      <c r="B771" s="43">
        <v>45597</v>
      </c>
      <c r="C771" s="10" t="s">
        <v>813</v>
      </c>
      <c r="D771" s="10" t="s">
        <v>3</v>
      </c>
      <c r="E771" s="10" t="s">
        <v>9</v>
      </c>
      <c r="F771" s="10" t="s">
        <v>23</v>
      </c>
      <c r="G771" s="10" t="s">
        <v>7</v>
      </c>
      <c r="H771" s="10" t="s">
        <v>43</v>
      </c>
      <c r="I771" s="45">
        <v>1096</v>
      </c>
      <c r="J771" s="11">
        <v>1.6E-2</v>
      </c>
      <c r="K771" s="45">
        <f t="shared" ref="K771:K834" si="85">I771*(1-J771)</f>
        <v>1078.4639999999999</v>
      </c>
      <c r="L771" s="10">
        <v>33</v>
      </c>
      <c r="M771" s="10">
        <v>2</v>
      </c>
      <c r="N771" s="10" t="b">
        <v>0</v>
      </c>
      <c r="O771" s="41"/>
      <c r="P771" s="45">
        <f t="shared" ref="P771:P834" si="86">K771*0.42</f>
        <v>452.95487999999995</v>
      </c>
      <c r="Q771" s="45">
        <f t="shared" ref="Q771:Q834" si="87">K771-P771</f>
        <v>625.50911999999994</v>
      </c>
      <c r="R771" s="45">
        <v>0</v>
      </c>
      <c r="S771" s="45">
        <f t="shared" ref="S771:S834" si="88">IF(N771=TRUE,K771*0.1,0)</f>
        <v>0</v>
      </c>
      <c r="T771" s="45">
        <f t="shared" ref="T771:T834" si="89">IF(N771=TRUE,K771,0)</f>
        <v>0</v>
      </c>
      <c r="U771" s="47">
        <f t="shared" ref="U771:U834" si="90">Q771-R771-S771-T771</f>
        <v>625.50911999999994</v>
      </c>
    </row>
    <row r="772" spans="1:21" x14ac:dyDescent="0.3">
      <c r="A772" s="41" t="str">
        <f t="shared" si="84"/>
        <v>PH&amp;MDR</v>
      </c>
      <c r="B772" s="43">
        <v>45597</v>
      </c>
      <c r="C772" s="10" t="s">
        <v>814</v>
      </c>
      <c r="D772" s="10" t="s">
        <v>37</v>
      </c>
      <c r="E772" s="10" t="s">
        <v>30</v>
      </c>
      <c r="F772" s="10" t="s">
        <v>11</v>
      </c>
      <c r="G772" s="10" t="s">
        <v>46</v>
      </c>
      <c r="H772" s="10" t="s">
        <v>32</v>
      </c>
      <c r="I772" s="45">
        <v>2564</v>
      </c>
      <c r="J772" s="11">
        <v>0</v>
      </c>
      <c r="K772" s="45">
        <f t="shared" si="85"/>
        <v>2564</v>
      </c>
      <c r="L772" s="10">
        <v>2</v>
      </c>
      <c r="M772" s="10">
        <v>2.8</v>
      </c>
      <c r="N772" s="10" t="b">
        <v>0</v>
      </c>
      <c r="O772" s="41"/>
      <c r="P772" s="45">
        <f t="shared" si="86"/>
        <v>1076.8799999999999</v>
      </c>
      <c r="Q772" s="45">
        <f t="shared" si="87"/>
        <v>1487.1200000000001</v>
      </c>
      <c r="R772" s="45">
        <v>0</v>
      </c>
      <c r="S772" s="45">
        <f t="shared" si="88"/>
        <v>0</v>
      </c>
      <c r="T772" s="45">
        <f t="shared" si="89"/>
        <v>0</v>
      </c>
      <c r="U772" s="47">
        <f t="shared" si="90"/>
        <v>1487.1200000000001</v>
      </c>
    </row>
    <row r="773" spans="1:21" x14ac:dyDescent="0.3">
      <c r="A773" s="41" t="str">
        <f t="shared" si="84"/>
        <v>PGAPBO</v>
      </c>
      <c r="B773" s="43">
        <v>45597</v>
      </c>
      <c r="C773" s="10" t="s">
        <v>815</v>
      </c>
      <c r="D773" s="10" t="s">
        <v>53</v>
      </c>
      <c r="E773" s="10" t="s">
        <v>26</v>
      </c>
      <c r="F773" s="10" t="s">
        <v>11</v>
      </c>
      <c r="G773" s="10" t="s">
        <v>49</v>
      </c>
      <c r="H773" s="10" t="s">
        <v>6</v>
      </c>
      <c r="I773" s="45">
        <v>2225</v>
      </c>
      <c r="J773" s="11">
        <v>0</v>
      </c>
      <c r="K773" s="45">
        <f t="shared" si="85"/>
        <v>2225</v>
      </c>
      <c r="L773" s="10">
        <v>18</v>
      </c>
      <c r="M773" s="10">
        <v>4.2</v>
      </c>
      <c r="N773" s="10" t="b">
        <v>0</v>
      </c>
      <c r="O773" s="41"/>
      <c r="P773" s="45">
        <f t="shared" si="86"/>
        <v>934.5</v>
      </c>
      <c r="Q773" s="45">
        <f t="shared" si="87"/>
        <v>1290.5</v>
      </c>
      <c r="R773" s="45">
        <v>0</v>
      </c>
      <c r="S773" s="45">
        <f t="shared" si="88"/>
        <v>0</v>
      </c>
      <c r="T773" s="45">
        <f t="shared" si="89"/>
        <v>0</v>
      </c>
      <c r="U773" s="47">
        <f t="shared" si="90"/>
        <v>1290.5</v>
      </c>
    </row>
    <row r="774" spans="1:21" x14ac:dyDescent="0.3">
      <c r="A774" s="41" t="str">
        <f t="shared" si="84"/>
        <v>PANNSH</v>
      </c>
      <c r="B774" s="43">
        <v>45598</v>
      </c>
      <c r="C774" s="10" t="s">
        <v>816</v>
      </c>
      <c r="D774" s="10" t="s">
        <v>42</v>
      </c>
      <c r="E774" s="10" t="s">
        <v>18</v>
      </c>
      <c r="F774" s="10" t="s">
        <v>54</v>
      </c>
      <c r="G774" s="10" t="s">
        <v>46</v>
      </c>
      <c r="H774" s="10" t="s">
        <v>16</v>
      </c>
      <c r="I774" s="45">
        <v>3328</v>
      </c>
      <c r="J774" s="11">
        <v>0.25900000000000001</v>
      </c>
      <c r="K774" s="45">
        <f t="shared" si="85"/>
        <v>2466.0479999999998</v>
      </c>
      <c r="L774" s="10">
        <v>40</v>
      </c>
      <c r="M774" s="10">
        <v>1.5</v>
      </c>
      <c r="N774" s="10" t="b">
        <v>1</v>
      </c>
      <c r="O774" s="41" t="s">
        <v>44</v>
      </c>
      <c r="P774" s="45">
        <f t="shared" si="86"/>
        <v>1035.7401599999998</v>
      </c>
      <c r="Q774" s="45">
        <f t="shared" si="87"/>
        <v>1430.3078399999999</v>
      </c>
      <c r="R774" s="45">
        <v>150</v>
      </c>
      <c r="S774" s="45">
        <f t="shared" si="88"/>
        <v>246.60479999999998</v>
      </c>
      <c r="T774" s="45">
        <f t="shared" si="89"/>
        <v>2466.0479999999998</v>
      </c>
      <c r="U774" s="47">
        <f t="shared" si="90"/>
        <v>-1432.3449599999999</v>
      </c>
    </row>
    <row r="775" spans="1:21" x14ac:dyDescent="0.3">
      <c r="A775" s="41" t="str">
        <f t="shared" si="84"/>
        <v>PBANSH</v>
      </c>
      <c r="B775" s="43">
        <v>45598</v>
      </c>
      <c r="C775" s="10" t="s">
        <v>817</v>
      </c>
      <c r="D775" s="10" t="s">
        <v>21</v>
      </c>
      <c r="E775" s="10" t="s">
        <v>18</v>
      </c>
      <c r="F775" s="10" t="s">
        <v>54</v>
      </c>
      <c r="G775" s="10" t="s">
        <v>46</v>
      </c>
      <c r="H775" s="10" t="s">
        <v>32</v>
      </c>
      <c r="I775" s="45">
        <v>3305</v>
      </c>
      <c r="J775" s="11">
        <v>0.52800000000000002</v>
      </c>
      <c r="K775" s="45">
        <f t="shared" si="85"/>
        <v>1559.9599999999998</v>
      </c>
      <c r="L775" s="10">
        <v>23</v>
      </c>
      <c r="M775" s="10"/>
      <c r="N775" s="10" t="b">
        <v>0</v>
      </c>
      <c r="O775" s="41"/>
      <c r="P775" s="45">
        <f t="shared" si="86"/>
        <v>655.18319999999994</v>
      </c>
      <c r="Q775" s="45">
        <f t="shared" si="87"/>
        <v>904.77679999999987</v>
      </c>
      <c r="R775" s="45">
        <v>0</v>
      </c>
      <c r="S775" s="45">
        <f t="shared" si="88"/>
        <v>0</v>
      </c>
      <c r="T775" s="45">
        <f t="shared" si="89"/>
        <v>0</v>
      </c>
      <c r="U775" s="47">
        <f t="shared" si="90"/>
        <v>904.77679999999987</v>
      </c>
    </row>
    <row r="776" spans="1:21" x14ac:dyDescent="0.3">
      <c r="A776" s="41" t="str">
        <f t="shared" si="84"/>
        <v>PUNIAC</v>
      </c>
      <c r="B776" s="43">
        <v>45598</v>
      </c>
      <c r="C776" s="10" t="s">
        <v>818</v>
      </c>
      <c r="D776" s="10" t="s">
        <v>10</v>
      </c>
      <c r="E776" s="10" t="s">
        <v>15</v>
      </c>
      <c r="F776" s="10" t="s">
        <v>11</v>
      </c>
      <c r="G776" s="10" t="s">
        <v>7</v>
      </c>
      <c r="H776" s="10" t="s">
        <v>6</v>
      </c>
      <c r="I776" s="45">
        <v>417</v>
      </c>
      <c r="J776" s="11">
        <v>0</v>
      </c>
      <c r="K776" s="45">
        <f t="shared" si="85"/>
        <v>417</v>
      </c>
      <c r="L776" s="10">
        <v>32</v>
      </c>
      <c r="M776" s="10">
        <v>3.1</v>
      </c>
      <c r="N776" s="10" t="b">
        <v>0</v>
      </c>
      <c r="O776" s="41"/>
      <c r="P776" s="45">
        <f t="shared" si="86"/>
        <v>175.14</v>
      </c>
      <c r="Q776" s="45">
        <f t="shared" si="87"/>
        <v>241.86</v>
      </c>
      <c r="R776" s="45">
        <v>0</v>
      </c>
      <c r="S776" s="45">
        <f t="shared" si="88"/>
        <v>0</v>
      </c>
      <c r="T776" s="45">
        <f t="shared" si="89"/>
        <v>0</v>
      </c>
      <c r="U776" s="47">
        <f t="shared" si="90"/>
        <v>241.86</v>
      </c>
    </row>
    <row r="777" spans="1:21" x14ac:dyDescent="0.3">
      <c r="A777" s="41" t="str">
        <f t="shared" si="84"/>
        <v>PZARTO</v>
      </c>
      <c r="B777" s="43">
        <v>45599</v>
      </c>
      <c r="C777" s="10" t="s">
        <v>819</v>
      </c>
      <c r="D777" s="10" t="s">
        <v>3</v>
      </c>
      <c r="E777" s="10" t="s">
        <v>9</v>
      </c>
      <c r="F777" s="10" t="s">
        <v>23</v>
      </c>
      <c r="G777" s="10" t="s">
        <v>49</v>
      </c>
      <c r="H777" s="10" t="s">
        <v>88</v>
      </c>
      <c r="I777" s="45">
        <v>922</v>
      </c>
      <c r="J777" s="11">
        <v>0.27300000000000002</v>
      </c>
      <c r="K777" s="45">
        <f t="shared" si="85"/>
        <v>670.29399999999998</v>
      </c>
      <c r="L777" s="10">
        <v>9</v>
      </c>
      <c r="M777" s="10">
        <v>3.8</v>
      </c>
      <c r="N777" s="10" t="b">
        <v>0</v>
      </c>
      <c r="O777" s="41"/>
      <c r="P777" s="45">
        <f t="shared" si="86"/>
        <v>281.52348000000001</v>
      </c>
      <c r="Q777" s="45">
        <f t="shared" si="87"/>
        <v>388.77051999999998</v>
      </c>
      <c r="R777" s="45">
        <v>0</v>
      </c>
      <c r="S777" s="45">
        <f t="shared" si="88"/>
        <v>0</v>
      </c>
      <c r="T777" s="45">
        <f t="shared" si="89"/>
        <v>0</v>
      </c>
      <c r="U777" s="47">
        <f t="shared" si="90"/>
        <v>388.77051999999998</v>
      </c>
    </row>
    <row r="778" spans="1:21" x14ac:dyDescent="0.3">
      <c r="A778" s="41" t="str">
        <f t="shared" si="84"/>
        <v>PBANBO</v>
      </c>
      <c r="B778" s="43">
        <v>45599</v>
      </c>
      <c r="C778" s="10" t="s">
        <v>820</v>
      </c>
      <c r="D778" s="10" t="s">
        <v>21</v>
      </c>
      <c r="E778" s="10" t="s">
        <v>26</v>
      </c>
      <c r="F778" s="10" t="s">
        <v>23</v>
      </c>
      <c r="G778" s="10" t="s">
        <v>38</v>
      </c>
      <c r="H778" s="10" t="s">
        <v>35</v>
      </c>
      <c r="I778" s="45">
        <v>2962</v>
      </c>
      <c r="J778" s="11">
        <v>0</v>
      </c>
      <c r="K778" s="45">
        <f t="shared" si="85"/>
        <v>2962</v>
      </c>
      <c r="L778" s="10">
        <v>21</v>
      </c>
      <c r="M778" s="10">
        <v>1.1000000000000001</v>
      </c>
      <c r="N778" s="10" t="b">
        <v>0</v>
      </c>
      <c r="O778" s="41"/>
      <c r="P778" s="45">
        <f t="shared" si="86"/>
        <v>1244.04</v>
      </c>
      <c r="Q778" s="45">
        <f t="shared" si="87"/>
        <v>1717.96</v>
      </c>
      <c r="R778" s="45">
        <v>0</v>
      </c>
      <c r="S778" s="45">
        <f t="shared" si="88"/>
        <v>0</v>
      </c>
      <c r="T778" s="45">
        <f t="shared" si="89"/>
        <v>0</v>
      </c>
      <c r="U778" s="47">
        <f t="shared" si="90"/>
        <v>1717.96</v>
      </c>
    </row>
    <row r="779" spans="1:21" x14ac:dyDescent="0.3">
      <c r="A779" s="41" t="str">
        <f t="shared" si="84"/>
        <v>PMANDR</v>
      </c>
      <c r="B779" s="43">
        <v>45599</v>
      </c>
      <c r="C779" s="10" t="s">
        <v>821</v>
      </c>
      <c r="D779" s="10" t="s">
        <v>31</v>
      </c>
      <c r="E779" s="10" t="s">
        <v>30</v>
      </c>
      <c r="F779" s="10" t="s">
        <v>11</v>
      </c>
      <c r="G779" s="10" t="s">
        <v>38</v>
      </c>
      <c r="H779" s="10" t="s">
        <v>88</v>
      </c>
      <c r="I779" s="45">
        <v>2782</v>
      </c>
      <c r="J779" s="11">
        <v>0.45500000000000002</v>
      </c>
      <c r="K779" s="45">
        <f t="shared" si="85"/>
        <v>1516.1899999999998</v>
      </c>
      <c r="L779" s="10">
        <v>27</v>
      </c>
      <c r="M779" s="10">
        <v>1.6</v>
      </c>
      <c r="N779" s="10" t="b">
        <v>1</v>
      </c>
      <c r="O779" s="41" t="s">
        <v>44</v>
      </c>
      <c r="P779" s="45">
        <f t="shared" si="86"/>
        <v>636.79979999999989</v>
      </c>
      <c r="Q779" s="45">
        <f t="shared" si="87"/>
        <v>879.39019999999994</v>
      </c>
      <c r="R779" s="45">
        <v>150</v>
      </c>
      <c r="S779" s="45">
        <f t="shared" si="88"/>
        <v>151.619</v>
      </c>
      <c r="T779" s="45">
        <f t="shared" si="89"/>
        <v>1516.1899999999998</v>
      </c>
      <c r="U779" s="47">
        <f t="shared" si="90"/>
        <v>-938.41879999999992</v>
      </c>
    </row>
    <row r="780" spans="1:21" x14ac:dyDescent="0.3">
      <c r="A780" s="41" t="str">
        <f t="shared" si="84"/>
        <v>PMANSH</v>
      </c>
      <c r="B780" s="43">
        <v>45599</v>
      </c>
      <c r="C780" s="10" t="s">
        <v>822</v>
      </c>
      <c r="D780" s="10" t="s">
        <v>31</v>
      </c>
      <c r="E780" s="10" t="s">
        <v>18</v>
      </c>
      <c r="F780" s="10" t="s">
        <v>11</v>
      </c>
      <c r="G780" s="10" t="s">
        <v>27</v>
      </c>
      <c r="H780" s="10" t="s">
        <v>6</v>
      </c>
      <c r="I780" s="45">
        <v>3305</v>
      </c>
      <c r="J780" s="11">
        <v>0.50700000000000001</v>
      </c>
      <c r="K780" s="45">
        <f t="shared" si="85"/>
        <v>1629.365</v>
      </c>
      <c r="L780" s="10">
        <v>23</v>
      </c>
      <c r="M780" s="10">
        <v>1.1000000000000001</v>
      </c>
      <c r="N780" s="10" t="b">
        <v>0</v>
      </c>
      <c r="O780" s="41"/>
      <c r="P780" s="45">
        <f t="shared" si="86"/>
        <v>684.33330000000001</v>
      </c>
      <c r="Q780" s="45">
        <f t="shared" si="87"/>
        <v>945.0317</v>
      </c>
      <c r="R780" s="45">
        <v>0</v>
      </c>
      <c r="S780" s="45">
        <f t="shared" si="88"/>
        <v>0</v>
      </c>
      <c r="T780" s="45">
        <f t="shared" si="89"/>
        <v>0</v>
      </c>
      <c r="U780" s="47">
        <f t="shared" si="90"/>
        <v>945.0317</v>
      </c>
    </row>
    <row r="781" spans="1:21" x14ac:dyDescent="0.3">
      <c r="A781" s="41" t="str">
        <f t="shared" si="84"/>
        <v>PBANDR</v>
      </c>
      <c r="B781" s="43">
        <v>45600</v>
      </c>
      <c r="C781" s="10" t="s">
        <v>823</v>
      </c>
      <c r="D781" s="10" t="s">
        <v>21</v>
      </c>
      <c r="E781" s="10" t="s">
        <v>30</v>
      </c>
      <c r="F781" s="10" t="s">
        <v>54</v>
      </c>
      <c r="G781" s="10" t="s">
        <v>46</v>
      </c>
      <c r="H781" s="10" t="s">
        <v>47</v>
      </c>
      <c r="I781" s="45">
        <v>2626</v>
      </c>
      <c r="J781" s="11">
        <v>0</v>
      </c>
      <c r="K781" s="45">
        <f t="shared" si="85"/>
        <v>2626</v>
      </c>
      <c r="L781" s="10">
        <v>31</v>
      </c>
      <c r="M781" s="10">
        <v>1.4</v>
      </c>
      <c r="N781" s="10" t="b">
        <v>1</v>
      </c>
      <c r="O781" s="41" t="s">
        <v>44</v>
      </c>
      <c r="P781" s="45">
        <f t="shared" si="86"/>
        <v>1102.92</v>
      </c>
      <c r="Q781" s="45">
        <f t="shared" si="87"/>
        <v>1523.08</v>
      </c>
      <c r="R781" s="45">
        <v>150</v>
      </c>
      <c r="S781" s="45">
        <f t="shared" si="88"/>
        <v>262.60000000000002</v>
      </c>
      <c r="T781" s="45">
        <f t="shared" si="89"/>
        <v>2626</v>
      </c>
      <c r="U781" s="47">
        <f t="shared" si="90"/>
        <v>-1515.52</v>
      </c>
    </row>
    <row r="782" spans="1:21" x14ac:dyDescent="0.3">
      <c r="A782" s="41" t="str">
        <f t="shared" si="84"/>
        <v>PH&amp;MOU</v>
      </c>
      <c r="B782" s="43">
        <v>45600</v>
      </c>
      <c r="C782" s="10" t="s">
        <v>824</v>
      </c>
      <c r="D782" s="10" t="s">
        <v>37</v>
      </c>
      <c r="E782" s="10" t="s">
        <v>2</v>
      </c>
      <c r="F782" s="10" t="s">
        <v>54</v>
      </c>
      <c r="G782" s="10" t="s">
        <v>46</v>
      </c>
      <c r="H782" s="10" t="s">
        <v>13</v>
      </c>
      <c r="I782" s="45">
        <v>4203</v>
      </c>
      <c r="J782" s="11">
        <v>0</v>
      </c>
      <c r="K782" s="45">
        <f t="shared" si="85"/>
        <v>4203</v>
      </c>
      <c r="L782" s="10">
        <v>0</v>
      </c>
      <c r="M782" s="10"/>
      <c r="N782" s="10" t="b">
        <v>0</v>
      </c>
      <c r="O782" s="41"/>
      <c r="P782" s="45">
        <f t="shared" si="86"/>
        <v>1765.26</v>
      </c>
      <c r="Q782" s="45">
        <f t="shared" si="87"/>
        <v>2437.7399999999998</v>
      </c>
      <c r="R782" s="45">
        <v>0</v>
      </c>
      <c r="S782" s="45">
        <f t="shared" si="88"/>
        <v>0</v>
      </c>
      <c r="T782" s="45">
        <f t="shared" si="89"/>
        <v>0</v>
      </c>
      <c r="U782" s="47">
        <f t="shared" si="90"/>
        <v>2437.7399999999998</v>
      </c>
    </row>
    <row r="783" spans="1:21" x14ac:dyDescent="0.3">
      <c r="A783" s="41" t="str">
        <f t="shared" si="84"/>
        <v>PMANOU</v>
      </c>
      <c r="B783" s="43">
        <v>45600</v>
      </c>
      <c r="C783" s="10" t="s">
        <v>825</v>
      </c>
      <c r="D783" s="10" t="s">
        <v>31</v>
      </c>
      <c r="E783" s="10" t="s">
        <v>2</v>
      </c>
      <c r="F783" s="10" t="s">
        <v>11</v>
      </c>
      <c r="G783" s="10" t="s">
        <v>49</v>
      </c>
      <c r="H783" s="10" t="s">
        <v>28</v>
      </c>
      <c r="I783" s="45">
        <v>3132</v>
      </c>
      <c r="J783" s="11">
        <v>0.35299999999999998</v>
      </c>
      <c r="K783" s="45">
        <f t="shared" si="85"/>
        <v>2026.404</v>
      </c>
      <c r="L783" s="10">
        <v>36</v>
      </c>
      <c r="M783" s="10"/>
      <c r="N783" s="10" t="b">
        <v>1</v>
      </c>
      <c r="O783" s="41" t="s">
        <v>80</v>
      </c>
      <c r="P783" s="45">
        <f t="shared" si="86"/>
        <v>851.08967999999993</v>
      </c>
      <c r="Q783" s="45">
        <f t="shared" si="87"/>
        <v>1175.31432</v>
      </c>
      <c r="R783" s="45">
        <v>150</v>
      </c>
      <c r="S783" s="45">
        <f t="shared" si="88"/>
        <v>202.6404</v>
      </c>
      <c r="T783" s="45">
        <f t="shared" si="89"/>
        <v>2026.404</v>
      </c>
      <c r="U783" s="47">
        <f t="shared" si="90"/>
        <v>-1203.73008</v>
      </c>
    </row>
    <row r="784" spans="1:21" x14ac:dyDescent="0.3">
      <c r="A784" s="41" t="str">
        <f t="shared" si="84"/>
        <v>PMANBO</v>
      </c>
      <c r="B784" s="43">
        <v>45600</v>
      </c>
      <c r="C784" s="10" t="s">
        <v>826</v>
      </c>
      <c r="D784" s="10" t="s">
        <v>31</v>
      </c>
      <c r="E784" s="10" t="s">
        <v>26</v>
      </c>
      <c r="F784" s="10" t="s">
        <v>4</v>
      </c>
      <c r="G784" s="10" t="s">
        <v>7</v>
      </c>
      <c r="H784" s="10" t="s">
        <v>28</v>
      </c>
      <c r="I784" s="45">
        <v>2426</v>
      </c>
      <c r="J784" s="11">
        <v>0.38799999999999996</v>
      </c>
      <c r="K784" s="45">
        <f t="shared" si="85"/>
        <v>1484.7120000000002</v>
      </c>
      <c r="L784" s="10">
        <v>23</v>
      </c>
      <c r="M784" s="10">
        <v>4.3</v>
      </c>
      <c r="N784" s="10" t="b">
        <v>1</v>
      </c>
      <c r="O784" s="41" t="s">
        <v>44</v>
      </c>
      <c r="P784" s="45">
        <f t="shared" si="86"/>
        <v>623.57904000000008</v>
      </c>
      <c r="Q784" s="45">
        <f t="shared" si="87"/>
        <v>861.13296000000014</v>
      </c>
      <c r="R784" s="45">
        <v>150</v>
      </c>
      <c r="S784" s="45">
        <f t="shared" si="88"/>
        <v>148.47120000000004</v>
      </c>
      <c r="T784" s="45">
        <f t="shared" si="89"/>
        <v>1484.7120000000002</v>
      </c>
      <c r="U784" s="47">
        <f t="shared" si="90"/>
        <v>-922.05024000000014</v>
      </c>
    </row>
    <row r="785" spans="1:21" x14ac:dyDescent="0.3">
      <c r="A785" s="41" t="str">
        <f t="shared" si="84"/>
        <v>PGAPAC</v>
      </c>
      <c r="B785" s="43">
        <v>45601</v>
      </c>
      <c r="C785" s="10" t="s">
        <v>827</v>
      </c>
      <c r="D785" s="10" t="s">
        <v>53</v>
      </c>
      <c r="E785" s="10" t="s">
        <v>15</v>
      </c>
      <c r="F785" s="10" t="s">
        <v>54</v>
      </c>
      <c r="G785" s="10" t="s">
        <v>7</v>
      </c>
      <c r="H785" s="10" t="s">
        <v>88</v>
      </c>
      <c r="I785" s="45">
        <v>212</v>
      </c>
      <c r="J785" s="11">
        <v>0.59899999999999998</v>
      </c>
      <c r="K785" s="45">
        <f t="shared" si="85"/>
        <v>85.012</v>
      </c>
      <c r="L785" s="10">
        <v>47</v>
      </c>
      <c r="M785" s="10"/>
      <c r="N785" s="10" t="b">
        <v>0</v>
      </c>
      <c r="O785" s="41"/>
      <c r="P785" s="45">
        <f t="shared" si="86"/>
        <v>35.705039999999997</v>
      </c>
      <c r="Q785" s="45">
        <f t="shared" si="87"/>
        <v>49.306960000000004</v>
      </c>
      <c r="R785" s="45">
        <v>0</v>
      </c>
      <c r="S785" s="45">
        <f t="shared" si="88"/>
        <v>0</v>
      </c>
      <c r="T785" s="45">
        <f t="shared" si="89"/>
        <v>0</v>
      </c>
      <c r="U785" s="47">
        <f t="shared" si="90"/>
        <v>49.306960000000004</v>
      </c>
    </row>
    <row r="786" spans="1:21" x14ac:dyDescent="0.3">
      <c r="A786" s="41" t="str">
        <f t="shared" si="84"/>
        <v>PFOROU</v>
      </c>
      <c r="B786" s="43">
        <v>45601</v>
      </c>
      <c r="C786" s="10" t="s">
        <v>828</v>
      </c>
      <c r="D786" s="10" t="s">
        <v>65</v>
      </c>
      <c r="E786" s="10" t="s">
        <v>2</v>
      </c>
      <c r="F786" s="10" t="s">
        <v>54</v>
      </c>
      <c r="G786" s="10" t="s">
        <v>27</v>
      </c>
      <c r="H786" s="10" t="s">
        <v>28</v>
      </c>
      <c r="I786" s="45">
        <v>4190</v>
      </c>
      <c r="J786" s="11">
        <v>0.17300000000000001</v>
      </c>
      <c r="K786" s="45">
        <f t="shared" si="85"/>
        <v>3465.1299999999997</v>
      </c>
      <c r="L786" s="10">
        <v>49</v>
      </c>
      <c r="M786" s="10">
        <v>2.1</v>
      </c>
      <c r="N786" s="10" t="b">
        <v>0</v>
      </c>
      <c r="O786" s="41"/>
      <c r="P786" s="45">
        <f t="shared" si="86"/>
        <v>1455.3545999999999</v>
      </c>
      <c r="Q786" s="45">
        <f t="shared" si="87"/>
        <v>2009.7753999999998</v>
      </c>
      <c r="R786" s="45">
        <v>0</v>
      </c>
      <c r="S786" s="45">
        <f t="shared" si="88"/>
        <v>0</v>
      </c>
      <c r="T786" s="45">
        <f t="shared" si="89"/>
        <v>0</v>
      </c>
      <c r="U786" s="47">
        <f t="shared" si="90"/>
        <v>2009.7753999999998</v>
      </c>
    </row>
    <row r="787" spans="1:21" x14ac:dyDescent="0.3">
      <c r="A787" s="41" t="str">
        <f t="shared" si="84"/>
        <v>PGAPOU</v>
      </c>
      <c r="B787" s="43">
        <v>45601</v>
      </c>
      <c r="C787" s="10" t="s">
        <v>829</v>
      </c>
      <c r="D787" s="10" t="s">
        <v>53</v>
      </c>
      <c r="E787" s="10" t="s">
        <v>2</v>
      </c>
      <c r="F787" s="10" t="s">
        <v>11</v>
      </c>
      <c r="G787" s="10" t="s">
        <v>5</v>
      </c>
      <c r="H787" s="10" t="s">
        <v>43</v>
      </c>
      <c r="I787" s="45">
        <v>4023</v>
      </c>
      <c r="J787" s="11">
        <v>0</v>
      </c>
      <c r="K787" s="45">
        <f t="shared" si="85"/>
        <v>4023</v>
      </c>
      <c r="L787" s="10">
        <v>14</v>
      </c>
      <c r="M787" s="10">
        <v>3.9</v>
      </c>
      <c r="N787" s="10" t="b">
        <v>0</v>
      </c>
      <c r="O787" s="41"/>
      <c r="P787" s="45">
        <f t="shared" si="86"/>
        <v>1689.6599999999999</v>
      </c>
      <c r="Q787" s="45">
        <f t="shared" si="87"/>
        <v>2333.34</v>
      </c>
      <c r="R787" s="45">
        <v>0</v>
      </c>
      <c r="S787" s="45">
        <f t="shared" si="88"/>
        <v>0</v>
      </c>
      <c r="T787" s="45">
        <f t="shared" si="89"/>
        <v>0</v>
      </c>
      <c r="U787" s="47">
        <f t="shared" si="90"/>
        <v>2333.34</v>
      </c>
    </row>
    <row r="788" spans="1:21" x14ac:dyDescent="0.3">
      <c r="A788" s="41" t="str">
        <f t="shared" si="84"/>
        <v>PANNDR</v>
      </c>
      <c r="B788" s="43">
        <v>45602</v>
      </c>
      <c r="C788" s="10" t="s">
        <v>830</v>
      </c>
      <c r="D788" s="10" t="s">
        <v>42</v>
      </c>
      <c r="E788" s="10" t="s">
        <v>30</v>
      </c>
      <c r="F788" s="10" t="s">
        <v>54</v>
      </c>
      <c r="G788" s="10" t="s">
        <v>27</v>
      </c>
      <c r="H788" s="10" t="s">
        <v>13</v>
      </c>
      <c r="I788" s="45">
        <v>2268</v>
      </c>
      <c r="J788" s="11">
        <v>0.27800000000000002</v>
      </c>
      <c r="K788" s="45">
        <f t="shared" si="85"/>
        <v>1637.4959999999999</v>
      </c>
      <c r="L788" s="10">
        <v>34</v>
      </c>
      <c r="M788" s="10">
        <v>2.8</v>
      </c>
      <c r="N788" s="10" t="b">
        <v>0</v>
      </c>
      <c r="O788" s="41"/>
      <c r="P788" s="45">
        <f t="shared" si="86"/>
        <v>687.74831999999992</v>
      </c>
      <c r="Q788" s="45">
        <f t="shared" si="87"/>
        <v>949.74767999999995</v>
      </c>
      <c r="R788" s="45">
        <v>0</v>
      </c>
      <c r="S788" s="45">
        <f t="shared" si="88"/>
        <v>0</v>
      </c>
      <c r="T788" s="45">
        <f t="shared" si="89"/>
        <v>0</v>
      </c>
      <c r="U788" s="47">
        <f t="shared" si="90"/>
        <v>949.74767999999995</v>
      </c>
    </row>
    <row r="789" spans="1:21" x14ac:dyDescent="0.3">
      <c r="A789" s="41" t="str">
        <f t="shared" si="84"/>
        <v>PANNTO</v>
      </c>
      <c r="B789" s="43">
        <v>45602</v>
      </c>
      <c r="C789" s="10" t="s">
        <v>831</v>
      </c>
      <c r="D789" s="10" t="s">
        <v>42</v>
      </c>
      <c r="E789" s="10" t="s">
        <v>9</v>
      </c>
      <c r="F789" s="10" t="s">
        <v>4</v>
      </c>
      <c r="G789" s="10" t="s">
        <v>27</v>
      </c>
      <c r="H789" s="10" t="s">
        <v>58</v>
      </c>
      <c r="I789" s="45">
        <v>1446</v>
      </c>
      <c r="J789" s="11">
        <v>0</v>
      </c>
      <c r="K789" s="45">
        <f t="shared" si="85"/>
        <v>1446</v>
      </c>
      <c r="L789" s="10">
        <v>23</v>
      </c>
      <c r="M789" s="10">
        <v>1.9</v>
      </c>
      <c r="N789" s="10" t="b">
        <v>0</v>
      </c>
      <c r="O789" s="41"/>
      <c r="P789" s="45">
        <f t="shared" si="86"/>
        <v>607.31999999999994</v>
      </c>
      <c r="Q789" s="45">
        <f t="shared" si="87"/>
        <v>838.68000000000006</v>
      </c>
      <c r="R789" s="45">
        <v>0</v>
      </c>
      <c r="S789" s="45">
        <f t="shared" si="88"/>
        <v>0</v>
      </c>
      <c r="T789" s="45">
        <f t="shared" si="89"/>
        <v>0</v>
      </c>
      <c r="U789" s="47">
        <f t="shared" si="90"/>
        <v>838.68000000000006</v>
      </c>
    </row>
    <row r="790" spans="1:21" x14ac:dyDescent="0.3">
      <c r="A790" s="41" t="str">
        <f t="shared" si="84"/>
        <v>PH&amp;MDR</v>
      </c>
      <c r="B790" s="43">
        <v>45602</v>
      </c>
      <c r="C790" s="10" t="s">
        <v>832</v>
      </c>
      <c r="D790" s="10" t="s">
        <v>37</v>
      </c>
      <c r="E790" s="10" t="s">
        <v>30</v>
      </c>
      <c r="F790" s="10" t="s">
        <v>4</v>
      </c>
      <c r="G790" s="10" t="s">
        <v>5</v>
      </c>
      <c r="H790" s="10" t="s">
        <v>56</v>
      </c>
      <c r="I790" s="45">
        <v>2852</v>
      </c>
      <c r="J790" s="11">
        <v>0.53500000000000003</v>
      </c>
      <c r="K790" s="45">
        <f t="shared" si="85"/>
        <v>1326.1799999999998</v>
      </c>
      <c r="L790" s="10">
        <v>19</v>
      </c>
      <c r="M790" s="10"/>
      <c r="N790" s="10" t="b">
        <v>1</v>
      </c>
      <c r="O790" s="41" t="s">
        <v>33</v>
      </c>
      <c r="P790" s="45">
        <f t="shared" si="86"/>
        <v>556.99559999999985</v>
      </c>
      <c r="Q790" s="45">
        <f t="shared" si="87"/>
        <v>769.18439999999998</v>
      </c>
      <c r="R790" s="45">
        <v>150</v>
      </c>
      <c r="S790" s="45">
        <f t="shared" si="88"/>
        <v>132.61799999999999</v>
      </c>
      <c r="T790" s="45">
        <f t="shared" si="89"/>
        <v>1326.1799999999998</v>
      </c>
      <c r="U790" s="47">
        <f t="shared" si="90"/>
        <v>-839.61359999999991</v>
      </c>
    </row>
    <row r="791" spans="1:21" x14ac:dyDescent="0.3">
      <c r="A791" s="41" t="str">
        <f t="shared" si="84"/>
        <v>PH&amp;MBO</v>
      </c>
      <c r="B791" s="43">
        <v>45602</v>
      </c>
      <c r="C791" s="10" t="s">
        <v>833</v>
      </c>
      <c r="D791" s="10" t="s">
        <v>37</v>
      </c>
      <c r="E791" s="10" t="s">
        <v>26</v>
      </c>
      <c r="F791" s="10" t="s">
        <v>54</v>
      </c>
      <c r="G791" s="10" t="s">
        <v>27</v>
      </c>
      <c r="H791" s="10" t="s">
        <v>43</v>
      </c>
      <c r="I791" s="45">
        <v>2586</v>
      </c>
      <c r="J791" s="11">
        <v>0</v>
      </c>
      <c r="K791" s="45">
        <f t="shared" si="85"/>
        <v>2586</v>
      </c>
      <c r="L791" s="10">
        <v>37</v>
      </c>
      <c r="M791" s="10">
        <v>2.8</v>
      </c>
      <c r="N791" s="10" t="b">
        <v>1</v>
      </c>
      <c r="O791" s="41" t="s">
        <v>33</v>
      </c>
      <c r="P791" s="45">
        <f t="shared" si="86"/>
        <v>1086.1199999999999</v>
      </c>
      <c r="Q791" s="45">
        <f t="shared" si="87"/>
        <v>1499.88</v>
      </c>
      <c r="R791" s="45">
        <v>150</v>
      </c>
      <c r="S791" s="45">
        <f t="shared" si="88"/>
        <v>258.60000000000002</v>
      </c>
      <c r="T791" s="45">
        <f t="shared" si="89"/>
        <v>2586</v>
      </c>
      <c r="U791" s="47">
        <f t="shared" si="90"/>
        <v>-1494.7199999999998</v>
      </c>
    </row>
    <row r="792" spans="1:21" x14ac:dyDescent="0.3">
      <c r="A792" s="41" t="str">
        <f t="shared" si="84"/>
        <v>PBANOU</v>
      </c>
      <c r="B792" s="43">
        <v>45603</v>
      </c>
      <c r="C792" s="10" t="s">
        <v>834</v>
      </c>
      <c r="D792" s="10" t="s">
        <v>21</v>
      </c>
      <c r="E792" s="10" t="s">
        <v>2</v>
      </c>
      <c r="F792" s="10" t="s">
        <v>23</v>
      </c>
      <c r="G792" s="10" t="s">
        <v>5</v>
      </c>
      <c r="H792" s="10" t="s">
        <v>32</v>
      </c>
      <c r="I792" s="45">
        <v>4042</v>
      </c>
      <c r="J792" s="11">
        <v>0.23</v>
      </c>
      <c r="K792" s="45">
        <f t="shared" si="85"/>
        <v>3112.34</v>
      </c>
      <c r="L792" s="10">
        <v>1</v>
      </c>
      <c r="M792" s="10">
        <v>3.7</v>
      </c>
      <c r="N792" s="10" t="b">
        <v>0</v>
      </c>
      <c r="O792" s="41"/>
      <c r="P792" s="45">
        <f t="shared" si="86"/>
        <v>1307.1828</v>
      </c>
      <c r="Q792" s="45">
        <f t="shared" si="87"/>
        <v>1805.1572000000001</v>
      </c>
      <c r="R792" s="45">
        <v>0</v>
      </c>
      <c r="S792" s="45">
        <f t="shared" si="88"/>
        <v>0</v>
      </c>
      <c r="T792" s="45">
        <f t="shared" si="89"/>
        <v>0</v>
      </c>
      <c r="U792" s="47">
        <f t="shared" si="90"/>
        <v>1805.1572000000001</v>
      </c>
    </row>
    <row r="793" spans="1:21" x14ac:dyDescent="0.3">
      <c r="A793" s="41" t="str">
        <f t="shared" si="84"/>
        <v>PMANTO</v>
      </c>
      <c r="B793" s="43">
        <v>45603</v>
      </c>
      <c r="C793" s="10" t="s">
        <v>835</v>
      </c>
      <c r="D793" s="10" t="s">
        <v>31</v>
      </c>
      <c r="E793" s="10" t="s">
        <v>9</v>
      </c>
      <c r="F793" s="10" t="s">
        <v>54</v>
      </c>
      <c r="G793" s="10" t="s">
        <v>46</v>
      </c>
      <c r="H793" s="10" t="s">
        <v>35</v>
      </c>
      <c r="I793" s="45">
        <v>1765</v>
      </c>
      <c r="J793" s="11">
        <v>0.375</v>
      </c>
      <c r="K793" s="45">
        <f t="shared" si="85"/>
        <v>1103.125</v>
      </c>
      <c r="L793" s="10">
        <v>33</v>
      </c>
      <c r="M793" s="10">
        <v>4.3</v>
      </c>
      <c r="N793" s="10" t="b">
        <v>0</v>
      </c>
      <c r="O793" s="41"/>
      <c r="P793" s="45">
        <f t="shared" si="86"/>
        <v>463.3125</v>
      </c>
      <c r="Q793" s="45">
        <f t="shared" si="87"/>
        <v>639.8125</v>
      </c>
      <c r="R793" s="45">
        <v>0</v>
      </c>
      <c r="S793" s="45">
        <f t="shared" si="88"/>
        <v>0</v>
      </c>
      <c r="T793" s="45">
        <f t="shared" si="89"/>
        <v>0</v>
      </c>
      <c r="U793" s="47">
        <f t="shared" si="90"/>
        <v>639.8125</v>
      </c>
    </row>
    <row r="794" spans="1:21" x14ac:dyDescent="0.3">
      <c r="A794" s="41" t="str">
        <f t="shared" si="84"/>
        <v>PBANOU</v>
      </c>
      <c r="B794" s="43">
        <v>45603</v>
      </c>
      <c r="C794" s="10" t="s">
        <v>836</v>
      </c>
      <c r="D794" s="10" t="s">
        <v>21</v>
      </c>
      <c r="E794" s="10" t="s">
        <v>2</v>
      </c>
      <c r="F794" s="10" t="s">
        <v>23</v>
      </c>
      <c r="G794" s="10" t="s">
        <v>49</v>
      </c>
      <c r="H794" s="10" t="s">
        <v>58</v>
      </c>
      <c r="I794" s="45">
        <v>4077</v>
      </c>
      <c r="J794" s="11">
        <v>0.43</v>
      </c>
      <c r="K794" s="45">
        <f t="shared" si="85"/>
        <v>2323.8900000000003</v>
      </c>
      <c r="L794" s="10">
        <v>48</v>
      </c>
      <c r="M794" s="10">
        <v>2.5</v>
      </c>
      <c r="N794" s="10" t="b">
        <v>0</v>
      </c>
      <c r="O794" s="41"/>
      <c r="P794" s="45">
        <f t="shared" si="86"/>
        <v>976.03380000000016</v>
      </c>
      <c r="Q794" s="45">
        <f t="shared" si="87"/>
        <v>1347.8562000000002</v>
      </c>
      <c r="R794" s="45">
        <v>0</v>
      </c>
      <c r="S794" s="45">
        <f t="shared" si="88"/>
        <v>0</v>
      </c>
      <c r="T794" s="45">
        <f t="shared" si="89"/>
        <v>0</v>
      </c>
      <c r="U794" s="47">
        <f t="shared" si="90"/>
        <v>1347.8562000000002</v>
      </c>
    </row>
    <row r="795" spans="1:21" x14ac:dyDescent="0.3">
      <c r="A795" s="41" t="str">
        <f t="shared" si="84"/>
        <v>PZARBO</v>
      </c>
      <c r="B795" s="43">
        <v>45603</v>
      </c>
      <c r="C795" s="10" t="s">
        <v>837</v>
      </c>
      <c r="D795" s="10" t="s">
        <v>3</v>
      </c>
      <c r="E795" s="10" t="s">
        <v>26</v>
      </c>
      <c r="F795" s="10" t="s">
        <v>54</v>
      </c>
      <c r="G795" s="10" t="s">
        <v>27</v>
      </c>
      <c r="H795" s="10" t="s">
        <v>13</v>
      </c>
      <c r="I795" s="45">
        <v>2193</v>
      </c>
      <c r="J795" s="11">
        <v>0.20699999999999999</v>
      </c>
      <c r="K795" s="45">
        <f t="shared" si="85"/>
        <v>1739.049</v>
      </c>
      <c r="L795" s="10">
        <v>9</v>
      </c>
      <c r="M795" s="10">
        <v>4.4000000000000004</v>
      </c>
      <c r="N795" s="10" t="b">
        <v>0</v>
      </c>
      <c r="O795" s="41"/>
      <c r="P795" s="45">
        <f t="shared" si="86"/>
        <v>730.40057999999999</v>
      </c>
      <c r="Q795" s="45">
        <f t="shared" si="87"/>
        <v>1008.64842</v>
      </c>
      <c r="R795" s="45">
        <v>0</v>
      </c>
      <c r="S795" s="45">
        <f t="shared" si="88"/>
        <v>0</v>
      </c>
      <c r="T795" s="45">
        <f t="shared" si="89"/>
        <v>0</v>
      </c>
      <c r="U795" s="47">
        <f t="shared" si="90"/>
        <v>1008.64842</v>
      </c>
    </row>
    <row r="796" spans="1:21" x14ac:dyDescent="0.3">
      <c r="A796" s="41" t="str">
        <f t="shared" si="84"/>
        <v>PZARSH</v>
      </c>
      <c r="B796" s="43">
        <v>45604</v>
      </c>
      <c r="C796" s="10" t="s">
        <v>838</v>
      </c>
      <c r="D796" s="10" t="s">
        <v>3</v>
      </c>
      <c r="E796" s="10" t="s">
        <v>18</v>
      </c>
      <c r="F796" s="10" t="s">
        <v>54</v>
      </c>
      <c r="G796" s="10" t="s">
        <v>38</v>
      </c>
      <c r="H796" s="10" t="s">
        <v>13</v>
      </c>
      <c r="I796" s="45">
        <v>4142</v>
      </c>
      <c r="J796" s="11">
        <v>0</v>
      </c>
      <c r="K796" s="45">
        <f t="shared" si="85"/>
        <v>4142</v>
      </c>
      <c r="L796" s="10">
        <v>45</v>
      </c>
      <c r="M796" s="10">
        <v>2.2000000000000002</v>
      </c>
      <c r="N796" s="10" t="b">
        <v>0</v>
      </c>
      <c r="O796" s="41"/>
      <c r="P796" s="45">
        <f t="shared" si="86"/>
        <v>1739.6399999999999</v>
      </c>
      <c r="Q796" s="45">
        <f t="shared" si="87"/>
        <v>2402.36</v>
      </c>
      <c r="R796" s="45">
        <v>0</v>
      </c>
      <c r="S796" s="45">
        <f t="shared" si="88"/>
        <v>0</v>
      </c>
      <c r="T796" s="45">
        <f t="shared" si="89"/>
        <v>0</v>
      </c>
      <c r="U796" s="47">
        <f t="shared" si="90"/>
        <v>2402.36</v>
      </c>
    </row>
    <row r="797" spans="1:21" x14ac:dyDescent="0.3">
      <c r="A797" s="41" t="str">
        <f t="shared" si="84"/>
        <v>PZARAC</v>
      </c>
      <c r="B797" s="43">
        <v>45604</v>
      </c>
      <c r="C797" s="10" t="s">
        <v>839</v>
      </c>
      <c r="D797" s="10" t="s">
        <v>3</v>
      </c>
      <c r="E797" s="10" t="s">
        <v>15</v>
      </c>
      <c r="F797" s="10" t="s">
        <v>23</v>
      </c>
      <c r="G797" s="10" t="s">
        <v>7</v>
      </c>
      <c r="H797" s="10" t="s">
        <v>7</v>
      </c>
      <c r="I797" s="45">
        <v>225</v>
      </c>
      <c r="J797" s="11">
        <v>0.36599999999999999</v>
      </c>
      <c r="K797" s="45">
        <f t="shared" si="85"/>
        <v>142.65</v>
      </c>
      <c r="L797" s="10">
        <v>34</v>
      </c>
      <c r="M797" s="10">
        <v>1.7</v>
      </c>
      <c r="N797" s="10" t="b">
        <v>0</v>
      </c>
      <c r="O797" s="41"/>
      <c r="P797" s="45">
        <f t="shared" si="86"/>
        <v>59.912999999999997</v>
      </c>
      <c r="Q797" s="45">
        <f t="shared" si="87"/>
        <v>82.737000000000009</v>
      </c>
      <c r="R797" s="45">
        <v>0</v>
      </c>
      <c r="S797" s="45">
        <f t="shared" si="88"/>
        <v>0</v>
      </c>
      <c r="T797" s="45">
        <f t="shared" si="89"/>
        <v>0</v>
      </c>
      <c r="U797" s="47">
        <f t="shared" si="90"/>
        <v>82.737000000000009</v>
      </c>
    </row>
    <row r="798" spans="1:21" x14ac:dyDescent="0.3">
      <c r="A798" s="41" t="str">
        <f t="shared" si="84"/>
        <v>PFOROU</v>
      </c>
      <c r="B798" s="43">
        <v>45604</v>
      </c>
      <c r="C798" s="10" t="s">
        <v>840</v>
      </c>
      <c r="D798" s="10" t="s">
        <v>65</v>
      </c>
      <c r="E798" s="10" t="s">
        <v>2</v>
      </c>
      <c r="F798" s="10" t="s">
        <v>54</v>
      </c>
      <c r="G798" s="10" t="s">
        <v>27</v>
      </c>
      <c r="H798" s="10" t="s">
        <v>58</v>
      </c>
      <c r="I798" s="45">
        <v>3789</v>
      </c>
      <c r="J798" s="11">
        <v>0</v>
      </c>
      <c r="K798" s="45">
        <f t="shared" si="85"/>
        <v>3789</v>
      </c>
      <c r="L798" s="10">
        <v>11</v>
      </c>
      <c r="M798" s="10">
        <v>2.2999999999999998</v>
      </c>
      <c r="N798" s="10" t="b">
        <v>0</v>
      </c>
      <c r="O798" s="41"/>
      <c r="P798" s="45">
        <f t="shared" si="86"/>
        <v>1591.3799999999999</v>
      </c>
      <c r="Q798" s="45">
        <f t="shared" si="87"/>
        <v>2197.62</v>
      </c>
      <c r="R798" s="45">
        <v>0</v>
      </c>
      <c r="S798" s="45">
        <f t="shared" si="88"/>
        <v>0</v>
      </c>
      <c r="T798" s="45">
        <f t="shared" si="89"/>
        <v>0</v>
      </c>
      <c r="U798" s="47">
        <f t="shared" si="90"/>
        <v>2197.62</v>
      </c>
    </row>
    <row r="799" spans="1:21" x14ac:dyDescent="0.3">
      <c r="A799" s="41" t="str">
        <f t="shared" si="84"/>
        <v>PANNOU</v>
      </c>
      <c r="B799" s="43">
        <v>45604</v>
      </c>
      <c r="C799" s="10" t="s">
        <v>841</v>
      </c>
      <c r="D799" s="10" t="s">
        <v>42</v>
      </c>
      <c r="E799" s="10" t="s">
        <v>2</v>
      </c>
      <c r="F799" s="10" t="s">
        <v>4</v>
      </c>
      <c r="G799" s="10" t="s">
        <v>38</v>
      </c>
      <c r="H799" s="10" t="s">
        <v>35</v>
      </c>
      <c r="I799" s="45">
        <v>3063</v>
      </c>
      <c r="J799" s="11">
        <v>0</v>
      </c>
      <c r="K799" s="45">
        <f t="shared" si="85"/>
        <v>3063</v>
      </c>
      <c r="L799" s="10">
        <v>46</v>
      </c>
      <c r="M799" s="10">
        <v>4.5999999999999996</v>
      </c>
      <c r="N799" s="10" t="b">
        <v>0</v>
      </c>
      <c r="O799" s="41"/>
      <c r="P799" s="45">
        <f t="shared" si="86"/>
        <v>1286.46</v>
      </c>
      <c r="Q799" s="45">
        <f t="shared" si="87"/>
        <v>1776.54</v>
      </c>
      <c r="R799" s="45">
        <v>0</v>
      </c>
      <c r="S799" s="45">
        <f t="shared" si="88"/>
        <v>0</v>
      </c>
      <c r="T799" s="45">
        <f t="shared" si="89"/>
        <v>0</v>
      </c>
      <c r="U799" s="47">
        <f t="shared" si="90"/>
        <v>1776.54</v>
      </c>
    </row>
    <row r="800" spans="1:21" x14ac:dyDescent="0.3">
      <c r="A800" s="41" t="str">
        <f t="shared" si="84"/>
        <v>PFORBO</v>
      </c>
      <c r="B800" s="43">
        <v>45605</v>
      </c>
      <c r="C800" s="10" t="s">
        <v>842</v>
      </c>
      <c r="D800" s="10" t="s">
        <v>65</v>
      </c>
      <c r="E800" s="10" t="s">
        <v>26</v>
      </c>
      <c r="F800" s="10" t="s">
        <v>54</v>
      </c>
      <c r="G800" s="10" t="s">
        <v>38</v>
      </c>
      <c r="H800" s="10" t="s">
        <v>43</v>
      </c>
      <c r="I800" s="45">
        <v>2838</v>
      </c>
      <c r="J800" s="11">
        <v>0.127</v>
      </c>
      <c r="K800" s="45">
        <f t="shared" si="85"/>
        <v>2477.5740000000001</v>
      </c>
      <c r="L800" s="10">
        <v>13</v>
      </c>
      <c r="M800" s="10">
        <v>3.9</v>
      </c>
      <c r="N800" s="10" t="b">
        <v>0</v>
      </c>
      <c r="O800" s="41"/>
      <c r="P800" s="45">
        <f t="shared" si="86"/>
        <v>1040.5810799999999</v>
      </c>
      <c r="Q800" s="45">
        <f t="shared" si="87"/>
        <v>1436.9929200000001</v>
      </c>
      <c r="R800" s="45">
        <v>0</v>
      </c>
      <c r="S800" s="45">
        <f t="shared" si="88"/>
        <v>0</v>
      </c>
      <c r="T800" s="45">
        <f t="shared" si="89"/>
        <v>0</v>
      </c>
      <c r="U800" s="47">
        <f t="shared" si="90"/>
        <v>1436.9929200000001</v>
      </c>
    </row>
    <row r="801" spans="1:21" x14ac:dyDescent="0.3">
      <c r="A801" s="41" t="str">
        <f t="shared" si="84"/>
        <v>PFOROU</v>
      </c>
      <c r="B801" s="43">
        <v>45605</v>
      </c>
      <c r="C801" s="10" t="s">
        <v>843</v>
      </c>
      <c r="D801" s="10" t="s">
        <v>65</v>
      </c>
      <c r="E801" s="10" t="s">
        <v>2</v>
      </c>
      <c r="F801" s="10" t="s">
        <v>11</v>
      </c>
      <c r="G801" s="10" t="s">
        <v>5</v>
      </c>
      <c r="H801" s="10" t="s">
        <v>6</v>
      </c>
      <c r="I801" s="45">
        <v>3175</v>
      </c>
      <c r="J801" s="11">
        <v>0.58399999999999996</v>
      </c>
      <c r="K801" s="45">
        <f t="shared" si="85"/>
        <v>1320.8000000000002</v>
      </c>
      <c r="L801" s="10">
        <v>29</v>
      </c>
      <c r="M801" s="10">
        <v>1.2</v>
      </c>
      <c r="N801" s="10" t="b">
        <v>1</v>
      </c>
      <c r="O801" s="41" t="s">
        <v>44</v>
      </c>
      <c r="P801" s="45">
        <f t="shared" si="86"/>
        <v>554.7360000000001</v>
      </c>
      <c r="Q801" s="45">
        <f t="shared" si="87"/>
        <v>766.06400000000008</v>
      </c>
      <c r="R801" s="45">
        <v>150</v>
      </c>
      <c r="S801" s="45">
        <f t="shared" si="88"/>
        <v>132.08000000000001</v>
      </c>
      <c r="T801" s="45">
        <f t="shared" si="89"/>
        <v>1320.8000000000002</v>
      </c>
      <c r="U801" s="47">
        <f t="shared" si="90"/>
        <v>-836.81600000000014</v>
      </c>
    </row>
    <row r="802" spans="1:21" x14ac:dyDescent="0.3">
      <c r="A802" s="41" t="str">
        <f t="shared" si="84"/>
        <v>PMANTO</v>
      </c>
      <c r="B802" s="43">
        <v>45605</v>
      </c>
      <c r="C802" s="10" t="s">
        <v>844</v>
      </c>
      <c r="D802" s="10" t="s">
        <v>31</v>
      </c>
      <c r="E802" s="10" t="s">
        <v>9</v>
      </c>
      <c r="F802" s="10" t="s">
        <v>4</v>
      </c>
      <c r="G802" s="10" t="s">
        <v>5</v>
      </c>
      <c r="H802" s="10" t="s">
        <v>28</v>
      </c>
      <c r="I802" s="45">
        <v>1432</v>
      </c>
      <c r="J802" s="11">
        <v>8.0000000000000002E-3</v>
      </c>
      <c r="K802" s="45">
        <f t="shared" si="85"/>
        <v>1420.5440000000001</v>
      </c>
      <c r="L802" s="10">
        <v>22</v>
      </c>
      <c r="M802" s="10">
        <v>2.2999999999999998</v>
      </c>
      <c r="N802" s="10" t="b">
        <v>0</v>
      </c>
      <c r="O802" s="41"/>
      <c r="P802" s="45">
        <f t="shared" si="86"/>
        <v>596.62847999999997</v>
      </c>
      <c r="Q802" s="45">
        <f t="shared" si="87"/>
        <v>823.91552000000013</v>
      </c>
      <c r="R802" s="45">
        <v>0</v>
      </c>
      <c r="S802" s="45">
        <f t="shared" si="88"/>
        <v>0</v>
      </c>
      <c r="T802" s="45">
        <f t="shared" si="89"/>
        <v>0</v>
      </c>
      <c r="U802" s="47">
        <f t="shared" si="90"/>
        <v>823.91552000000013</v>
      </c>
    </row>
    <row r="803" spans="1:21" x14ac:dyDescent="0.3">
      <c r="A803" s="41" t="str">
        <f t="shared" si="84"/>
        <v>PBANTO</v>
      </c>
      <c r="B803" s="43">
        <v>45605</v>
      </c>
      <c r="C803" s="10" t="s">
        <v>845</v>
      </c>
      <c r="D803" s="10" t="s">
        <v>21</v>
      </c>
      <c r="E803" s="10" t="s">
        <v>9</v>
      </c>
      <c r="F803" s="10" t="s">
        <v>23</v>
      </c>
      <c r="G803" s="10" t="s">
        <v>5</v>
      </c>
      <c r="H803" s="10" t="s">
        <v>16</v>
      </c>
      <c r="I803" s="45">
        <v>1528</v>
      </c>
      <c r="J803" s="11">
        <v>0.18899999999999997</v>
      </c>
      <c r="K803" s="45">
        <f t="shared" si="85"/>
        <v>1239.2080000000001</v>
      </c>
      <c r="L803" s="10">
        <v>37</v>
      </c>
      <c r="M803" s="10">
        <v>4.0999999999999996</v>
      </c>
      <c r="N803" s="10" t="b">
        <v>0</v>
      </c>
      <c r="O803" s="41"/>
      <c r="P803" s="45">
        <f t="shared" si="86"/>
        <v>520.46735999999999</v>
      </c>
      <c r="Q803" s="45">
        <f t="shared" si="87"/>
        <v>718.7406400000001</v>
      </c>
      <c r="R803" s="45">
        <v>0</v>
      </c>
      <c r="S803" s="45">
        <f t="shared" si="88"/>
        <v>0</v>
      </c>
      <c r="T803" s="45">
        <f t="shared" si="89"/>
        <v>0</v>
      </c>
      <c r="U803" s="47">
        <f t="shared" si="90"/>
        <v>718.7406400000001</v>
      </c>
    </row>
    <row r="804" spans="1:21" x14ac:dyDescent="0.3">
      <c r="A804" s="41" t="str">
        <f t="shared" si="84"/>
        <v>PMANSH</v>
      </c>
      <c r="B804" s="43">
        <v>45606</v>
      </c>
      <c r="C804" s="10" t="s">
        <v>846</v>
      </c>
      <c r="D804" s="10" t="s">
        <v>31</v>
      </c>
      <c r="E804" s="10" t="s">
        <v>18</v>
      </c>
      <c r="F804" s="10" t="s">
        <v>23</v>
      </c>
      <c r="G804" s="10" t="s">
        <v>27</v>
      </c>
      <c r="H804" s="10" t="s">
        <v>35</v>
      </c>
      <c r="I804" s="45">
        <v>3019</v>
      </c>
      <c r="J804" s="11">
        <v>0.308</v>
      </c>
      <c r="K804" s="45">
        <f t="shared" si="85"/>
        <v>2089.1479999999997</v>
      </c>
      <c r="L804" s="10">
        <v>31</v>
      </c>
      <c r="M804" s="10">
        <v>1.4</v>
      </c>
      <c r="N804" s="10" t="b">
        <v>0</v>
      </c>
      <c r="O804" s="41"/>
      <c r="P804" s="45">
        <f t="shared" si="86"/>
        <v>877.44215999999983</v>
      </c>
      <c r="Q804" s="45">
        <f t="shared" si="87"/>
        <v>1211.7058399999999</v>
      </c>
      <c r="R804" s="45">
        <v>0</v>
      </c>
      <c r="S804" s="45">
        <f t="shared" si="88"/>
        <v>0</v>
      </c>
      <c r="T804" s="45">
        <f t="shared" si="89"/>
        <v>0</v>
      </c>
      <c r="U804" s="47">
        <f t="shared" si="90"/>
        <v>1211.7058399999999</v>
      </c>
    </row>
    <row r="805" spans="1:21" x14ac:dyDescent="0.3">
      <c r="A805" s="41" t="str">
        <f t="shared" si="84"/>
        <v>PFORAC</v>
      </c>
      <c r="B805" s="43">
        <v>45606</v>
      </c>
      <c r="C805" s="10" t="s">
        <v>847</v>
      </c>
      <c r="D805" s="10" t="s">
        <v>65</v>
      </c>
      <c r="E805" s="10" t="s">
        <v>15</v>
      </c>
      <c r="F805" s="10" t="s">
        <v>11</v>
      </c>
      <c r="G805" s="10" t="s">
        <v>7</v>
      </c>
      <c r="H805" s="10" t="s">
        <v>28</v>
      </c>
      <c r="I805" s="45">
        <v>242</v>
      </c>
      <c r="J805" s="11">
        <v>0</v>
      </c>
      <c r="K805" s="45">
        <f t="shared" si="85"/>
        <v>242</v>
      </c>
      <c r="L805" s="10">
        <v>14</v>
      </c>
      <c r="M805" s="10">
        <v>3.9</v>
      </c>
      <c r="N805" s="10" t="b">
        <v>1</v>
      </c>
      <c r="O805" s="41" t="s">
        <v>33</v>
      </c>
      <c r="P805" s="45">
        <f t="shared" si="86"/>
        <v>101.64</v>
      </c>
      <c r="Q805" s="45">
        <f t="shared" si="87"/>
        <v>140.36000000000001</v>
      </c>
      <c r="R805" s="45">
        <v>150</v>
      </c>
      <c r="S805" s="45">
        <f t="shared" si="88"/>
        <v>24.200000000000003</v>
      </c>
      <c r="T805" s="45">
        <f t="shared" si="89"/>
        <v>242</v>
      </c>
      <c r="U805" s="47">
        <f t="shared" si="90"/>
        <v>-275.83999999999997</v>
      </c>
    </row>
    <row r="806" spans="1:21" x14ac:dyDescent="0.3">
      <c r="A806" s="41" t="str">
        <f t="shared" si="84"/>
        <v>PZARBO</v>
      </c>
      <c r="B806" s="43">
        <v>45606</v>
      </c>
      <c r="C806" s="10" t="s">
        <v>848</v>
      </c>
      <c r="D806" s="10" t="s">
        <v>3</v>
      </c>
      <c r="E806" s="10" t="s">
        <v>26</v>
      </c>
      <c r="F806" s="10" t="s">
        <v>23</v>
      </c>
      <c r="G806" s="10" t="s">
        <v>27</v>
      </c>
      <c r="H806" s="10" t="s">
        <v>47</v>
      </c>
      <c r="I806" s="45">
        <v>2767</v>
      </c>
      <c r="J806" s="11">
        <v>0</v>
      </c>
      <c r="K806" s="45">
        <f t="shared" si="85"/>
        <v>2767</v>
      </c>
      <c r="L806" s="10">
        <v>0</v>
      </c>
      <c r="M806" s="10">
        <v>1.1000000000000001</v>
      </c>
      <c r="N806" s="10" t="b">
        <v>1</v>
      </c>
      <c r="O806" s="41"/>
      <c r="P806" s="45">
        <f t="shared" si="86"/>
        <v>1162.1399999999999</v>
      </c>
      <c r="Q806" s="45">
        <f t="shared" si="87"/>
        <v>1604.8600000000001</v>
      </c>
      <c r="R806" s="45">
        <v>150</v>
      </c>
      <c r="S806" s="45">
        <f t="shared" si="88"/>
        <v>276.7</v>
      </c>
      <c r="T806" s="45">
        <f t="shared" si="89"/>
        <v>2767</v>
      </c>
      <c r="U806" s="47">
        <f t="shared" si="90"/>
        <v>-1588.84</v>
      </c>
    </row>
    <row r="807" spans="1:21" x14ac:dyDescent="0.3">
      <c r="A807" s="41" t="str">
        <f t="shared" si="84"/>
        <v>PH&amp;MAC</v>
      </c>
      <c r="B807" s="43">
        <v>45607</v>
      </c>
      <c r="C807" s="10" t="s">
        <v>849</v>
      </c>
      <c r="D807" s="10" t="s">
        <v>37</v>
      </c>
      <c r="E807" s="10" t="s">
        <v>15</v>
      </c>
      <c r="F807" s="10" t="s">
        <v>23</v>
      </c>
      <c r="G807" s="10" t="s">
        <v>7</v>
      </c>
      <c r="H807" s="10" t="s">
        <v>32</v>
      </c>
      <c r="I807" s="45">
        <v>342</v>
      </c>
      <c r="J807" s="11">
        <v>0</v>
      </c>
      <c r="K807" s="45">
        <f t="shared" si="85"/>
        <v>342</v>
      </c>
      <c r="L807" s="10">
        <v>7</v>
      </c>
      <c r="M807" s="10">
        <v>1.1000000000000001</v>
      </c>
      <c r="N807" s="10" t="b">
        <v>1</v>
      </c>
      <c r="O807" s="41" t="s">
        <v>33</v>
      </c>
      <c r="P807" s="45">
        <f t="shared" si="86"/>
        <v>143.63999999999999</v>
      </c>
      <c r="Q807" s="45">
        <f t="shared" si="87"/>
        <v>198.36</v>
      </c>
      <c r="R807" s="45">
        <v>150</v>
      </c>
      <c r="S807" s="45">
        <f t="shared" si="88"/>
        <v>34.200000000000003</v>
      </c>
      <c r="T807" s="45">
        <f t="shared" si="89"/>
        <v>342</v>
      </c>
      <c r="U807" s="47">
        <f t="shared" si="90"/>
        <v>-327.84</v>
      </c>
    </row>
    <row r="808" spans="1:21" x14ac:dyDescent="0.3">
      <c r="A808" s="41" t="str">
        <f t="shared" si="84"/>
        <v>PH&amp;MSH</v>
      </c>
      <c r="B808" s="43">
        <v>45607</v>
      </c>
      <c r="C808" s="10" t="s">
        <v>850</v>
      </c>
      <c r="D808" s="10" t="s">
        <v>37</v>
      </c>
      <c r="E808" s="10" t="s">
        <v>18</v>
      </c>
      <c r="F808" s="10" t="s">
        <v>54</v>
      </c>
      <c r="G808" s="10" t="s">
        <v>46</v>
      </c>
      <c r="H808" s="10" t="s">
        <v>35</v>
      </c>
      <c r="I808" s="45">
        <v>3548</v>
      </c>
      <c r="J808" s="11">
        <v>0.57299999999999995</v>
      </c>
      <c r="K808" s="45">
        <f t="shared" si="85"/>
        <v>1514.9960000000001</v>
      </c>
      <c r="L808" s="10">
        <v>37</v>
      </c>
      <c r="M808" s="10">
        <v>3.4</v>
      </c>
      <c r="N808" s="10" t="b">
        <v>0</v>
      </c>
      <c r="O808" s="41"/>
      <c r="P808" s="45">
        <f t="shared" si="86"/>
        <v>636.29831999999999</v>
      </c>
      <c r="Q808" s="45">
        <f t="shared" si="87"/>
        <v>878.6976800000001</v>
      </c>
      <c r="R808" s="45">
        <v>0</v>
      </c>
      <c r="S808" s="45">
        <f t="shared" si="88"/>
        <v>0</v>
      </c>
      <c r="T808" s="45">
        <f t="shared" si="89"/>
        <v>0</v>
      </c>
      <c r="U808" s="47">
        <f t="shared" si="90"/>
        <v>878.6976800000001</v>
      </c>
    </row>
    <row r="809" spans="1:21" x14ac:dyDescent="0.3">
      <c r="A809" s="41" t="str">
        <f t="shared" si="84"/>
        <v>PGAPBO</v>
      </c>
      <c r="B809" s="43">
        <v>45607</v>
      </c>
      <c r="C809" s="10" t="s">
        <v>851</v>
      </c>
      <c r="D809" s="10" t="s">
        <v>53</v>
      </c>
      <c r="E809" s="10" t="s">
        <v>26</v>
      </c>
      <c r="F809" s="10" t="s">
        <v>4</v>
      </c>
      <c r="G809" s="10" t="s">
        <v>49</v>
      </c>
      <c r="H809" s="10" t="s">
        <v>43</v>
      </c>
      <c r="I809" s="45">
        <v>2741</v>
      </c>
      <c r="J809" s="11">
        <v>0.56700000000000006</v>
      </c>
      <c r="K809" s="45">
        <f t="shared" si="85"/>
        <v>1186.8529999999998</v>
      </c>
      <c r="L809" s="10">
        <v>41</v>
      </c>
      <c r="M809" s="10"/>
      <c r="N809" s="10" t="b">
        <v>0</v>
      </c>
      <c r="O809" s="41"/>
      <c r="P809" s="45">
        <f t="shared" si="86"/>
        <v>498.47825999999992</v>
      </c>
      <c r="Q809" s="45">
        <f t="shared" si="87"/>
        <v>688.37473999999997</v>
      </c>
      <c r="R809" s="45">
        <v>0</v>
      </c>
      <c r="S809" s="45">
        <f t="shared" si="88"/>
        <v>0</v>
      </c>
      <c r="T809" s="45">
        <f t="shared" si="89"/>
        <v>0</v>
      </c>
      <c r="U809" s="47">
        <f t="shared" si="90"/>
        <v>688.37473999999997</v>
      </c>
    </row>
    <row r="810" spans="1:21" x14ac:dyDescent="0.3">
      <c r="A810" s="41" t="str">
        <f t="shared" si="84"/>
        <v>PUNIBO</v>
      </c>
      <c r="B810" s="43">
        <v>45607</v>
      </c>
      <c r="C810" s="10" t="s">
        <v>852</v>
      </c>
      <c r="D810" s="10" t="s">
        <v>10</v>
      </c>
      <c r="E810" s="10" t="s">
        <v>26</v>
      </c>
      <c r="F810" s="10" t="s">
        <v>4</v>
      </c>
      <c r="G810" s="10" t="s">
        <v>49</v>
      </c>
      <c r="H810" s="10" t="s">
        <v>56</v>
      </c>
      <c r="I810" s="45">
        <v>2019</v>
      </c>
      <c r="J810" s="11">
        <v>9.9000000000000005E-2</v>
      </c>
      <c r="K810" s="45">
        <f t="shared" si="85"/>
        <v>1819.1190000000001</v>
      </c>
      <c r="L810" s="10">
        <v>42</v>
      </c>
      <c r="M810" s="10">
        <v>3.5</v>
      </c>
      <c r="N810" s="10" t="b">
        <v>0</v>
      </c>
      <c r="O810" s="41"/>
      <c r="P810" s="45">
        <f t="shared" si="86"/>
        <v>764.02998000000002</v>
      </c>
      <c r="Q810" s="45">
        <f t="shared" si="87"/>
        <v>1055.0890200000001</v>
      </c>
      <c r="R810" s="45">
        <v>0</v>
      </c>
      <c r="S810" s="45">
        <f t="shared" si="88"/>
        <v>0</v>
      </c>
      <c r="T810" s="45">
        <f t="shared" si="89"/>
        <v>0</v>
      </c>
      <c r="U810" s="47">
        <f t="shared" si="90"/>
        <v>1055.0890200000001</v>
      </c>
    </row>
    <row r="811" spans="1:21" x14ac:dyDescent="0.3">
      <c r="A811" s="41" t="str">
        <f t="shared" si="84"/>
        <v>PANNOU</v>
      </c>
      <c r="B811" s="43">
        <v>45608</v>
      </c>
      <c r="C811" s="10" t="s">
        <v>853</v>
      </c>
      <c r="D811" s="10" t="s">
        <v>42</v>
      </c>
      <c r="E811" s="10" t="s">
        <v>2</v>
      </c>
      <c r="F811" s="10" t="s">
        <v>23</v>
      </c>
      <c r="G811" s="10" t="s">
        <v>27</v>
      </c>
      <c r="H811" s="10" t="s">
        <v>43</v>
      </c>
      <c r="I811" s="45">
        <v>4441</v>
      </c>
      <c r="J811" s="11">
        <v>0</v>
      </c>
      <c r="K811" s="45">
        <f t="shared" si="85"/>
        <v>4441</v>
      </c>
      <c r="L811" s="10">
        <v>18</v>
      </c>
      <c r="M811" s="10">
        <v>2.5</v>
      </c>
      <c r="N811" s="10" t="b">
        <v>0</v>
      </c>
      <c r="O811" s="41"/>
      <c r="P811" s="45">
        <f t="shared" si="86"/>
        <v>1865.22</v>
      </c>
      <c r="Q811" s="45">
        <f t="shared" si="87"/>
        <v>2575.7799999999997</v>
      </c>
      <c r="R811" s="45">
        <v>0</v>
      </c>
      <c r="S811" s="45">
        <f t="shared" si="88"/>
        <v>0</v>
      </c>
      <c r="T811" s="45">
        <f t="shared" si="89"/>
        <v>0</v>
      </c>
      <c r="U811" s="47">
        <f t="shared" si="90"/>
        <v>2575.7799999999997</v>
      </c>
    </row>
    <row r="812" spans="1:21" x14ac:dyDescent="0.3">
      <c r="A812" s="41" t="str">
        <f t="shared" si="84"/>
        <v>PANNDR</v>
      </c>
      <c r="B812" s="43">
        <v>45608</v>
      </c>
      <c r="C812" s="10" t="s">
        <v>854</v>
      </c>
      <c r="D812" s="10" t="s">
        <v>42</v>
      </c>
      <c r="E812" s="10" t="s">
        <v>30</v>
      </c>
      <c r="F812" s="10" t="s">
        <v>23</v>
      </c>
      <c r="G812" s="10" t="s">
        <v>5</v>
      </c>
      <c r="H812" s="10" t="s">
        <v>43</v>
      </c>
      <c r="I812" s="45">
        <v>2992</v>
      </c>
      <c r="J812" s="11">
        <v>0</v>
      </c>
      <c r="K812" s="45">
        <f t="shared" si="85"/>
        <v>2992</v>
      </c>
      <c r="L812" s="10">
        <v>37</v>
      </c>
      <c r="M812" s="10">
        <v>2.5</v>
      </c>
      <c r="N812" s="10" t="b">
        <v>1</v>
      </c>
      <c r="O812" s="41" t="s">
        <v>44</v>
      </c>
      <c r="P812" s="45">
        <f t="shared" si="86"/>
        <v>1256.6399999999999</v>
      </c>
      <c r="Q812" s="45">
        <f t="shared" si="87"/>
        <v>1735.3600000000001</v>
      </c>
      <c r="R812" s="45">
        <v>150</v>
      </c>
      <c r="S812" s="45">
        <f t="shared" si="88"/>
        <v>299.2</v>
      </c>
      <c r="T812" s="45">
        <f t="shared" si="89"/>
        <v>2992</v>
      </c>
      <c r="U812" s="47">
        <f t="shared" si="90"/>
        <v>-1705.84</v>
      </c>
    </row>
    <row r="813" spans="1:21" x14ac:dyDescent="0.3">
      <c r="A813" s="41" t="str">
        <f t="shared" si="84"/>
        <v>PMANTO</v>
      </c>
      <c r="B813" s="43">
        <v>45608</v>
      </c>
      <c r="C813" s="10" t="s">
        <v>855</v>
      </c>
      <c r="D813" s="10" t="s">
        <v>31</v>
      </c>
      <c r="E813" s="10" t="s">
        <v>9</v>
      </c>
      <c r="F813" s="10" t="s">
        <v>4</v>
      </c>
      <c r="G813" s="10" t="s">
        <v>5</v>
      </c>
      <c r="H813" s="10" t="s">
        <v>6</v>
      </c>
      <c r="I813" s="45">
        <v>1063</v>
      </c>
      <c r="J813" s="11">
        <v>0</v>
      </c>
      <c r="K813" s="45">
        <f t="shared" si="85"/>
        <v>1063</v>
      </c>
      <c r="L813" s="10">
        <v>9</v>
      </c>
      <c r="M813" s="10"/>
      <c r="N813" s="10" t="b">
        <v>0</v>
      </c>
      <c r="O813" s="41"/>
      <c r="P813" s="45">
        <f t="shared" si="86"/>
        <v>446.46</v>
      </c>
      <c r="Q813" s="45">
        <f t="shared" si="87"/>
        <v>616.54</v>
      </c>
      <c r="R813" s="45">
        <v>0</v>
      </c>
      <c r="S813" s="45">
        <f t="shared" si="88"/>
        <v>0</v>
      </c>
      <c r="T813" s="45">
        <f t="shared" si="89"/>
        <v>0</v>
      </c>
      <c r="U813" s="47">
        <f t="shared" si="90"/>
        <v>616.54</v>
      </c>
    </row>
    <row r="814" spans="1:21" x14ac:dyDescent="0.3">
      <c r="A814" s="41" t="str">
        <f t="shared" si="84"/>
        <v>PZARBO</v>
      </c>
      <c r="B814" s="43">
        <v>45608</v>
      </c>
      <c r="C814" s="10" t="s">
        <v>856</v>
      </c>
      <c r="D814" s="10" t="s">
        <v>3</v>
      </c>
      <c r="E814" s="10" t="s">
        <v>26</v>
      </c>
      <c r="F814" s="10" t="s">
        <v>11</v>
      </c>
      <c r="G814" s="10" t="s">
        <v>38</v>
      </c>
      <c r="H814" s="10" t="s">
        <v>13</v>
      </c>
      <c r="I814" s="45">
        <v>2366</v>
      </c>
      <c r="J814" s="11">
        <v>0</v>
      </c>
      <c r="K814" s="45">
        <f t="shared" si="85"/>
        <v>2366</v>
      </c>
      <c r="L814" s="10">
        <v>37</v>
      </c>
      <c r="M814" s="10">
        <v>4.0999999999999996</v>
      </c>
      <c r="N814" s="10" t="b">
        <v>1</v>
      </c>
      <c r="O814" s="41" t="s">
        <v>33</v>
      </c>
      <c r="P814" s="45">
        <f t="shared" si="86"/>
        <v>993.71999999999991</v>
      </c>
      <c r="Q814" s="45">
        <f t="shared" si="87"/>
        <v>1372.2800000000002</v>
      </c>
      <c r="R814" s="45">
        <v>150</v>
      </c>
      <c r="S814" s="45">
        <f t="shared" si="88"/>
        <v>236.60000000000002</v>
      </c>
      <c r="T814" s="45">
        <f t="shared" si="89"/>
        <v>2366</v>
      </c>
      <c r="U814" s="47">
        <f t="shared" si="90"/>
        <v>-1380.3199999999997</v>
      </c>
    </row>
    <row r="815" spans="1:21" x14ac:dyDescent="0.3">
      <c r="A815" s="41" t="str">
        <f t="shared" si="84"/>
        <v>PZARDR</v>
      </c>
      <c r="B815" s="43">
        <v>45609</v>
      </c>
      <c r="C815" s="10" t="s">
        <v>857</v>
      </c>
      <c r="D815" s="10" t="s">
        <v>3</v>
      </c>
      <c r="E815" s="10" t="s">
        <v>30</v>
      </c>
      <c r="F815" s="10" t="s">
        <v>11</v>
      </c>
      <c r="G815" s="10" t="s">
        <v>49</v>
      </c>
      <c r="H815" s="10" t="s">
        <v>6</v>
      </c>
      <c r="I815" s="45">
        <v>2063</v>
      </c>
      <c r="J815" s="11">
        <v>0</v>
      </c>
      <c r="K815" s="45">
        <f t="shared" si="85"/>
        <v>2063</v>
      </c>
      <c r="L815" s="10">
        <v>0</v>
      </c>
      <c r="M815" s="10"/>
      <c r="N815" s="10" t="b">
        <v>0</v>
      </c>
      <c r="O815" s="41"/>
      <c r="P815" s="45">
        <f t="shared" si="86"/>
        <v>866.45999999999992</v>
      </c>
      <c r="Q815" s="45">
        <f t="shared" si="87"/>
        <v>1196.54</v>
      </c>
      <c r="R815" s="45">
        <v>0</v>
      </c>
      <c r="S815" s="45">
        <f t="shared" si="88"/>
        <v>0</v>
      </c>
      <c r="T815" s="45">
        <f t="shared" si="89"/>
        <v>0</v>
      </c>
      <c r="U815" s="47">
        <f t="shared" si="90"/>
        <v>1196.54</v>
      </c>
    </row>
    <row r="816" spans="1:21" x14ac:dyDescent="0.3">
      <c r="A816" s="41" t="str">
        <f t="shared" si="84"/>
        <v>PANNBO</v>
      </c>
      <c r="B816" s="43">
        <v>45609</v>
      </c>
      <c r="C816" s="10" t="s">
        <v>858</v>
      </c>
      <c r="D816" s="10" t="s">
        <v>42</v>
      </c>
      <c r="E816" s="10" t="s">
        <v>26</v>
      </c>
      <c r="F816" s="10" t="s">
        <v>4</v>
      </c>
      <c r="G816" s="10" t="s">
        <v>12</v>
      </c>
      <c r="H816" s="10" t="s">
        <v>58</v>
      </c>
      <c r="I816" s="45">
        <v>2913</v>
      </c>
      <c r="J816" s="11">
        <v>0.13699999999999998</v>
      </c>
      <c r="K816" s="45">
        <f t="shared" si="85"/>
        <v>2513.9189999999999</v>
      </c>
      <c r="L816" s="10">
        <v>5</v>
      </c>
      <c r="M816" s="10">
        <v>4.8</v>
      </c>
      <c r="N816" s="10" t="b">
        <v>0</v>
      </c>
      <c r="O816" s="41"/>
      <c r="P816" s="45">
        <f t="shared" si="86"/>
        <v>1055.8459799999998</v>
      </c>
      <c r="Q816" s="45">
        <f t="shared" si="87"/>
        <v>1458.07302</v>
      </c>
      <c r="R816" s="45">
        <v>0</v>
      </c>
      <c r="S816" s="45">
        <f t="shared" si="88"/>
        <v>0</v>
      </c>
      <c r="T816" s="45">
        <f t="shared" si="89"/>
        <v>0</v>
      </c>
      <c r="U816" s="47">
        <f t="shared" si="90"/>
        <v>1458.07302</v>
      </c>
    </row>
    <row r="817" spans="1:21" x14ac:dyDescent="0.3">
      <c r="A817" s="41" t="str">
        <f t="shared" si="84"/>
        <v>PANNOU</v>
      </c>
      <c r="B817" s="43">
        <v>45609</v>
      </c>
      <c r="C817" s="10" t="s">
        <v>859</v>
      </c>
      <c r="D817" s="10" t="s">
        <v>42</v>
      </c>
      <c r="E817" s="10" t="s">
        <v>2</v>
      </c>
      <c r="F817" s="10" t="s">
        <v>4</v>
      </c>
      <c r="G817" s="10" t="s">
        <v>46</v>
      </c>
      <c r="H817" s="10" t="s">
        <v>88</v>
      </c>
      <c r="I817" s="45">
        <v>4164</v>
      </c>
      <c r="J817" s="11">
        <v>0</v>
      </c>
      <c r="K817" s="45">
        <f t="shared" si="85"/>
        <v>4164</v>
      </c>
      <c r="L817" s="10">
        <v>9</v>
      </c>
      <c r="M817" s="10"/>
      <c r="N817" s="10" t="b">
        <v>1</v>
      </c>
      <c r="O817" s="41" t="s">
        <v>80</v>
      </c>
      <c r="P817" s="45">
        <f t="shared" si="86"/>
        <v>1748.8799999999999</v>
      </c>
      <c r="Q817" s="45">
        <f t="shared" si="87"/>
        <v>2415.12</v>
      </c>
      <c r="R817" s="45">
        <v>150</v>
      </c>
      <c r="S817" s="45">
        <f t="shared" si="88"/>
        <v>416.40000000000003</v>
      </c>
      <c r="T817" s="45">
        <f t="shared" si="89"/>
        <v>4164</v>
      </c>
      <c r="U817" s="47">
        <f t="shared" si="90"/>
        <v>-2315.2800000000002</v>
      </c>
    </row>
    <row r="818" spans="1:21" x14ac:dyDescent="0.3">
      <c r="A818" s="41" t="str">
        <f t="shared" si="84"/>
        <v>PFORBO</v>
      </c>
      <c r="B818" s="43">
        <v>45610</v>
      </c>
      <c r="C818" s="10" t="s">
        <v>860</v>
      </c>
      <c r="D818" s="10" t="s">
        <v>65</v>
      </c>
      <c r="E818" s="10" t="s">
        <v>26</v>
      </c>
      <c r="F818" s="10" t="s">
        <v>4</v>
      </c>
      <c r="G818" s="10" t="s">
        <v>46</v>
      </c>
      <c r="H818" s="10" t="s">
        <v>88</v>
      </c>
      <c r="I818" s="45">
        <v>2268</v>
      </c>
      <c r="J818" s="11">
        <v>0</v>
      </c>
      <c r="K818" s="45">
        <f t="shared" si="85"/>
        <v>2268</v>
      </c>
      <c r="L818" s="10">
        <v>22</v>
      </c>
      <c r="M818" s="10">
        <v>2.2999999999999998</v>
      </c>
      <c r="N818" s="10" t="b">
        <v>0</v>
      </c>
      <c r="O818" s="41"/>
      <c r="P818" s="45">
        <f t="shared" si="86"/>
        <v>952.56</v>
      </c>
      <c r="Q818" s="45">
        <f t="shared" si="87"/>
        <v>1315.44</v>
      </c>
      <c r="R818" s="45">
        <v>0</v>
      </c>
      <c r="S818" s="45">
        <f t="shared" si="88"/>
        <v>0</v>
      </c>
      <c r="T818" s="45">
        <f t="shared" si="89"/>
        <v>0</v>
      </c>
      <c r="U818" s="47">
        <f t="shared" si="90"/>
        <v>1315.44</v>
      </c>
    </row>
    <row r="819" spans="1:21" x14ac:dyDescent="0.3">
      <c r="A819" s="41" t="str">
        <f t="shared" si="84"/>
        <v>PH&amp;MBO</v>
      </c>
      <c r="B819" s="43">
        <v>45610</v>
      </c>
      <c r="C819" s="10" t="s">
        <v>861</v>
      </c>
      <c r="D819" s="10" t="s">
        <v>37</v>
      </c>
      <c r="E819" s="10" t="s">
        <v>26</v>
      </c>
      <c r="F819" s="10" t="s">
        <v>54</v>
      </c>
      <c r="G819" s="10" t="s">
        <v>49</v>
      </c>
      <c r="H819" s="10" t="s">
        <v>43</v>
      </c>
      <c r="I819" s="45">
        <v>2484</v>
      </c>
      <c r="J819" s="11">
        <v>0.57499999999999996</v>
      </c>
      <c r="K819" s="45">
        <f t="shared" si="85"/>
        <v>1055.7</v>
      </c>
      <c r="L819" s="10">
        <v>3</v>
      </c>
      <c r="M819" s="10">
        <v>4.8</v>
      </c>
      <c r="N819" s="10" t="b">
        <v>0</v>
      </c>
      <c r="O819" s="41"/>
      <c r="P819" s="45">
        <f t="shared" si="86"/>
        <v>443.39400000000001</v>
      </c>
      <c r="Q819" s="45">
        <f t="shared" si="87"/>
        <v>612.30600000000004</v>
      </c>
      <c r="R819" s="45">
        <v>0</v>
      </c>
      <c r="S819" s="45">
        <f t="shared" si="88"/>
        <v>0</v>
      </c>
      <c r="T819" s="45">
        <f t="shared" si="89"/>
        <v>0</v>
      </c>
      <c r="U819" s="47">
        <f t="shared" si="90"/>
        <v>612.30600000000004</v>
      </c>
    </row>
    <row r="820" spans="1:21" x14ac:dyDescent="0.3">
      <c r="A820" s="41" t="str">
        <f t="shared" si="84"/>
        <v>PZARAC</v>
      </c>
      <c r="B820" s="43">
        <v>45610</v>
      </c>
      <c r="C820" s="10" t="s">
        <v>862</v>
      </c>
      <c r="D820" s="10" t="s">
        <v>3</v>
      </c>
      <c r="E820" s="10" t="s">
        <v>15</v>
      </c>
      <c r="F820" s="10" t="s">
        <v>11</v>
      </c>
      <c r="G820" s="10" t="s">
        <v>7</v>
      </c>
      <c r="H820" s="10" t="s">
        <v>13</v>
      </c>
      <c r="I820" s="45">
        <v>256</v>
      </c>
      <c r="J820" s="11">
        <v>0</v>
      </c>
      <c r="K820" s="45">
        <f t="shared" si="85"/>
        <v>256</v>
      </c>
      <c r="L820" s="10">
        <v>20</v>
      </c>
      <c r="M820" s="10">
        <v>4.0999999999999996</v>
      </c>
      <c r="N820" s="10" t="b">
        <v>0</v>
      </c>
      <c r="O820" s="41"/>
      <c r="P820" s="45">
        <f t="shared" si="86"/>
        <v>107.52</v>
      </c>
      <c r="Q820" s="45">
        <f t="shared" si="87"/>
        <v>148.48000000000002</v>
      </c>
      <c r="R820" s="45">
        <v>0</v>
      </c>
      <c r="S820" s="45">
        <f t="shared" si="88"/>
        <v>0</v>
      </c>
      <c r="T820" s="45">
        <f t="shared" si="89"/>
        <v>0</v>
      </c>
      <c r="U820" s="47">
        <f t="shared" si="90"/>
        <v>148.48000000000002</v>
      </c>
    </row>
    <row r="821" spans="1:21" x14ac:dyDescent="0.3">
      <c r="A821" s="41" t="str">
        <f t="shared" si="84"/>
        <v>PZARBO</v>
      </c>
      <c r="B821" s="43">
        <v>45610</v>
      </c>
      <c r="C821" s="10" t="s">
        <v>863</v>
      </c>
      <c r="D821" s="10" t="s">
        <v>3</v>
      </c>
      <c r="E821" s="10" t="s">
        <v>26</v>
      </c>
      <c r="F821" s="10" t="s">
        <v>23</v>
      </c>
      <c r="G821" s="10" t="s">
        <v>12</v>
      </c>
      <c r="H821" s="10" t="s">
        <v>6</v>
      </c>
      <c r="I821" s="45">
        <v>2193</v>
      </c>
      <c r="J821" s="11">
        <v>0</v>
      </c>
      <c r="K821" s="45">
        <f t="shared" si="85"/>
        <v>2193</v>
      </c>
      <c r="L821" s="10">
        <v>50</v>
      </c>
      <c r="M821" s="10"/>
      <c r="N821" s="10" t="b">
        <v>1</v>
      </c>
      <c r="O821" s="41" t="s">
        <v>33</v>
      </c>
      <c r="P821" s="45">
        <f t="shared" si="86"/>
        <v>921.06</v>
      </c>
      <c r="Q821" s="45">
        <f t="shared" si="87"/>
        <v>1271.94</v>
      </c>
      <c r="R821" s="45">
        <v>150</v>
      </c>
      <c r="S821" s="45">
        <f t="shared" si="88"/>
        <v>219.3</v>
      </c>
      <c r="T821" s="45">
        <f t="shared" si="89"/>
        <v>2193</v>
      </c>
      <c r="U821" s="47">
        <f t="shared" si="90"/>
        <v>-1290.3599999999999</v>
      </c>
    </row>
    <row r="822" spans="1:21" x14ac:dyDescent="0.3">
      <c r="A822" s="41" t="str">
        <f t="shared" si="84"/>
        <v>PANNBO</v>
      </c>
      <c r="B822" s="43">
        <v>45610</v>
      </c>
      <c r="C822" s="10" t="s">
        <v>864</v>
      </c>
      <c r="D822" s="10" t="s">
        <v>42</v>
      </c>
      <c r="E822" s="10" t="s">
        <v>26</v>
      </c>
      <c r="F822" s="10" t="s">
        <v>11</v>
      </c>
      <c r="G822" s="10" t="s">
        <v>38</v>
      </c>
      <c r="H822" s="10" t="s">
        <v>58</v>
      </c>
      <c r="I822" s="45">
        <v>2978</v>
      </c>
      <c r="J822" s="11">
        <v>0</v>
      </c>
      <c r="K822" s="45">
        <f t="shared" si="85"/>
        <v>2978</v>
      </c>
      <c r="L822" s="10">
        <v>23</v>
      </c>
      <c r="M822" s="10">
        <v>1.8</v>
      </c>
      <c r="N822" s="10" t="b">
        <v>0</v>
      </c>
      <c r="O822" s="41"/>
      <c r="P822" s="45">
        <f t="shared" si="86"/>
        <v>1250.76</v>
      </c>
      <c r="Q822" s="45">
        <f t="shared" si="87"/>
        <v>1727.24</v>
      </c>
      <c r="R822" s="45">
        <v>0</v>
      </c>
      <c r="S822" s="45">
        <f t="shared" si="88"/>
        <v>0</v>
      </c>
      <c r="T822" s="45">
        <f t="shared" si="89"/>
        <v>0</v>
      </c>
      <c r="U822" s="47">
        <f t="shared" si="90"/>
        <v>1727.24</v>
      </c>
    </row>
    <row r="823" spans="1:21" x14ac:dyDescent="0.3">
      <c r="A823" s="41" t="str">
        <f t="shared" si="84"/>
        <v>PANNAC</v>
      </c>
      <c r="B823" s="43">
        <v>45611</v>
      </c>
      <c r="C823" s="10" t="s">
        <v>865</v>
      </c>
      <c r="D823" s="10" t="s">
        <v>42</v>
      </c>
      <c r="E823" s="10" t="s">
        <v>15</v>
      </c>
      <c r="F823" s="10" t="s">
        <v>23</v>
      </c>
      <c r="G823" s="10" t="s">
        <v>7</v>
      </c>
      <c r="H823" s="10" t="s">
        <v>43</v>
      </c>
      <c r="I823" s="45">
        <v>385</v>
      </c>
      <c r="J823" s="11">
        <v>0</v>
      </c>
      <c r="K823" s="45">
        <f t="shared" si="85"/>
        <v>385</v>
      </c>
      <c r="L823" s="10">
        <v>42</v>
      </c>
      <c r="M823" s="10">
        <v>1.8</v>
      </c>
      <c r="N823" s="10" t="b">
        <v>0</v>
      </c>
      <c r="O823" s="41"/>
      <c r="P823" s="45">
        <f t="shared" si="86"/>
        <v>161.69999999999999</v>
      </c>
      <c r="Q823" s="45">
        <f t="shared" si="87"/>
        <v>223.3</v>
      </c>
      <c r="R823" s="45">
        <v>0</v>
      </c>
      <c r="S823" s="45">
        <f t="shared" si="88"/>
        <v>0</v>
      </c>
      <c r="T823" s="45">
        <f t="shared" si="89"/>
        <v>0</v>
      </c>
      <c r="U823" s="47">
        <f t="shared" si="90"/>
        <v>223.3</v>
      </c>
    </row>
    <row r="824" spans="1:21" x14ac:dyDescent="0.3">
      <c r="A824" s="41" t="str">
        <f t="shared" si="84"/>
        <v>PFORDR</v>
      </c>
      <c r="B824" s="43">
        <v>45611</v>
      </c>
      <c r="C824" s="10" t="s">
        <v>866</v>
      </c>
      <c r="D824" s="10" t="s">
        <v>65</v>
      </c>
      <c r="E824" s="10" t="s">
        <v>30</v>
      </c>
      <c r="F824" s="10" t="s">
        <v>11</v>
      </c>
      <c r="G824" s="10" t="s">
        <v>27</v>
      </c>
      <c r="H824" s="10" t="s">
        <v>16</v>
      </c>
      <c r="I824" s="45">
        <v>2817</v>
      </c>
      <c r="J824" s="11">
        <v>0.39399999999999996</v>
      </c>
      <c r="K824" s="45">
        <f t="shared" si="85"/>
        <v>1707.1020000000003</v>
      </c>
      <c r="L824" s="10">
        <v>14</v>
      </c>
      <c r="M824" s="10">
        <v>3.8</v>
      </c>
      <c r="N824" s="10" t="b">
        <v>1</v>
      </c>
      <c r="O824" s="41" t="s">
        <v>44</v>
      </c>
      <c r="P824" s="45">
        <f t="shared" si="86"/>
        <v>716.98284000000012</v>
      </c>
      <c r="Q824" s="45">
        <f t="shared" si="87"/>
        <v>990.11916000000019</v>
      </c>
      <c r="R824" s="45">
        <v>150</v>
      </c>
      <c r="S824" s="45">
        <f t="shared" si="88"/>
        <v>170.71020000000004</v>
      </c>
      <c r="T824" s="45">
        <f t="shared" si="89"/>
        <v>1707.1020000000003</v>
      </c>
      <c r="U824" s="47">
        <f t="shared" si="90"/>
        <v>-1037.6930400000001</v>
      </c>
    </row>
    <row r="825" spans="1:21" x14ac:dyDescent="0.3">
      <c r="A825" s="41" t="str">
        <f t="shared" si="84"/>
        <v>PFORBO</v>
      </c>
      <c r="B825" s="43">
        <v>45611</v>
      </c>
      <c r="C825" s="10" t="s">
        <v>867</v>
      </c>
      <c r="D825" s="10" t="s">
        <v>65</v>
      </c>
      <c r="E825" s="10" t="s">
        <v>26</v>
      </c>
      <c r="F825" s="10" t="s">
        <v>54</v>
      </c>
      <c r="G825" s="10" t="s">
        <v>5</v>
      </c>
      <c r="H825" s="10" t="s">
        <v>32</v>
      </c>
      <c r="I825" s="45">
        <v>2583</v>
      </c>
      <c r="J825" s="11">
        <v>0.161</v>
      </c>
      <c r="K825" s="45">
        <f t="shared" si="85"/>
        <v>2167.1369999999997</v>
      </c>
      <c r="L825" s="10">
        <v>6</v>
      </c>
      <c r="M825" s="10">
        <v>4.9000000000000004</v>
      </c>
      <c r="N825" s="10" t="b">
        <v>1</v>
      </c>
      <c r="O825" s="41" t="s">
        <v>33</v>
      </c>
      <c r="P825" s="45">
        <f t="shared" si="86"/>
        <v>910.19753999999989</v>
      </c>
      <c r="Q825" s="45">
        <f t="shared" si="87"/>
        <v>1256.9394599999998</v>
      </c>
      <c r="R825" s="45">
        <v>150</v>
      </c>
      <c r="S825" s="45">
        <f t="shared" si="88"/>
        <v>216.71369999999999</v>
      </c>
      <c r="T825" s="45">
        <f t="shared" si="89"/>
        <v>2167.1369999999997</v>
      </c>
      <c r="U825" s="47">
        <f t="shared" si="90"/>
        <v>-1276.9112399999999</v>
      </c>
    </row>
    <row r="826" spans="1:21" x14ac:dyDescent="0.3">
      <c r="A826" s="41" t="str">
        <f t="shared" si="84"/>
        <v>PGAPSH</v>
      </c>
      <c r="B826" s="43">
        <v>45611</v>
      </c>
      <c r="C826" s="10" t="s">
        <v>868</v>
      </c>
      <c r="D826" s="10" t="s">
        <v>53</v>
      </c>
      <c r="E826" s="10" t="s">
        <v>18</v>
      </c>
      <c r="F826" s="10" t="s">
        <v>11</v>
      </c>
      <c r="G826" s="10" t="s">
        <v>12</v>
      </c>
      <c r="H826" s="10" t="s">
        <v>6</v>
      </c>
      <c r="I826" s="45">
        <v>4478</v>
      </c>
      <c r="J826" s="11">
        <v>0.20499999999999999</v>
      </c>
      <c r="K826" s="45">
        <f t="shared" si="85"/>
        <v>3560.01</v>
      </c>
      <c r="L826" s="10">
        <v>24</v>
      </c>
      <c r="M826" s="10">
        <v>3.6</v>
      </c>
      <c r="N826" s="10" t="b">
        <v>0</v>
      </c>
      <c r="O826" s="41"/>
      <c r="P826" s="45">
        <f t="shared" si="86"/>
        <v>1495.2042000000001</v>
      </c>
      <c r="Q826" s="45">
        <f t="shared" si="87"/>
        <v>2064.8058000000001</v>
      </c>
      <c r="R826" s="45">
        <v>0</v>
      </c>
      <c r="S826" s="45">
        <f t="shared" si="88"/>
        <v>0</v>
      </c>
      <c r="T826" s="45">
        <f t="shared" si="89"/>
        <v>0</v>
      </c>
      <c r="U826" s="47">
        <f t="shared" si="90"/>
        <v>2064.8058000000001</v>
      </c>
    </row>
    <row r="827" spans="1:21" x14ac:dyDescent="0.3">
      <c r="A827" s="41" t="str">
        <f t="shared" si="84"/>
        <v>PANNAC</v>
      </c>
      <c r="B827" s="43">
        <v>45612</v>
      </c>
      <c r="C827" s="10" t="s">
        <v>869</v>
      </c>
      <c r="D827" s="10" t="s">
        <v>42</v>
      </c>
      <c r="E827" s="10" t="s">
        <v>15</v>
      </c>
      <c r="F827" s="10" t="s">
        <v>23</v>
      </c>
      <c r="G827" s="10" t="s">
        <v>7</v>
      </c>
      <c r="H827" s="10" t="s">
        <v>7</v>
      </c>
      <c r="I827" s="45">
        <v>423</v>
      </c>
      <c r="J827" s="11">
        <v>0</v>
      </c>
      <c r="K827" s="45">
        <f t="shared" si="85"/>
        <v>423</v>
      </c>
      <c r="L827" s="10">
        <v>44</v>
      </c>
      <c r="M827" s="10">
        <v>3.1</v>
      </c>
      <c r="N827" s="10" t="b">
        <v>0</v>
      </c>
      <c r="O827" s="41"/>
      <c r="P827" s="45">
        <f t="shared" si="86"/>
        <v>177.66</v>
      </c>
      <c r="Q827" s="45">
        <f t="shared" si="87"/>
        <v>245.34</v>
      </c>
      <c r="R827" s="45">
        <v>0</v>
      </c>
      <c r="S827" s="45">
        <f t="shared" si="88"/>
        <v>0</v>
      </c>
      <c r="T827" s="45">
        <f t="shared" si="89"/>
        <v>0</v>
      </c>
      <c r="U827" s="47">
        <f t="shared" si="90"/>
        <v>245.34</v>
      </c>
    </row>
    <row r="828" spans="1:21" x14ac:dyDescent="0.3">
      <c r="A828" s="41" t="str">
        <f t="shared" si="84"/>
        <v>PGAPTO</v>
      </c>
      <c r="B828" s="43">
        <v>45612</v>
      </c>
      <c r="C828" s="10" t="s">
        <v>870</v>
      </c>
      <c r="D828" s="10" t="s">
        <v>53</v>
      </c>
      <c r="E828" s="10" t="s">
        <v>9</v>
      </c>
      <c r="F828" s="10" t="s">
        <v>54</v>
      </c>
      <c r="G828" s="10" t="s">
        <v>27</v>
      </c>
      <c r="H828" s="10" t="s">
        <v>13</v>
      </c>
      <c r="I828" s="45">
        <v>1420</v>
      </c>
      <c r="J828" s="11">
        <v>0</v>
      </c>
      <c r="K828" s="45">
        <f t="shared" si="85"/>
        <v>1420</v>
      </c>
      <c r="L828" s="10">
        <v>14</v>
      </c>
      <c r="M828" s="10">
        <v>1.1000000000000001</v>
      </c>
      <c r="N828" s="10" t="b">
        <v>1</v>
      </c>
      <c r="O828" s="41" t="s">
        <v>44</v>
      </c>
      <c r="P828" s="45">
        <f t="shared" si="86"/>
        <v>596.4</v>
      </c>
      <c r="Q828" s="45">
        <f t="shared" si="87"/>
        <v>823.6</v>
      </c>
      <c r="R828" s="45">
        <v>150</v>
      </c>
      <c r="S828" s="45">
        <f t="shared" si="88"/>
        <v>142</v>
      </c>
      <c r="T828" s="45">
        <f t="shared" si="89"/>
        <v>1420</v>
      </c>
      <c r="U828" s="47">
        <f t="shared" si="90"/>
        <v>-888.4</v>
      </c>
    </row>
    <row r="829" spans="1:21" x14ac:dyDescent="0.3">
      <c r="A829" s="41" t="str">
        <f t="shared" si="84"/>
        <v>PH&amp;MBO</v>
      </c>
      <c r="B829" s="43">
        <v>45612</v>
      </c>
      <c r="C829" s="10" t="s">
        <v>871</v>
      </c>
      <c r="D829" s="10" t="s">
        <v>37</v>
      </c>
      <c r="E829" s="10" t="s">
        <v>26</v>
      </c>
      <c r="F829" s="10" t="s">
        <v>23</v>
      </c>
      <c r="G829" s="10" t="s">
        <v>38</v>
      </c>
      <c r="H829" s="10" t="s">
        <v>35</v>
      </c>
      <c r="I829" s="45">
        <v>2691</v>
      </c>
      <c r="J829" s="11">
        <v>0</v>
      </c>
      <c r="K829" s="45">
        <f t="shared" si="85"/>
        <v>2691</v>
      </c>
      <c r="L829" s="10">
        <v>33</v>
      </c>
      <c r="M829" s="10">
        <v>1.1000000000000001</v>
      </c>
      <c r="N829" s="10" t="b">
        <v>0</v>
      </c>
      <c r="O829" s="41"/>
      <c r="P829" s="45">
        <f t="shared" si="86"/>
        <v>1130.22</v>
      </c>
      <c r="Q829" s="45">
        <f t="shared" si="87"/>
        <v>1560.78</v>
      </c>
      <c r="R829" s="45">
        <v>0</v>
      </c>
      <c r="S829" s="45">
        <f t="shared" si="88"/>
        <v>0</v>
      </c>
      <c r="T829" s="45">
        <f t="shared" si="89"/>
        <v>0</v>
      </c>
      <c r="U829" s="47">
        <f t="shared" si="90"/>
        <v>1560.78</v>
      </c>
    </row>
    <row r="830" spans="1:21" x14ac:dyDescent="0.3">
      <c r="A830" s="41" t="str">
        <f t="shared" si="84"/>
        <v>PANNSH</v>
      </c>
      <c r="B830" s="43">
        <v>45613</v>
      </c>
      <c r="C830" s="10" t="s">
        <v>872</v>
      </c>
      <c r="D830" s="10" t="s">
        <v>42</v>
      </c>
      <c r="E830" s="10" t="s">
        <v>18</v>
      </c>
      <c r="F830" s="10" t="s">
        <v>4</v>
      </c>
      <c r="G830" s="10" t="s">
        <v>5</v>
      </c>
      <c r="H830" s="10" t="s">
        <v>28</v>
      </c>
      <c r="I830" s="45">
        <v>3431</v>
      </c>
      <c r="J830" s="11">
        <v>0</v>
      </c>
      <c r="K830" s="45">
        <f t="shared" si="85"/>
        <v>3431</v>
      </c>
      <c r="L830" s="10">
        <v>47</v>
      </c>
      <c r="M830" s="10">
        <v>2.2000000000000002</v>
      </c>
      <c r="N830" s="10" t="b">
        <v>1</v>
      </c>
      <c r="O830" s="41" t="s">
        <v>80</v>
      </c>
      <c r="P830" s="45">
        <f t="shared" si="86"/>
        <v>1441.02</v>
      </c>
      <c r="Q830" s="45">
        <f t="shared" si="87"/>
        <v>1989.98</v>
      </c>
      <c r="R830" s="45">
        <v>150</v>
      </c>
      <c r="S830" s="45">
        <f t="shared" si="88"/>
        <v>343.1</v>
      </c>
      <c r="T830" s="45">
        <f t="shared" si="89"/>
        <v>3431</v>
      </c>
      <c r="U830" s="47">
        <f t="shared" si="90"/>
        <v>-1934.12</v>
      </c>
    </row>
    <row r="831" spans="1:21" x14ac:dyDescent="0.3">
      <c r="A831" s="41" t="str">
        <f t="shared" si="84"/>
        <v>PH&amp;MAC</v>
      </c>
      <c r="B831" s="43">
        <v>45613</v>
      </c>
      <c r="C831" s="10" t="s">
        <v>873</v>
      </c>
      <c r="D831" s="10" t="s">
        <v>37</v>
      </c>
      <c r="E831" s="10" t="s">
        <v>15</v>
      </c>
      <c r="F831" s="10" t="s">
        <v>11</v>
      </c>
      <c r="G831" s="10" t="s">
        <v>7</v>
      </c>
      <c r="H831" s="10" t="s">
        <v>16</v>
      </c>
      <c r="I831" s="45">
        <v>177</v>
      </c>
      <c r="J831" s="11">
        <v>8.6999999999999994E-2</v>
      </c>
      <c r="K831" s="45">
        <f t="shared" si="85"/>
        <v>161.601</v>
      </c>
      <c r="L831" s="10">
        <v>14</v>
      </c>
      <c r="M831" s="10">
        <v>1.3</v>
      </c>
      <c r="N831" s="10" t="b">
        <v>0</v>
      </c>
      <c r="O831" s="41"/>
      <c r="P831" s="45">
        <f t="shared" si="86"/>
        <v>67.872419999999991</v>
      </c>
      <c r="Q831" s="45">
        <f t="shared" si="87"/>
        <v>93.728580000000008</v>
      </c>
      <c r="R831" s="45">
        <v>0</v>
      </c>
      <c r="S831" s="45">
        <f t="shared" si="88"/>
        <v>0</v>
      </c>
      <c r="T831" s="45">
        <f t="shared" si="89"/>
        <v>0</v>
      </c>
      <c r="U831" s="47">
        <f t="shared" si="90"/>
        <v>93.728580000000008</v>
      </c>
    </row>
    <row r="832" spans="1:21" x14ac:dyDescent="0.3">
      <c r="A832" s="41" t="str">
        <f t="shared" si="84"/>
        <v>PUNISH</v>
      </c>
      <c r="B832" s="43">
        <v>45613</v>
      </c>
      <c r="C832" s="10" t="s">
        <v>874</v>
      </c>
      <c r="D832" s="10" t="s">
        <v>10</v>
      </c>
      <c r="E832" s="10" t="s">
        <v>18</v>
      </c>
      <c r="F832" s="10" t="s">
        <v>4</v>
      </c>
      <c r="G832" s="10" t="s">
        <v>7</v>
      </c>
      <c r="H832" s="10" t="s">
        <v>13</v>
      </c>
      <c r="I832" s="45">
        <v>3263</v>
      </c>
      <c r="J832" s="11">
        <v>0</v>
      </c>
      <c r="K832" s="45">
        <f t="shared" si="85"/>
        <v>3263</v>
      </c>
      <c r="L832" s="10">
        <v>0</v>
      </c>
      <c r="M832" s="10"/>
      <c r="N832" s="10" t="b">
        <v>1</v>
      </c>
      <c r="O832" s="41" t="s">
        <v>44</v>
      </c>
      <c r="P832" s="45">
        <f t="shared" si="86"/>
        <v>1370.46</v>
      </c>
      <c r="Q832" s="45">
        <f t="shared" si="87"/>
        <v>1892.54</v>
      </c>
      <c r="R832" s="45">
        <v>150</v>
      </c>
      <c r="S832" s="45">
        <f t="shared" si="88"/>
        <v>326.3</v>
      </c>
      <c r="T832" s="45">
        <f t="shared" si="89"/>
        <v>3263</v>
      </c>
      <c r="U832" s="47">
        <f t="shared" si="90"/>
        <v>-1846.76</v>
      </c>
    </row>
    <row r="833" spans="1:21" x14ac:dyDescent="0.3">
      <c r="A833" s="41" t="str">
        <f t="shared" si="84"/>
        <v>PUNITO</v>
      </c>
      <c r="B833" s="43">
        <v>45613</v>
      </c>
      <c r="C833" s="10" t="s">
        <v>875</v>
      </c>
      <c r="D833" s="10" t="s">
        <v>10</v>
      </c>
      <c r="E833" s="10" t="s">
        <v>9</v>
      </c>
      <c r="F833" s="10" t="s">
        <v>54</v>
      </c>
      <c r="G833" s="10" t="s">
        <v>7</v>
      </c>
      <c r="H833" s="10" t="s">
        <v>16</v>
      </c>
      <c r="I833" s="45">
        <v>1408</v>
      </c>
      <c r="J833" s="11">
        <v>0</v>
      </c>
      <c r="K833" s="45">
        <f t="shared" si="85"/>
        <v>1408</v>
      </c>
      <c r="L833" s="10">
        <v>29</v>
      </c>
      <c r="M833" s="10">
        <v>3.7</v>
      </c>
      <c r="N833" s="10" t="b">
        <v>0</v>
      </c>
      <c r="O833" s="41"/>
      <c r="P833" s="45">
        <f t="shared" si="86"/>
        <v>591.36</v>
      </c>
      <c r="Q833" s="45">
        <f t="shared" si="87"/>
        <v>816.64</v>
      </c>
      <c r="R833" s="45">
        <v>0</v>
      </c>
      <c r="S833" s="45">
        <f t="shared" si="88"/>
        <v>0</v>
      </c>
      <c r="T833" s="45">
        <f t="shared" si="89"/>
        <v>0</v>
      </c>
      <c r="U833" s="47">
        <f t="shared" si="90"/>
        <v>816.64</v>
      </c>
    </row>
    <row r="834" spans="1:21" x14ac:dyDescent="0.3">
      <c r="A834" s="41" t="str">
        <f t="shared" ref="A834:A897" si="91">UPPER("P"&amp;LEFT(D834,3)&amp;LEFT(E834,2))</f>
        <v>PGAPBO</v>
      </c>
      <c r="B834" s="43">
        <v>45613</v>
      </c>
      <c r="C834" s="10" t="s">
        <v>876</v>
      </c>
      <c r="D834" s="10" t="s">
        <v>53</v>
      </c>
      <c r="E834" s="10" t="s">
        <v>26</v>
      </c>
      <c r="F834" s="10" t="s">
        <v>4</v>
      </c>
      <c r="G834" s="10" t="s">
        <v>12</v>
      </c>
      <c r="H834" s="10" t="s">
        <v>47</v>
      </c>
      <c r="I834" s="45">
        <v>2896</v>
      </c>
      <c r="J834" s="11">
        <v>0</v>
      </c>
      <c r="K834" s="45">
        <f t="shared" si="85"/>
        <v>2896</v>
      </c>
      <c r="L834" s="10">
        <v>41</v>
      </c>
      <c r="M834" s="10"/>
      <c r="N834" s="10" t="b">
        <v>0</v>
      </c>
      <c r="O834" s="41"/>
      <c r="P834" s="45">
        <f t="shared" si="86"/>
        <v>1216.32</v>
      </c>
      <c r="Q834" s="45">
        <f t="shared" si="87"/>
        <v>1679.68</v>
      </c>
      <c r="R834" s="45">
        <v>0</v>
      </c>
      <c r="S834" s="45">
        <f t="shared" si="88"/>
        <v>0</v>
      </c>
      <c r="T834" s="45">
        <f t="shared" si="89"/>
        <v>0</v>
      </c>
      <c r="U834" s="47">
        <f t="shared" si="90"/>
        <v>1679.68</v>
      </c>
    </row>
    <row r="835" spans="1:21" x14ac:dyDescent="0.3">
      <c r="A835" s="41" t="str">
        <f t="shared" si="91"/>
        <v>PH&amp;MSH</v>
      </c>
      <c r="B835" s="43">
        <v>45614</v>
      </c>
      <c r="C835" s="10" t="s">
        <v>877</v>
      </c>
      <c r="D835" s="10" t="s">
        <v>37</v>
      </c>
      <c r="E835" s="10" t="s">
        <v>18</v>
      </c>
      <c r="F835" s="10" t="s">
        <v>11</v>
      </c>
      <c r="G835" s="10" t="s">
        <v>27</v>
      </c>
      <c r="H835" s="10" t="s">
        <v>13</v>
      </c>
      <c r="I835" s="45">
        <v>3732</v>
      </c>
      <c r="J835" s="11">
        <v>0</v>
      </c>
      <c r="K835" s="45">
        <f t="shared" ref="K835:K898" si="92">I835*(1-J835)</f>
        <v>3732</v>
      </c>
      <c r="L835" s="10">
        <v>2</v>
      </c>
      <c r="M835" s="10">
        <v>1.9</v>
      </c>
      <c r="N835" s="10" t="b">
        <v>0</v>
      </c>
      <c r="O835" s="41"/>
      <c r="P835" s="45">
        <f t="shared" ref="P835:P898" si="93">K835*0.42</f>
        <v>1567.44</v>
      </c>
      <c r="Q835" s="45">
        <f t="shared" ref="Q835:Q898" si="94">K835-P835</f>
        <v>2164.56</v>
      </c>
      <c r="R835" s="45">
        <v>0</v>
      </c>
      <c r="S835" s="45">
        <f t="shared" ref="S835:S898" si="95">IF(N835=TRUE,K835*0.1,0)</f>
        <v>0</v>
      </c>
      <c r="T835" s="45">
        <f t="shared" ref="T835:T898" si="96">IF(N835=TRUE,K835,0)</f>
        <v>0</v>
      </c>
      <c r="U835" s="47">
        <f t="shared" ref="U835:U898" si="97">Q835-R835-S835-T835</f>
        <v>2164.56</v>
      </c>
    </row>
    <row r="836" spans="1:21" x14ac:dyDescent="0.3">
      <c r="A836" s="41" t="str">
        <f t="shared" si="91"/>
        <v>PANNDR</v>
      </c>
      <c r="B836" s="43">
        <v>45614</v>
      </c>
      <c r="C836" s="10" t="s">
        <v>878</v>
      </c>
      <c r="D836" s="10" t="s">
        <v>42</v>
      </c>
      <c r="E836" s="10" t="s">
        <v>30</v>
      </c>
      <c r="F836" s="10" t="s">
        <v>11</v>
      </c>
      <c r="G836" s="10" t="s">
        <v>46</v>
      </c>
      <c r="H836" s="10" t="s">
        <v>6</v>
      </c>
      <c r="I836" s="45">
        <v>2701</v>
      </c>
      <c r="J836" s="11">
        <v>0</v>
      </c>
      <c r="K836" s="45">
        <f t="shared" si="92"/>
        <v>2701</v>
      </c>
      <c r="L836" s="10">
        <v>21</v>
      </c>
      <c r="M836" s="10"/>
      <c r="N836" s="10" t="b">
        <v>0</v>
      </c>
      <c r="O836" s="41"/>
      <c r="P836" s="45">
        <f t="shared" si="93"/>
        <v>1134.4199999999998</v>
      </c>
      <c r="Q836" s="45">
        <f t="shared" si="94"/>
        <v>1566.5800000000002</v>
      </c>
      <c r="R836" s="45">
        <v>0</v>
      </c>
      <c r="S836" s="45">
        <f t="shared" si="95"/>
        <v>0</v>
      </c>
      <c r="T836" s="45">
        <f t="shared" si="96"/>
        <v>0</v>
      </c>
      <c r="U836" s="47">
        <f t="shared" si="97"/>
        <v>1566.5800000000002</v>
      </c>
    </row>
    <row r="837" spans="1:21" x14ac:dyDescent="0.3">
      <c r="A837" s="41" t="str">
        <f t="shared" si="91"/>
        <v>PMANOU</v>
      </c>
      <c r="B837" s="43">
        <v>45614</v>
      </c>
      <c r="C837" s="10" t="s">
        <v>879</v>
      </c>
      <c r="D837" s="10" t="s">
        <v>31</v>
      </c>
      <c r="E837" s="10" t="s">
        <v>2</v>
      </c>
      <c r="F837" s="10" t="s">
        <v>11</v>
      </c>
      <c r="G837" s="10" t="s">
        <v>46</v>
      </c>
      <c r="H837" s="10" t="s">
        <v>13</v>
      </c>
      <c r="I837" s="45">
        <v>3637</v>
      </c>
      <c r="J837" s="11">
        <v>0</v>
      </c>
      <c r="K837" s="45">
        <f t="shared" si="92"/>
        <v>3637</v>
      </c>
      <c r="L837" s="10">
        <v>48</v>
      </c>
      <c r="M837" s="10">
        <v>2.6</v>
      </c>
      <c r="N837" s="10" t="b">
        <v>0</v>
      </c>
      <c r="O837" s="41"/>
      <c r="P837" s="45">
        <f t="shared" si="93"/>
        <v>1527.54</v>
      </c>
      <c r="Q837" s="45">
        <f t="shared" si="94"/>
        <v>2109.46</v>
      </c>
      <c r="R837" s="45">
        <v>0</v>
      </c>
      <c r="S837" s="45">
        <f t="shared" si="95"/>
        <v>0</v>
      </c>
      <c r="T837" s="45">
        <f t="shared" si="96"/>
        <v>0</v>
      </c>
      <c r="U837" s="47">
        <f t="shared" si="97"/>
        <v>2109.46</v>
      </c>
    </row>
    <row r="838" spans="1:21" x14ac:dyDescent="0.3">
      <c r="A838" s="41" t="str">
        <f t="shared" si="91"/>
        <v>PH&amp;MSH</v>
      </c>
      <c r="B838" s="43">
        <v>45615</v>
      </c>
      <c r="C838" s="10" t="s">
        <v>880</v>
      </c>
      <c r="D838" s="10" t="s">
        <v>37</v>
      </c>
      <c r="E838" s="10" t="s">
        <v>18</v>
      </c>
      <c r="F838" s="10" t="s">
        <v>23</v>
      </c>
      <c r="G838" s="10" t="s">
        <v>38</v>
      </c>
      <c r="H838" s="10" t="s">
        <v>47</v>
      </c>
      <c r="I838" s="45">
        <v>3355</v>
      </c>
      <c r="J838" s="11">
        <v>0</v>
      </c>
      <c r="K838" s="45">
        <f t="shared" si="92"/>
        <v>3355</v>
      </c>
      <c r="L838" s="10">
        <v>35</v>
      </c>
      <c r="M838" s="10">
        <v>2</v>
      </c>
      <c r="N838" s="10" t="b">
        <v>0</v>
      </c>
      <c r="O838" s="41"/>
      <c r="P838" s="45">
        <f t="shared" si="93"/>
        <v>1409.1</v>
      </c>
      <c r="Q838" s="45">
        <f t="shared" si="94"/>
        <v>1945.9</v>
      </c>
      <c r="R838" s="45">
        <v>0</v>
      </c>
      <c r="S838" s="45">
        <f t="shared" si="95"/>
        <v>0</v>
      </c>
      <c r="T838" s="45">
        <f t="shared" si="96"/>
        <v>0</v>
      </c>
      <c r="U838" s="47">
        <f t="shared" si="97"/>
        <v>1945.9</v>
      </c>
    </row>
    <row r="839" spans="1:21" x14ac:dyDescent="0.3">
      <c r="A839" s="41" t="str">
        <f t="shared" si="91"/>
        <v>PUNIDR</v>
      </c>
      <c r="B839" s="43">
        <v>45615</v>
      </c>
      <c r="C839" s="10" t="s">
        <v>881</v>
      </c>
      <c r="D839" s="10" t="s">
        <v>10</v>
      </c>
      <c r="E839" s="10" t="s">
        <v>30</v>
      </c>
      <c r="F839" s="10" t="s">
        <v>11</v>
      </c>
      <c r="G839" s="10" t="s">
        <v>46</v>
      </c>
      <c r="H839" s="10" t="s">
        <v>43</v>
      </c>
      <c r="I839" s="45">
        <v>2475</v>
      </c>
      <c r="J839" s="11">
        <v>0</v>
      </c>
      <c r="K839" s="45">
        <f t="shared" si="92"/>
        <v>2475</v>
      </c>
      <c r="L839" s="10">
        <v>38</v>
      </c>
      <c r="M839" s="10">
        <v>4.5</v>
      </c>
      <c r="N839" s="10" t="b">
        <v>0</v>
      </c>
      <c r="O839" s="41"/>
      <c r="P839" s="45">
        <f t="shared" si="93"/>
        <v>1039.5</v>
      </c>
      <c r="Q839" s="45">
        <f t="shared" si="94"/>
        <v>1435.5</v>
      </c>
      <c r="R839" s="45">
        <v>0</v>
      </c>
      <c r="S839" s="45">
        <f t="shared" si="95"/>
        <v>0</v>
      </c>
      <c r="T839" s="45">
        <f t="shared" si="96"/>
        <v>0</v>
      </c>
      <c r="U839" s="47">
        <f t="shared" si="97"/>
        <v>1435.5</v>
      </c>
    </row>
    <row r="840" spans="1:21" x14ac:dyDescent="0.3">
      <c r="A840" s="41" t="str">
        <f t="shared" si="91"/>
        <v>PZARBO</v>
      </c>
      <c r="B840" s="43">
        <v>45615</v>
      </c>
      <c r="C840" s="10" t="s">
        <v>882</v>
      </c>
      <c r="D840" s="10" t="s">
        <v>3</v>
      </c>
      <c r="E840" s="10" t="s">
        <v>26</v>
      </c>
      <c r="F840" s="10" t="s">
        <v>54</v>
      </c>
      <c r="G840" s="10" t="s">
        <v>5</v>
      </c>
      <c r="H840" s="10" t="s">
        <v>43</v>
      </c>
      <c r="I840" s="45">
        <v>2426</v>
      </c>
      <c r="J840" s="11">
        <v>0.38</v>
      </c>
      <c r="K840" s="45">
        <f t="shared" si="92"/>
        <v>1504.12</v>
      </c>
      <c r="L840" s="10">
        <v>31</v>
      </c>
      <c r="M840" s="10">
        <v>1.2</v>
      </c>
      <c r="N840" s="10" t="b">
        <v>0</v>
      </c>
      <c r="O840" s="41"/>
      <c r="P840" s="45">
        <f t="shared" si="93"/>
        <v>631.73039999999992</v>
      </c>
      <c r="Q840" s="45">
        <f t="shared" si="94"/>
        <v>872.38959999999997</v>
      </c>
      <c r="R840" s="45">
        <v>0</v>
      </c>
      <c r="S840" s="45">
        <f t="shared" si="95"/>
        <v>0</v>
      </c>
      <c r="T840" s="45">
        <f t="shared" si="96"/>
        <v>0</v>
      </c>
      <c r="U840" s="47">
        <f t="shared" si="97"/>
        <v>872.38959999999997</v>
      </c>
    </row>
    <row r="841" spans="1:21" x14ac:dyDescent="0.3">
      <c r="A841" s="41" t="str">
        <f t="shared" si="91"/>
        <v>PMANAC</v>
      </c>
      <c r="B841" s="43">
        <v>45615</v>
      </c>
      <c r="C841" s="10" t="s">
        <v>883</v>
      </c>
      <c r="D841" s="10" t="s">
        <v>31</v>
      </c>
      <c r="E841" s="10" t="s">
        <v>15</v>
      </c>
      <c r="F841" s="10" t="s">
        <v>11</v>
      </c>
      <c r="G841" s="10" t="s">
        <v>7</v>
      </c>
      <c r="H841" s="10" t="s">
        <v>7</v>
      </c>
      <c r="I841" s="45">
        <v>226</v>
      </c>
      <c r="J841" s="11">
        <v>0</v>
      </c>
      <c r="K841" s="45">
        <f t="shared" si="92"/>
        <v>226</v>
      </c>
      <c r="L841" s="10">
        <v>46</v>
      </c>
      <c r="M841" s="10">
        <v>4.8</v>
      </c>
      <c r="N841" s="10" t="b">
        <v>1</v>
      </c>
      <c r="O841" s="41" t="s">
        <v>33</v>
      </c>
      <c r="P841" s="45">
        <f t="shared" si="93"/>
        <v>94.92</v>
      </c>
      <c r="Q841" s="45">
        <f t="shared" si="94"/>
        <v>131.07999999999998</v>
      </c>
      <c r="R841" s="45">
        <v>150</v>
      </c>
      <c r="S841" s="45">
        <f t="shared" si="95"/>
        <v>22.6</v>
      </c>
      <c r="T841" s="45">
        <f t="shared" si="96"/>
        <v>226</v>
      </c>
      <c r="U841" s="47">
        <f t="shared" si="97"/>
        <v>-267.52000000000004</v>
      </c>
    </row>
    <row r="842" spans="1:21" x14ac:dyDescent="0.3">
      <c r="A842" s="41" t="str">
        <f t="shared" si="91"/>
        <v>PBANTO</v>
      </c>
      <c r="B842" s="43">
        <v>45616</v>
      </c>
      <c r="C842" s="10" t="s">
        <v>884</v>
      </c>
      <c r="D842" s="10" t="s">
        <v>21</v>
      </c>
      <c r="E842" s="10" t="s">
        <v>9</v>
      </c>
      <c r="F842" s="10" t="s">
        <v>23</v>
      </c>
      <c r="G842" s="10" t="s">
        <v>27</v>
      </c>
      <c r="H842" s="10" t="s">
        <v>35</v>
      </c>
      <c r="I842" s="45">
        <v>1670</v>
      </c>
      <c r="J842" s="11">
        <v>0</v>
      </c>
      <c r="K842" s="45">
        <f t="shared" si="92"/>
        <v>1670</v>
      </c>
      <c r="L842" s="10">
        <v>5</v>
      </c>
      <c r="M842" s="10">
        <v>3.7</v>
      </c>
      <c r="N842" s="10" t="b">
        <v>0</v>
      </c>
      <c r="O842" s="41"/>
      <c r="P842" s="45">
        <f t="shared" si="93"/>
        <v>701.4</v>
      </c>
      <c r="Q842" s="45">
        <f t="shared" si="94"/>
        <v>968.6</v>
      </c>
      <c r="R842" s="45">
        <v>0</v>
      </c>
      <c r="S842" s="45">
        <f t="shared" si="95"/>
        <v>0</v>
      </c>
      <c r="T842" s="45">
        <f t="shared" si="96"/>
        <v>0</v>
      </c>
      <c r="U842" s="47">
        <f t="shared" si="97"/>
        <v>968.6</v>
      </c>
    </row>
    <row r="843" spans="1:21" x14ac:dyDescent="0.3">
      <c r="A843" s="41" t="str">
        <f t="shared" si="91"/>
        <v>PFOROU</v>
      </c>
      <c r="B843" s="43">
        <v>45616</v>
      </c>
      <c r="C843" s="10" t="s">
        <v>885</v>
      </c>
      <c r="D843" s="10" t="s">
        <v>65</v>
      </c>
      <c r="E843" s="10" t="s">
        <v>2</v>
      </c>
      <c r="F843" s="10" t="s">
        <v>23</v>
      </c>
      <c r="G843" s="10" t="s">
        <v>27</v>
      </c>
      <c r="H843" s="10" t="s">
        <v>28</v>
      </c>
      <c r="I843" s="45">
        <v>3694</v>
      </c>
      <c r="J843" s="11">
        <v>0</v>
      </c>
      <c r="K843" s="45">
        <f t="shared" si="92"/>
        <v>3694</v>
      </c>
      <c r="L843" s="10">
        <v>12</v>
      </c>
      <c r="M843" s="10">
        <v>1.8</v>
      </c>
      <c r="N843" s="10" t="b">
        <v>1</v>
      </c>
      <c r="O843" s="41" t="s">
        <v>33</v>
      </c>
      <c r="P843" s="45">
        <f t="shared" si="93"/>
        <v>1551.48</v>
      </c>
      <c r="Q843" s="45">
        <f t="shared" si="94"/>
        <v>2142.52</v>
      </c>
      <c r="R843" s="45">
        <v>150</v>
      </c>
      <c r="S843" s="45">
        <f t="shared" si="95"/>
        <v>369.40000000000003</v>
      </c>
      <c r="T843" s="45">
        <f t="shared" si="96"/>
        <v>3694</v>
      </c>
      <c r="U843" s="47">
        <f t="shared" si="97"/>
        <v>-2070.88</v>
      </c>
    </row>
    <row r="844" spans="1:21" x14ac:dyDescent="0.3">
      <c r="A844" s="41" t="str">
        <f t="shared" si="91"/>
        <v>PUNIOU</v>
      </c>
      <c r="B844" s="43">
        <v>45616</v>
      </c>
      <c r="C844" s="10" t="s">
        <v>886</v>
      </c>
      <c r="D844" s="10" t="s">
        <v>10</v>
      </c>
      <c r="E844" s="10" t="s">
        <v>2</v>
      </c>
      <c r="F844" s="10" t="s">
        <v>4</v>
      </c>
      <c r="G844" s="10" t="s">
        <v>12</v>
      </c>
      <c r="H844" s="10" t="s">
        <v>58</v>
      </c>
      <c r="I844" s="45">
        <v>3127</v>
      </c>
      <c r="J844" s="11">
        <v>0</v>
      </c>
      <c r="K844" s="45">
        <f t="shared" si="92"/>
        <v>3127</v>
      </c>
      <c r="L844" s="10">
        <v>10</v>
      </c>
      <c r="M844" s="10"/>
      <c r="N844" s="10" t="b">
        <v>0</v>
      </c>
      <c r="O844" s="41"/>
      <c r="P844" s="45">
        <f t="shared" si="93"/>
        <v>1313.34</v>
      </c>
      <c r="Q844" s="45">
        <f t="shared" si="94"/>
        <v>1813.66</v>
      </c>
      <c r="R844" s="45">
        <v>0</v>
      </c>
      <c r="S844" s="45">
        <f t="shared" si="95"/>
        <v>0</v>
      </c>
      <c r="T844" s="45">
        <f t="shared" si="96"/>
        <v>0</v>
      </c>
      <c r="U844" s="47">
        <f t="shared" si="97"/>
        <v>1813.66</v>
      </c>
    </row>
    <row r="845" spans="1:21" x14ac:dyDescent="0.3">
      <c r="A845" s="41" t="str">
        <f t="shared" si="91"/>
        <v>PH&amp;MAC</v>
      </c>
      <c r="B845" s="43">
        <v>45616</v>
      </c>
      <c r="C845" s="10" t="s">
        <v>887</v>
      </c>
      <c r="D845" s="10" t="s">
        <v>37</v>
      </c>
      <c r="E845" s="10" t="s">
        <v>15</v>
      </c>
      <c r="F845" s="10" t="s">
        <v>11</v>
      </c>
      <c r="G845" s="10" t="s">
        <v>7</v>
      </c>
      <c r="H845" s="10" t="s">
        <v>35</v>
      </c>
      <c r="I845" s="45">
        <v>222</v>
      </c>
      <c r="J845" s="11">
        <v>0.32200000000000001</v>
      </c>
      <c r="K845" s="45">
        <f t="shared" si="92"/>
        <v>150.51599999999999</v>
      </c>
      <c r="L845" s="10">
        <v>17</v>
      </c>
      <c r="M845" s="10"/>
      <c r="N845" s="10" t="b">
        <v>0</v>
      </c>
      <c r="O845" s="41"/>
      <c r="P845" s="45">
        <f t="shared" si="93"/>
        <v>63.216719999999995</v>
      </c>
      <c r="Q845" s="45">
        <f t="shared" si="94"/>
        <v>87.299279999999996</v>
      </c>
      <c r="R845" s="45">
        <v>0</v>
      </c>
      <c r="S845" s="45">
        <f t="shared" si="95"/>
        <v>0</v>
      </c>
      <c r="T845" s="45">
        <f t="shared" si="96"/>
        <v>0</v>
      </c>
      <c r="U845" s="47">
        <f t="shared" si="97"/>
        <v>87.299279999999996</v>
      </c>
    </row>
    <row r="846" spans="1:21" x14ac:dyDescent="0.3">
      <c r="A846" s="41" t="str">
        <f t="shared" si="91"/>
        <v>PZARBO</v>
      </c>
      <c r="B846" s="43">
        <v>45617</v>
      </c>
      <c r="C846" s="10" t="s">
        <v>888</v>
      </c>
      <c r="D846" s="10" t="s">
        <v>3</v>
      </c>
      <c r="E846" s="10" t="s">
        <v>26</v>
      </c>
      <c r="F846" s="10" t="s">
        <v>4</v>
      </c>
      <c r="G846" s="10" t="s">
        <v>49</v>
      </c>
      <c r="H846" s="10" t="s">
        <v>58</v>
      </c>
      <c r="I846" s="45">
        <v>2003</v>
      </c>
      <c r="J846" s="11">
        <v>0</v>
      </c>
      <c r="K846" s="45">
        <f t="shared" si="92"/>
        <v>2003</v>
      </c>
      <c r="L846" s="10">
        <v>49</v>
      </c>
      <c r="M846" s="10">
        <v>3.3</v>
      </c>
      <c r="N846" s="10" t="b">
        <v>1</v>
      </c>
      <c r="O846" s="41" t="s">
        <v>44</v>
      </c>
      <c r="P846" s="45">
        <f t="shared" si="93"/>
        <v>841.26</v>
      </c>
      <c r="Q846" s="45">
        <f t="shared" si="94"/>
        <v>1161.74</v>
      </c>
      <c r="R846" s="45">
        <v>150</v>
      </c>
      <c r="S846" s="45">
        <f t="shared" si="95"/>
        <v>200.3</v>
      </c>
      <c r="T846" s="45">
        <f t="shared" si="96"/>
        <v>2003</v>
      </c>
      <c r="U846" s="47">
        <f t="shared" si="97"/>
        <v>-1191.56</v>
      </c>
    </row>
    <row r="847" spans="1:21" x14ac:dyDescent="0.3">
      <c r="A847" s="41" t="str">
        <f t="shared" si="91"/>
        <v>PANNDR</v>
      </c>
      <c r="B847" s="43">
        <v>45617</v>
      </c>
      <c r="C847" s="10" t="s">
        <v>889</v>
      </c>
      <c r="D847" s="10" t="s">
        <v>42</v>
      </c>
      <c r="E847" s="10" t="s">
        <v>30</v>
      </c>
      <c r="F847" s="10" t="s">
        <v>54</v>
      </c>
      <c r="G847" s="10" t="s">
        <v>46</v>
      </c>
      <c r="H847" s="10" t="s">
        <v>56</v>
      </c>
      <c r="I847" s="45">
        <v>2964</v>
      </c>
      <c r="J847" s="11">
        <v>0.18</v>
      </c>
      <c r="K847" s="45">
        <f t="shared" si="92"/>
        <v>2430.48</v>
      </c>
      <c r="L847" s="10">
        <v>28</v>
      </c>
      <c r="M847" s="10">
        <v>4.7</v>
      </c>
      <c r="N847" s="10" t="b">
        <v>1</v>
      </c>
      <c r="O847" s="41" t="s">
        <v>44</v>
      </c>
      <c r="P847" s="45">
        <f t="shared" si="93"/>
        <v>1020.8016</v>
      </c>
      <c r="Q847" s="45">
        <f t="shared" si="94"/>
        <v>1409.6784</v>
      </c>
      <c r="R847" s="45">
        <v>150</v>
      </c>
      <c r="S847" s="45">
        <f t="shared" si="95"/>
        <v>243.048</v>
      </c>
      <c r="T847" s="45">
        <f t="shared" si="96"/>
        <v>2430.48</v>
      </c>
      <c r="U847" s="47">
        <f t="shared" si="97"/>
        <v>-1413.8496</v>
      </c>
    </row>
    <row r="848" spans="1:21" x14ac:dyDescent="0.3">
      <c r="A848" s="41" t="str">
        <f t="shared" si="91"/>
        <v>PBANDR</v>
      </c>
      <c r="B848" s="43">
        <v>45617</v>
      </c>
      <c r="C848" s="10" t="s">
        <v>890</v>
      </c>
      <c r="D848" s="10" t="s">
        <v>21</v>
      </c>
      <c r="E848" s="10" t="s">
        <v>30</v>
      </c>
      <c r="F848" s="10" t="s">
        <v>11</v>
      </c>
      <c r="G848" s="10" t="s">
        <v>38</v>
      </c>
      <c r="H848" s="10" t="s">
        <v>56</v>
      </c>
      <c r="I848" s="45">
        <v>1987</v>
      </c>
      <c r="J848" s="11">
        <v>0.106</v>
      </c>
      <c r="K848" s="45">
        <f t="shared" si="92"/>
        <v>1776.3779999999999</v>
      </c>
      <c r="L848" s="10">
        <v>6</v>
      </c>
      <c r="M848" s="10"/>
      <c r="N848" s="10" t="b">
        <v>1</v>
      </c>
      <c r="O848" s="41" t="s">
        <v>33</v>
      </c>
      <c r="P848" s="45">
        <f t="shared" si="93"/>
        <v>746.07875999999999</v>
      </c>
      <c r="Q848" s="45">
        <f t="shared" si="94"/>
        <v>1030.2992399999998</v>
      </c>
      <c r="R848" s="45">
        <v>150</v>
      </c>
      <c r="S848" s="45">
        <f t="shared" si="95"/>
        <v>177.6378</v>
      </c>
      <c r="T848" s="45">
        <f t="shared" si="96"/>
        <v>1776.3779999999999</v>
      </c>
      <c r="U848" s="47">
        <f t="shared" si="97"/>
        <v>-1073.7165600000001</v>
      </c>
    </row>
    <row r="849" spans="1:21" x14ac:dyDescent="0.3">
      <c r="A849" s="41" t="str">
        <f t="shared" si="91"/>
        <v>PH&amp;MBO</v>
      </c>
      <c r="B849" s="43">
        <v>45618</v>
      </c>
      <c r="C849" s="10" t="s">
        <v>891</v>
      </c>
      <c r="D849" s="10" t="s">
        <v>37</v>
      </c>
      <c r="E849" s="10" t="s">
        <v>26</v>
      </c>
      <c r="F849" s="10" t="s">
        <v>54</v>
      </c>
      <c r="G849" s="10" t="s">
        <v>5</v>
      </c>
      <c r="H849" s="10" t="s">
        <v>13</v>
      </c>
      <c r="I849" s="45">
        <v>2234</v>
      </c>
      <c r="J849" s="11">
        <v>0.187</v>
      </c>
      <c r="K849" s="45">
        <f t="shared" si="92"/>
        <v>1816.242</v>
      </c>
      <c r="L849" s="10">
        <v>6</v>
      </c>
      <c r="M849" s="10">
        <v>4</v>
      </c>
      <c r="N849" s="10" t="b">
        <v>1</v>
      </c>
      <c r="O849" s="41" t="s">
        <v>44</v>
      </c>
      <c r="P849" s="45">
        <f t="shared" si="93"/>
        <v>762.82164</v>
      </c>
      <c r="Q849" s="45">
        <f t="shared" si="94"/>
        <v>1053.4203600000001</v>
      </c>
      <c r="R849" s="45">
        <v>150</v>
      </c>
      <c r="S849" s="45">
        <f t="shared" si="95"/>
        <v>181.6242</v>
      </c>
      <c r="T849" s="45">
        <f t="shared" si="96"/>
        <v>1816.242</v>
      </c>
      <c r="U849" s="47">
        <f t="shared" si="97"/>
        <v>-1094.4458399999999</v>
      </c>
    </row>
    <row r="850" spans="1:21" x14ac:dyDescent="0.3">
      <c r="A850" s="41" t="str">
        <f t="shared" si="91"/>
        <v>PGAPTO</v>
      </c>
      <c r="B850" s="43">
        <v>45618</v>
      </c>
      <c r="C850" s="10" t="s">
        <v>892</v>
      </c>
      <c r="D850" s="10" t="s">
        <v>53</v>
      </c>
      <c r="E850" s="10" t="s">
        <v>9</v>
      </c>
      <c r="F850" s="10" t="s">
        <v>23</v>
      </c>
      <c r="G850" s="10" t="s">
        <v>12</v>
      </c>
      <c r="H850" s="10" t="s">
        <v>32</v>
      </c>
      <c r="I850" s="45">
        <v>957</v>
      </c>
      <c r="J850" s="11">
        <v>0.17600000000000002</v>
      </c>
      <c r="K850" s="45">
        <f t="shared" si="92"/>
        <v>788.56799999999998</v>
      </c>
      <c r="L850" s="10">
        <v>19</v>
      </c>
      <c r="M850" s="10"/>
      <c r="N850" s="10" t="b">
        <v>0</v>
      </c>
      <c r="O850" s="41"/>
      <c r="P850" s="45">
        <f t="shared" si="93"/>
        <v>331.19855999999999</v>
      </c>
      <c r="Q850" s="45">
        <f t="shared" si="94"/>
        <v>457.36944</v>
      </c>
      <c r="R850" s="45">
        <v>0</v>
      </c>
      <c r="S850" s="45">
        <f t="shared" si="95"/>
        <v>0</v>
      </c>
      <c r="T850" s="45">
        <f t="shared" si="96"/>
        <v>0</v>
      </c>
      <c r="U850" s="47">
        <f t="shared" si="97"/>
        <v>457.36944</v>
      </c>
    </row>
    <row r="851" spans="1:21" x14ac:dyDescent="0.3">
      <c r="A851" s="41" t="str">
        <f t="shared" si="91"/>
        <v>PANNSH</v>
      </c>
      <c r="B851" s="43">
        <v>45618</v>
      </c>
      <c r="C851" s="10" t="s">
        <v>893</v>
      </c>
      <c r="D851" s="10" t="s">
        <v>42</v>
      </c>
      <c r="E851" s="10" t="s">
        <v>18</v>
      </c>
      <c r="F851" s="10" t="s">
        <v>11</v>
      </c>
      <c r="G851" s="10" t="s">
        <v>5</v>
      </c>
      <c r="H851" s="10" t="s">
        <v>43</v>
      </c>
      <c r="I851" s="45">
        <v>4222</v>
      </c>
      <c r="J851" s="11">
        <v>0.53700000000000003</v>
      </c>
      <c r="K851" s="45">
        <f t="shared" si="92"/>
        <v>1954.7859999999998</v>
      </c>
      <c r="L851" s="10">
        <v>18</v>
      </c>
      <c r="M851" s="10"/>
      <c r="N851" s="10" t="b">
        <v>0</v>
      </c>
      <c r="O851" s="41"/>
      <c r="P851" s="45">
        <f t="shared" si="93"/>
        <v>821.01011999999992</v>
      </c>
      <c r="Q851" s="45">
        <f t="shared" si="94"/>
        <v>1133.7758799999999</v>
      </c>
      <c r="R851" s="45">
        <v>0</v>
      </c>
      <c r="S851" s="45">
        <f t="shared" si="95"/>
        <v>0</v>
      </c>
      <c r="T851" s="45">
        <f t="shared" si="96"/>
        <v>0</v>
      </c>
      <c r="U851" s="47">
        <f t="shared" si="97"/>
        <v>1133.7758799999999</v>
      </c>
    </row>
    <row r="852" spans="1:21" x14ac:dyDescent="0.3">
      <c r="A852" s="41" t="str">
        <f t="shared" si="91"/>
        <v>PMANAC</v>
      </c>
      <c r="B852" s="43">
        <v>45618</v>
      </c>
      <c r="C852" s="10" t="s">
        <v>894</v>
      </c>
      <c r="D852" s="10" t="s">
        <v>31</v>
      </c>
      <c r="E852" s="10" t="s">
        <v>15</v>
      </c>
      <c r="F852" s="10" t="s">
        <v>23</v>
      </c>
      <c r="G852" s="10" t="s">
        <v>7</v>
      </c>
      <c r="H852" s="10" t="s">
        <v>43</v>
      </c>
      <c r="I852" s="45">
        <v>469</v>
      </c>
      <c r="J852" s="11">
        <v>0</v>
      </c>
      <c r="K852" s="45">
        <f t="shared" si="92"/>
        <v>469</v>
      </c>
      <c r="L852" s="10">
        <v>7</v>
      </c>
      <c r="M852" s="10">
        <v>4.2</v>
      </c>
      <c r="N852" s="10" t="b">
        <v>0</v>
      </c>
      <c r="O852" s="41"/>
      <c r="P852" s="45">
        <f t="shared" si="93"/>
        <v>196.98</v>
      </c>
      <c r="Q852" s="45">
        <f t="shared" si="94"/>
        <v>272.02</v>
      </c>
      <c r="R852" s="45">
        <v>0</v>
      </c>
      <c r="S852" s="45">
        <f t="shared" si="95"/>
        <v>0</v>
      </c>
      <c r="T852" s="45">
        <f t="shared" si="96"/>
        <v>0</v>
      </c>
      <c r="U852" s="47">
        <f t="shared" si="97"/>
        <v>272.02</v>
      </c>
    </row>
    <row r="853" spans="1:21" x14ac:dyDescent="0.3">
      <c r="A853" s="41" t="str">
        <f t="shared" si="91"/>
        <v>PZAROU</v>
      </c>
      <c r="B853" s="43">
        <v>45619</v>
      </c>
      <c r="C853" s="10" t="s">
        <v>895</v>
      </c>
      <c r="D853" s="10" t="s">
        <v>3</v>
      </c>
      <c r="E853" s="10" t="s">
        <v>2</v>
      </c>
      <c r="F853" s="10" t="s">
        <v>4</v>
      </c>
      <c r="G853" s="10" t="s">
        <v>27</v>
      </c>
      <c r="H853" s="10" t="s">
        <v>47</v>
      </c>
      <c r="I853" s="45">
        <v>3844</v>
      </c>
      <c r="J853" s="11">
        <v>0.23100000000000001</v>
      </c>
      <c r="K853" s="45">
        <f t="shared" si="92"/>
        <v>2956.0360000000001</v>
      </c>
      <c r="L853" s="10">
        <v>3</v>
      </c>
      <c r="M853" s="10">
        <v>2</v>
      </c>
      <c r="N853" s="10" t="b">
        <v>1</v>
      </c>
      <c r="O853" s="41" t="s">
        <v>33</v>
      </c>
      <c r="P853" s="45">
        <f t="shared" si="93"/>
        <v>1241.53512</v>
      </c>
      <c r="Q853" s="45">
        <f t="shared" si="94"/>
        <v>1714.5008800000001</v>
      </c>
      <c r="R853" s="45">
        <v>150</v>
      </c>
      <c r="S853" s="45">
        <f t="shared" si="95"/>
        <v>295.60360000000003</v>
      </c>
      <c r="T853" s="45">
        <f t="shared" si="96"/>
        <v>2956.0360000000001</v>
      </c>
      <c r="U853" s="47">
        <f t="shared" si="97"/>
        <v>-1687.1387199999999</v>
      </c>
    </row>
    <row r="854" spans="1:21" x14ac:dyDescent="0.3">
      <c r="A854" s="41" t="str">
        <f t="shared" si="91"/>
        <v>PBANSH</v>
      </c>
      <c r="B854" s="43">
        <v>45619</v>
      </c>
      <c r="C854" s="10" t="s">
        <v>896</v>
      </c>
      <c r="D854" s="10" t="s">
        <v>21</v>
      </c>
      <c r="E854" s="10" t="s">
        <v>18</v>
      </c>
      <c r="F854" s="10" t="s">
        <v>11</v>
      </c>
      <c r="G854" s="10" t="s">
        <v>27</v>
      </c>
      <c r="H854" s="10" t="s">
        <v>56</v>
      </c>
      <c r="I854" s="45">
        <v>3877</v>
      </c>
      <c r="J854" s="11">
        <v>0</v>
      </c>
      <c r="K854" s="45">
        <f t="shared" si="92"/>
        <v>3877</v>
      </c>
      <c r="L854" s="10">
        <v>20</v>
      </c>
      <c r="M854" s="10">
        <v>2.5</v>
      </c>
      <c r="N854" s="10" t="b">
        <v>0</v>
      </c>
      <c r="O854" s="41"/>
      <c r="P854" s="45">
        <f t="shared" si="93"/>
        <v>1628.34</v>
      </c>
      <c r="Q854" s="45">
        <f t="shared" si="94"/>
        <v>2248.66</v>
      </c>
      <c r="R854" s="45">
        <v>0</v>
      </c>
      <c r="S854" s="45">
        <f t="shared" si="95"/>
        <v>0</v>
      </c>
      <c r="T854" s="45">
        <f t="shared" si="96"/>
        <v>0</v>
      </c>
      <c r="U854" s="47">
        <f t="shared" si="97"/>
        <v>2248.66</v>
      </c>
    </row>
    <row r="855" spans="1:21" x14ac:dyDescent="0.3">
      <c r="A855" s="41" t="str">
        <f t="shared" si="91"/>
        <v>PUNIDR</v>
      </c>
      <c r="B855" s="43">
        <v>45619</v>
      </c>
      <c r="C855" s="10" t="s">
        <v>897</v>
      </c>
      <c r="D855" s="10" t="s">
        <v>10</v>
      </c>
      <c r="E855" s="10" t="s">
        <v>30</v>
      </c>
      <c r="F855" s="10" t="s">
        <v>4</v>
      </c>
      <c r="G855" s="10" t="s">
        <v>5</v>
      </c>
      <c r="H855" s="10" t="s">
        <v>28</v>
      </c>
      <c r="I855" s="45">
        <v>2398</v>
      </c>
      <c r="J855" s="11">
        <v>0.03</v>
      </c>
      <c r="K855" s="45">
        <f t="shared" si="92"/>
        <v>2326.06</v>
      </c>
      <c r="L855" s="10">
        <v>34</v>
      </c>
      <c r="M855" s="10">
        <v>4.0999999999999996</v>
      </c>
      <c r="N855" s="10" t="b">
        <v>0</v>
      </c>
      <c r="O855" s="41"/>
      <c r="P855" s="45">
        <f t="shared" si="93"/>
        <v>976.94519999999989</v>
      </c>
      <c r="Q855" s="45">
        <f t="shared" si="94"/>
        <v>1349.1148000000001</v>
      </c>
      <c r="R855" s="45">
        <v>0</v>
      </c>
      <c r="S855" s="45">
        <f t="shared" si="95"/>
        <v>0</v>
      </c>
      <c r="T855" s="45">
        <f t="shared" si="96"/>
        <v>0</v>
      </c>
      <c r="U855" s="47">
        <f t="shared" si="97"/>
        <v>1349.1148000000001</v>
      </c>
    </row>
    <row r="856" spans="1:21" x14ac:dyDescent="0.3">
      <c r="A856" s="41" t="str">
        <f t="shared" si="91"/>
        <v>PUNIDR</v>
      </c>
      <c r="B856" s="43">
        <v>45620</v>
      </c>
      <c r="C856" s="10" t="s">
        <v>898</v>
      </c>
      <c r="D856" s="10" t="s">
        <v>10</v>
      </c>
      <c r="E856" s="10" t="s">
        <v>30</v>
      </c>
      <c r="F856" s="10" t="s">
        <v>23</v>
      </c>
      <c r="G856" s="10" t="s">
        <v>49</v>
      </c>
      <c r="H856" s="10" t="s">
        <v>56</v>
      </c>
      <c r="I856" s="45">
        <v>2564</v>
      </c>
      <c r="J856" s="11">
        <v>0</v>
      </c>
      <c r="K856" s="45">
        <f t="shared" si="92"/>
        <v>2564</v>
      </c>
      <c r="L856" s="10">
        <v>16</v>
      </c>
      <c r="M856" s="10">
        <v>1.7</v>
      </c>
      <c r="N856" s="10" t="b">
        <v>0</v>
      </c>
      <c r="O856" s="41"/>
      <c r="P856" s="45">
        <f t="shared" si="93"/>
        <v>1076.8799999999999</v>
      </c>
      <c r="Q856" s="45">
        <f t="shared" si="94"/>
        <v>1487.1200000000001</v>
      </c>
      <c r="R856" s="45">
        <v>0</v>
      </c>
      <c r="S856" s="45">
        <f t="shared" si="95"/>
        <v>0</v>
      </c>
      <c r="T856" s="45">
        <f t="shared" si="96"/>
        <v>0</v>
      </c>
      <c r="U856" s="47">
        <f t="shared" si="97"/>
        <v>1487.1200000000001</v>
      </c>
    </row>
    <row r="857" spans="1:21" x14ac:dyDescent="0.3">
      <c r="A857" s="41" t="str">
        <f t="shared" si="91"/>
        <v>PH&amp;MSH</v>
      </c>
      <c r="B857" s="43">
        <v>45620</v>
      </c>
      <c r="C857" s="10" t="s">
        <v>899</v>
      </c>
      <c r="D857" s="10" t="s">
        <v>37</v>
      </c>
      <c r="E857" s="10" t="s">
        <v>18</v>
      </c>
      <c r="F857" s="10" t="s">
        <v>11</v>
      </c>
      <c r="G857" s="10" t="s">
        <v>7</v>
      </c>
      <c r="H857" s="10" t="s">
        <v>43</v>
      </c>
      <c r="I857" s="45">
        <v>3880</v>
      </c>
      <c r="J857" s="11">
        <v>0</v>
      </c>
      <c r="K857" s="45">
        <f t="shared" si="92"/>
        <v>3880</v>
      </c>
      <c r="L857" s="10">
        <v>12</v>
      </c>
      <c r="M857" s="10">
        <v>4.8</v>
      </c>
      <c r="N857" s="10" t="b">
        <v>0</v>
      </c>
      <c r="O857" s="41"/>
      <c r="P857" s="45">
        <f t="shared" si="93"/>
        <v>1629.6</v>
      </c>
      <c r="Q857" s="45">
        <f t="shared" si="94"/>
        <v>2250.4</v>
      </c>
      <c r="R857" s="45">
        <v>0</v>
      </c>
      <c r="S857" s="45">
        <f t="shared" si="95"/>
        <v>0</v>
      </c>
      <c r="T857" s="45">
        <f t="shared" si="96"/>
        <v>0</v>
      </c>
      <c r="U857" s="47">
        <f t="shared" si="97"/>
        <v>2250.4</v>
      </c>
    </row>
    <row r="858" spans="1:21" x14ac:dyDescent="0.3">
      <c r="A858" s="41" t="str">
        <f t="shared" si="91"/>
        <v>PMANTO</v>
      </c>
      <c r="B858" s="43">
        <v>45620</v>
      </c>
      <c r="C858" s="10" t="s">
        <v>900</v>
      </c>
      <c r="D858" s="10" t="s">
        <v>31</v>
      </c>
      <c r="E858" s="10" t="s">
        <v>9</v>
      </c>
      <c r="F858" s="10" t="s">
        <v>23</v>
      </c>
      <c r="G858" s="10" t="s">
        <v>38</v>
      </c>
      <c r="H858" s="10" t="s">
        <v>88</v>
      </c>
      <c r="I858" s="45">
        <v>1782</v>
      </c>
      <c r="J858" s="11">
        <v>1.2E-2</v>
      </c>
      <c r="K858" s="45">
        <f t="shared" si="92"/>
        <v>1760.616</v>
      </c>
      <c r="L858" s="10">
        <v>10</v>
      </c>
      <c r="M858" s="10">
        <v>4.9000000000000004</v>
      </c>
      <c r="N858" s="10" t="b">
        <v>0</v>
      </c>
      <c r="O858" s="41"/>
      <c r="P858" s="45">
        <f t="shared" si="93"/>
        <v>739.45871999999997</v>
      </c>
      <c r="Q858" s="45">
        <f t="shared" si="94"/>
        <v>1021.15728</v>
      </c>
      <c r="R858" s="45">
        <v>0</v>
      </c>
      <c r="S858" s="45">
        <f t="shared" si="95"/>
        <v>0</v>
      </c>
      <c r="T858" s="45">
        <f t="shared" si="96"/>
        <v>0</v>
      </c>
      <c r="U858" s="47">
        <f t="shared" si="97"/>
        <v>1021.15728</v>
      </c>
    </row>
    <row r="859" spans="1:21" x14ac:dyDescent="0.3">
      <c r="A859" s="41" t="str">
        <f t="shared" si="91"/>
        <v>PBANAC</v>
      </c>
      <c r="B859" s="43">
        <v>45620</v>
      </c>
      <c r="C859" s="10" t="s">
        <v>901</v>
      </c>
      <c r="D859" s="10" t="s">
        <v>21</v>
      </c>
      <c r="E859" s="10" t="s">
        <v>15</v>
      </c>
      <c r="F859" s="10" t="s">
        <v>4</v>
      </c>
      <c r="G859" s="10" t="s">
        <v>7</v>
      </c>
      <c r="H859" s="10" t="s">
        <v>32</v>
      </c>
      <c r="I859" s="45">
        <v>311</v>
      </c>
      <c r="J859" s="11">
        <v>0.441</v>
      </c>
      <c r="K859" s="45">
        <f t="shared" si="92"/>
        <v>173.84899999999999</v>
      </c>
      <c r="L859" s="10">
        <v>11</v>
      </c>
      <c r="M859" s="10">
        <v>3.4</v>
      </c>
      <c r="N859" s="10" t="b">
        <v>0</v>
      </c>
      <c r="O859" s="41"/>
      <c r="P859" s="45">
        <f t="shared" si="93"/>
        <v>73.01657999999999</v>
      </c>
      <c r="Q859" s="45">
        <f t="shared" si="94"/>
        <v>100.83242</v>
      </c>
      <c r="R859" s="45">
        <v>0</v>
      </c>
      <c r="S859" s="45">
        <f t="shared" si="95"/>
        <v>0</v>
      </c>
      <c r="T859" s="45">
        <f t="shared" si="96"/>
        <v>0</v>
      </c>
      <c r="U859" s="47">
        <f t="shared" si="97"/>
        <v>100.83242</v>
      </c>
    </row>
    <row r="860" spans="1:21" x14ac:dyDescent="0.3">
      <c r="A860" s="41" t="str">
        <f t="shared" si="91"/>
        <v>PGAPBO</v>
      </c>
      <c r="B860" s="43">
        <v>45621</v>
      </c>
      <c r="C860" s="10" t="s">
        <v>902</v>
      </c>
      <c r="D860" s="10" t="s">
        <v>53</v>
      </c>
      <c r="E860" s="10" t="s">
        <v>26</v>
      </c>
      <c r="F860" s="10" t="s">
        <v>4</v>
      </c>
      <c r="G860" s="10" t="s">
        <v>27</v>
      </c>
      <c r="H860" s="10" t="s">
        <v>6</v>
      </c>
      <c r="I860" s="45">
        <v>2400</v>
      </c>
      <c r="J860" s="11">
        <v>0</v>
      </c>
      <c r="K860" s="45">
        <f t="shared" si="92"/>
        <v>2400</v>
      </c>
      <c r="L860" s="10">
        <v>3</v>
      </c>
      <c r="M860" s="10">
        <v>1.8</v>
      </c>
      <c r="N860" s="10" t="b">
        <v>1</v>
      </c>
      <c r="O860" s="41" t="s">
        <v>33</v>
      </c>
      <c r="P860" s="45">
        <f t="shared" si="93"/>
        <v>1008</v>
      </c>
      <c r="Q860" s="45">
        <f t="shared" si="94"/>
        <v>1392</v>
      </c>
      <c r="R860" s="45">
        <v>150</v>
      </c>
      <c r="S860" s="45">
        <f t="shared" si="95"/>
        <v>240</v>
      </c>
      <c r="T860" s="45">
        <f t="shared" si="96"/>
        <v>2400</v>
      </c>
      <c r="U860" s="47">
        <f t="shared" si="97"/>
        <v>-1398</v>
      </c>
    </row>
    <row r="861" spans="1:21" x14ac:dyDescent="0.3">
      <c r="A861" s="41" t="str">
        <f t="shared" si="91"/>
        <v>PUNIBO</v>
      </c>
      <c r="B861" s="43">
        <v>45621</v>
      </c>
      <c r="C861" s="10" t="s">
        <v>903</v>
      </c>
      <c r="D861" s="10" t="s">
        <v>10</v>
      </c>
      <c r="E861" s="10" t="s">
        <v>26</v>
      </c>
      <c r="F861" s="10" t="s">
        <v>4</v>
      </c>
      <c r="G861" s="10" t="s">
        <v>5</v>
      </c>
      <c r="H861" s="10" t="s">
        <v>28</v>
      </c>
      <c r="I861" s="45">
        <v>2548</v>
      </c>
      <c r="J861" s="11">
        <v>0</v>
      </c>
      <c r="K861" s="45">
        <f t="shared" si="92"/>
        <v>2548</v>
      </c>
      <c r="L861" s="10">
        <v>12</v>
      </c>
      <c r="M861" s="10">
        <v>3.2</v>
      </c>
      <c r="N861" s="10" t="b">
        <v>0</v>
      </c>
      <c r="O861" s="41"/>
      <c r="P861" s="45">
        <f t="shared" si="93"/>
        <v>1070.1599999999999</v>
      </c>
      <c r="Q861" s="45">
        <f t="shared" si="94"/>
        <v>1477.8400000000001</v>
      </c>
      <c r="R861" s="45">
        <v>0</v>
      </c>
      <c r="S861" s="45">
        <f t="shared" si="95"/>
        <v>0</v>
      </c>
      <c r="T861" s="45">
        <f t="shared" si="96"/>
        <v>0</v>
      </c>
      <c r="U861" s="47">
        <f t="shared" si="97"/>
        <v>1477.8400000000001</v>
      </c>
    </row>
    <row r="862" spans="1:21" x14ac:dyDescent="0.3">
      <c r="A862" s="41" t="str">
        <f t="shared" si="91"/>
        <v>PZARDR</v>
      </c>
      <c r="B862" s="43">
        <v>45621</v>
      </c>
      <c r="C862" s="10" t="s">
        <v>904</v>
      </c>
      <c r="D862" s="10" t="s">
        <v>3</v>
      </c>
      <c r="E862" s="10" t="s">
        <v>30</v>
      </c>
      <c r="F862" s="10" t="s">
        <v>11</v>
      </c>
      <c r="G862" s="10" t="s">
        <v>12</v>
      </c>
      <c r="H862" s="10" t="s">
        <v>6</v>
      </c>
      <c r="I862" s="45">
        <v>2762</v>
      </c>
      <c r="J862" s="11">
        <v>0</v>
      </c>
      <c r="K862" s="45">
        <f t="shared" si="92"/>
        <v>2762</v>
      </c>
      <c r="L862" s="10">
        <v>23</v>
      </c>
      <c r="M862" s="10">
        <v>2.8</v>
      </c>
      <c r="N862" s="10" t="b">
        <v>0</v>
      </c>
      <c r="O862" s="41"/>
      <c r="P862" s="45">
        <f t="shared" si="93"/>
        <v>1160.04</v>
      </c>
      <c r="Q862" s="45">
        <f t="shared" si="94"/>
        <v>1601.96</v>
      </c>
      <c r="R862" s="45">
        <v>0</v>
      </c>
      <c r="S862" s="45">
        <f t="shared" si="95"/>
        <v>0</v>
      </c>
      <c r="T862" s="45">
        <f t="shared" si="96"/>
        <v>0</v>
      </c>
      <c r="U862" s="47">
        <f t="shared" si="97"/>
        <v>1601.96</v>
      </c>
    </row>
    <row r="863" spans="1:21" x14ac:dyDescent="0.3">
      <c r="A863" s="41" t="str">
        <f t="shared" si="91"/>
        <v>PBANTO</v>
      </c>
      <c r="B863" s="43">
        <v>45622</v>
      </c>
      <c r="C863" s="10" t="s">
        <v>905</v>
      </c>
      <c r="D863" s="10" t="s">
        <v>21</v>
      </c>
      <c r="E863" s="10" t="s">
        <v>9</v>
      </c>
      <c r="F863" s="10" t="s">
        <v>23</v>
      </c>
      <c r="G863" s="10" t="s">
        <v>49</v>
      </c>
      <c r="H863" s="10" t="s">
        <v>6</v>
      </c>
      <c r="I863" s="45">
        <v>910</v>
      </c>
      <c r="J863" s="11">
        <v>0.16800000000000001</v>
      </c>
      <c r="K863" s="45">
        <f t="shared" si="92"/>
        <v>757.12</v>
      </c>
      <c r="L863" s="10">
        <v>30</v>
      </c>
      <c r="M863" s="10">
        <v>1.5</v>
      </c>
      <c r="N863" s="10" t="b">
        <v>0</v>
      </c>
      <c r="O863" s="41"/>
      <c r="P863" s="45">
        <f t="shared" si="93"/>
        <v>317.99039999999997</v>
      </c>
      <c r="Q863" s="45">
        <f t="shared" si="94"/>
        <v>439.12960000000004</v>
      </c>
      <c r="R863" s="45">
        <v>0</v>
      </c>
      <c r="S863" s="45">
        <f t="shared" si="95"/>
        <v>0</v>
      </c>
      <c r="T863" s="45">
        <f t="shared" si="96"/>
        <v>0</v>
      </c>
      <c r="U863" s="47">
        <f t="shared" si="97"/>
        <v>439.12960000000004</v>
      </c>
    </row>
    <row r="864" spans="1:21" x14ac:dyDescent="0.3">
      <c r="A864" s="41" t="str">
        <f t="shared" si="91"/>
        <v>PMANDR</v>
      </c>
      <c r="B864" s="43">
        <v>45622</v>
      </c>
      <c r="C864" s="10" t="s">
        <v>906</v>
      </c>
      <c r="D864" s="10" t="s">
        <v>31</v>
      </c>
      <c r="E864" s="10" t="s">
        <v>30</v>
      </c>
      <c r="F864" s="10" t="s">
        <v>4</v>
      </c>
      <c r="G864" s="10" t="s">
        <v>27</v>
      </c>
      <c r="H864" s="10" t="s">
        <v>58</v>
      </c>
      <c r="I864" s="45">
        <v>2175</v>
      </c>
      <c r="J864" s="11">
        <v>0.44299999999999995</v>
      </c>
      <c r="K864" s="45">
        <f t="shared" si="92"/>
        <v>1211.4750000000001</v>
      </c>
      <c r="L864" s="10">
        <v>49</v>
      </c>
      <c r="M864" s="10"/>
      <c r="N864" s="10" t="b">
        <v>0</v>
      </c>
      <c r="O864" s="41"/>
      <c r="P864" s="45">
        <f t="shared" si="93"/>
        <v>508.81950000000006</v>
      </c>
      <c r="Q864" s="45">
        <f t="shared" si="94"/>
        <v>702.65550000000007</v>
      </c>
      <c r="R864" s="45">
        <v>0</v>
      </c>
      <c r="S864" s="45">
        <f t="shared" si="95"/>
        <v>0</v>
      </c>
      <c r="T864" s="45">
        <f t="shared" si="96"/>
        <v>0</v>
      </c>
      <c r="U864" s="47">
        <f t="shared" si="97"/>
        <v>702.65550000000007</v>
      </c>
    </row>
    <row r="865" spans="1:21" x14ac:dyDescent="0.3">
      <c r="A865" s="41" t="str">
        <f t="shared" si="91"/>
        <v>PH&amp;MAC</v>
      </c>
      <c r="B865" s="43">
        <v>45622</v>
      </c>
      <c r="C865" s="10" t="s">
        <v>907</v>
      </c>
      <c r="D865" s="10" t="s">
        <v>37</v>
      </c>
      <c r="E865" s="10" t="s">
        <v>15</v>
      </c>
      <c r="F865" s="10" t="s">
        <v>54</v>
      </c>
      <c r="G865" s="10" t="s">
        <v>7</v>
      </c>
      <c r="H865" s="10" t="s">
        <v>88</v>
      </c>
      <c r="I865" s="45">
        <v>195</v>
      </c>
      <c r="J865" s="11">
        <v>0</v>
      </c>
      <c r="K865" s="45">
        <f t="shared" si="92"/>
        <v>195</v>
      </c>
      <c r="L865" s="10">
        <v>14</v>
      </c>
      <c r="M865" s="10">
        <v>2.8</v>
      </c>
      <c r="N865" s="10" t="b">
        <v>0</v>
      </c>
      <c r="O865" s="41"/>
      <c r="P865" s="45">
        <f t="shared" si="93"/>
        <v>81.899999999999991</v>
      </c>
      <c r="Q865" s="45">
        <f t="shared" si="94"/>
        <v>113.10000000000001</v>
      </c>
      <c r="R865" s="45">
        <v>0</v>
      </c>
      <c r="S865" s="45">
        <f t="shared" si="95"/>
        <v>0</v>
      </c>
      <c r="T865" s="45">
        <f t="shared" si="96"/>
        <v>0</v>
      </c>
      <c r="U865" s="47">
        <f t="shared" si="97"/>
        <v>113.10000000000001</v>
      </c>
    </row>
    <row r="866" spans="1:21" x14ac:dyDescent="0.3">
      <c r="A866" s="41" t="str">
        <f t="shared" si="91"/>
        <v>PFOROU</v>
      </c>
      <c r="B866" s="43">
        <v>45622</v>
      </c>
      <c r="C866" s="10" t="s">
        <v>908</v>
      </c>
      <c r="D866" s="10" t="s">
        <v>65</v>
      </c>
      <c r="E866" s="10" t="s">
        <v>2</v>
      </c>
      <c r="F866" s="10" t="s">
        <v>4</v>
      </c>
      <c r="G866" s="10" t="s">
        <v>27</v>
      </c>
      <c r="H866" s="10" t="s">
        <v>56</v>
      </c>
      <c r="I866" s="45">
        <v>3597</v>
      </c>
      <c r="J866" s="11">
        <v>0.44900000000000001</v>
      </c>
      <c r="K866" s="45">
        <f t="shared" si="92"/>
        <v>1981.9469999999997</v>
      </c>
      <c r="L866" s="10">
        <v>23</v>
      </c>
      <c r="M866" s="10">
        <v>2.1</v>
      </c>
      <c r="N866" s="10" t="b">
        <v>0</v>
      </c>
      <c r="O866" s="41"/>
      <c r="P866" s="45">
        <f t="shared" si="93"/>
        <v>832.41773999999987</v>
      </c>
      <c r="Q866" s="45">
        <f t="shared" si="94"/>
        <v>1149.5292599999998</v>
      </c>
      <c r="R866" s="45">
        <v>0</v>
      </c>
      <c r="S866" s="45">
        <f t="shared" si="95"/>
        <v>0</v>
      </c>
      <c r="T866" s="45">
        <f t="shared" si="96"/>
        <v>0</v>
      </c>
      <c r="U866" s="47">
        <f t="shared" si="97"/>
        <v>1149.5292599999998</v>
      </c>
    </row>
    <row r="867" spans="1:21" x14ac:dyDescent="0.3">
      <c r="A867" s="41" t="str">
        <f t="shared" si="91"/>
        <v>PGAPOU</v>
      </c>
      <c r="B867" s="43">
        <v>45623</v>
      </c>
      <c r="C867" s="10" t="s">
        <v>909</v>
      </c>
      <c r="D867" s="10" t="s">
        <v>53</v>
      </c>
      <c r="E867" s="10" t="s">
        <v>2</v>
      </c>
      <c r="F867" s="10" t="s">
        <v>23</v>
      </c>
      <c r="G867" s="10" t="s">
        <v>38</v>
      </c>
      <c r="H867" s="10" t="s">
        <v>32</v>
      </c>
      <c r="I867" s="45">
        <v>3011</v>
      </c>
      <c r="J867" s="11">
        <v>0.51300000000000001</v>
      </c>
      <c r="K867" s="45">
        <f t="shared" si="92"/>
        <v>1466.357</v>
      </c>
      <c r="L867" s="10">
        <v>38</v>
      </c>
      <c r="M867" s="10"/>
      <c r="N867" s="10" t="b">
        <v>1</v>
      </c>
      <c r="O867" s="41" t="s">
        <v>44</v>
      </c>
      <c r="P867" s="45">
        <f t="shared" si="93"/>
        <v>615.86993999999993</v>
      </c>
      <c r="Q867" s="45">
        <f t="shared" si="94"/>
        <v>850.48706000000004</v>
      </c>
      <c r="R867" s="45">
        <v>150</v>
      </c>
      <c r="S867" s="45">
        <f t="shared" si="95"/>
        <v>146.63570000000001</v>
      </c>
      <c r="T867" s="45">
        <f t="shared" si="96"/>
        <v>1466.357</v>
      </c>
      <c r="U867" s="47">
        <f t="shared" si="97"/>
        <v>-912.50563999999997</v>
      </c>
    </row>
    <row r="868" spans="1:21" x14ac:dyDescent="0.3">
      <c r="A868" s="41" t="str">
        <f t="shared" si="91"/>
        <v>PANNBO</v>
      </c>
      <c r="B868" s="43">
        <v>45623</v>
      </c>
      <c r="C868" s="10" t="s">
        <v>910</v>
      </c>
      <c r="D868" s="10" t="s">
        <v>42</v>
      </c>
      <c r="E868" s="10" t="s">
        <v>26</v>
      </c>
      <c r="F868" s="10" t="s">
        <v>11</v>
      </c>
      <c r="G868" s="10" t="s">
        <v>38</v>
      </c>
      <c r="H868" s="10" t="s">
        <v>47</v>
      </c>
      <c r="I868" s="45">
        <v>2106</v>
      </c>
      <c r="J868" s="11">
        <v>0</v>
      </c>
      <c r="K868" s="45">
        <f t="shared" si="92"/>
        <v>2106</v>
      </c>
      <c r="L868" s="10">
        <v>34</v>
      </c>
      <c r="M868" s="10"/>
      <c r="N868" s="10" t="b">
        <v>0</v>
      </c>
      <c r="O868" s="41"/>
      <c r="P868" s="45">
        <f t="shared" si="93"/>
        <v>884.52</v>
      </c>
      <c r="Q868" s="45">
        <f t="shared" si="94"/>
        <v>1221.48</v>
      </c>
      <c r="R868" s="45">
        <v>0</v>
      </c>
      <c r="S868" s="45">
        <f t="shared" si="95"/>
        <v>0</v>
      </c>
      <c r="T868" s="45">
        <f t="shared" si="96"/>
        <v>0</v>
      </c>
      <c r="U868" s="47">
        <f t="shared" si="97"/>
        <v>1221.48</v>
      </c>
    </row>
    <row r="869" spans="1:21" x14ac:dyDescent="0.3">
      <c r="A869" s="41" t="str">
        <f t="shared" si="91"/>
        <v>PZARBO</v>
      </c>
      <c r="B869" s="43">
        <v>45623</v>
      </c>
      <c r="C869" s="10" t="s">
        <v>911</v>
      </c>
      <c r="D869" s="10" t="s">
        <v>3</v>
      </c>
      <c r="E869" s="10" t="s">
        <v>26</v>
      </c>
      <c r="F869" s="10" t="s">
        <v>23</v>
      </c>
      <c r="G869" s="10" t="s">
        <v>5</v>
      </c>
      <c r="H869" s="10" t="s">
        <v>28</v>
      </c>
      <c r="I869" s="45">
        <v>2084</v>
      </c>
      <c r="J869" s="11">
        <v>0.10400000000000001</v>
      </c>
      <c r="K869" s="45">
        <f t="shared" si="92"/>
        <v>1867.2640000000001</v>
      </c>
      <c r="L869" s="10">
        <v>36</v>
      </c>
      <c r="M869" s="10">
        <v>1.6</v>
      </c>
      <c r="N869" s="10" t="b">
        <v>0</v>
      </c>
      <c r="O869" s="41"/>
      <c r="P869" s="45">
        <f t="shared" si="93"/>
        <v>784.25088000000005</v>
      </c>
      <c r="Q869" s="45">
        <f t="shared" si="94"/>
        <v>1083.0131200000001</v>
      </c>
      <c r="R869" s="45">
        <v>0</v>
      </c>
      <c r="S869" s="45">
        <f t="shared" si="95"/>
        <v>0</v>
      </c>
      <c r="T869" s="45">
        <f t="shared" si="96"/>
        <v>0</v>
      </c>
      <c r="U869" s="47">
        <f t="shared" si="97"/>
        <v>1083.0131200000001</v>
      </c>
    </row>
    <row r="870" spans="1:21" x14ac:dyDescent="0.3">
      <c r="A870" s="41" t="str">
        <f t="shared" si="91"/>
        <v>PFOROU</v>
      </c>
      <c r="B870" s="43">
        <v>45624</v>
      </c>
      <c r="C870" s="10" t="s">
        <v>912</v>
      </c>
      <c r="D870" s="10" t="s">
        <v>65</v>
      </c>
      <c r="E870" s="10" t="s">
        <v>2</v>
      </c>
      <c r="F870" s="10" t="s">
        <v>4</v>
      </c>
      <c r="G870" s="10" t="s">
        <v>46</v>
      </c>
      <c r="H870" s="10" t="s">
        <v>32</v>
      </c>
      <c r="I870" s="45">
        <v>4164</v>
      </c>
      <c r="J870" s="11">
        <v>0</v>
      </c>
      <c r="K870" s="45">
        <f t="shared" si="92"/>
        <v>4164</v>
      </c>
      <c r="L870" s="10">
        <v>6</v>
      </c>
      <c r="M870" s="10">
        <v>1.9</v>
      </c>
      <c r="N870" s="10" t="b">
        <v>0</v>
      </c>
      <c r="O870" s="41"/>
      <c r="P870" s="45">
        <f t="shared" si="93"/>
        <v>1748.8799999999999</v>
      </c>
      <c r="Q870" s="45">
        <f t="shared" si="94"/>
        <v>2415.12</v>
      </c>
      <c r="R870" s="45">
        <v>0</v>
      </c>
      <c r="S870" s="45">
        <f t="shared" si="95"/>
        <v>0</v>
      </c>
      <c r="T870" s="45">
        <f t="shared" si="96"/>
        <v>0</v>
      </c>
      <c r="U870" s="47">
        <f t="shared" si="97"/>
        <v>2415.12</v>
      </c>
    </row>
    <row r="871" spans="1:21" x14ac:dyDescent="0.3">
      <c r="A871" s="41" t="str">
        <f t="shared" si="91"/>
        <v>PZARAC</v>
      </c>
      <c r="B871" s="43">
        <v>45624</v>
      </c>
      <c r="C871" s="10" t="s">
        <v>913</v>
      </c>
      <c r="D871" s="10" t="s">
        <v>3</v>
      </c>
      <c r="E871" s="10" t="s">
        <v>15</v>
      </c>
      <c r="F871" s="10" t="s">
        <v>23</v>
      </c>
      <c r="G871" s="10" t="s">
        <v>7</v>
      </c>
      <c r="H871" s="10" t="s">
        <v>16</v>
      </c>
      <c r="I871" s="45">
        <v>205</v>
      </c>
      <c r="J871" s="11">
        <v>0.31</v>
      </c>
      <c r="K871" s="45">
        <f t="shared" si="92"/>
        <v>141.44999999999999</v>
      </c>
      <c r="L871" s="10">
        <v>9</v>
      </c>
      <c r="M871" s="10">
        <v>2.7</v>
      </c>
      <c r="N871" s="10" t="b">
        <v>1</v>
      </c>
      <c r="O871" s="41" t="s">
        <v>44</v>
      </c>
      <c r="P871" s="45">
        <f t="shared" si="93"/>
        <v>59.408999999999992</v>
      </c>
      <c r="Q871" s="45">
        <f t="shared" si="94"/>
        <v>82.040999999999997</v>
      </c>
      <c r="R871" s="45">
        <v>150</v>
      </c>
      <c r="S871" s="45">
        <f t="shared" si="95"/>
        <v>14.145</v>
      </c>
      <c r="T871" s="45">
        <f t="shared" si="96"/>
        <v>141.44999999999999</v>
      </c>
      <c r="U871" s="47">
        <f t="shared" si="97"/>
        <v>-223.55399999999997</v>
      </c>
    </row>
    <row r="872" spans="1:21" x14ac:dyDescent="0.3">
      <c r="A872" s="41" t="str">
        <f t="shared" si="91"/>
        <v>PANNDR</v>
      </c>
      <c r="B872" s="43">
        <v>45624</v>
      </c>
      <c r="C872" s="10" t="s">
        <v>914</v>
      </c>
      <c r="D872" s="10" t="s">
        <v>42</v>
      </c>
      <c r="E872" s="10" t="s">
        <v>30</v>
      </c>
      <c r="F872" s="10" t="s">
        <v>23</v>
      </c>
      <c r="G872" s="10" t="s">
        <v>12</v>
      </c>
      <c r="H872" s="10" t="s">
        <v>7</v>
      </c>
      <c r="I872" s="45">
        <v>1962</v>
      </c>
      <c r="J872" s="11">
        <v>0</v>
      </c>
      <c r="K872" s="45">
        <f t="shared" si="92"/>
        <v>1962</v>
      </c>
      <c r="L872" s="10">
        <v>36</v>
      </c>
      <c r="M872" s="10">
        <v>4.8</v>
      </c>
      <c r="N872" s="10" t="b">
        <v>0</v>
      </c>
      <c r="O872" s="41"/>
      <c r="P872" s="45">
        <f t="shared" si="93"/>
        <v>824.04</v>
      </c>
      <c r="Q872" s="45">
        <f t="shared" si="94"/>
        <v>1137.96</v>
      </c>
      <c r="R872" s="45">
        <v>0</v>
      </c>
      <c r="S872" s="45">
        <f t="shared" si="95"/>
        <v>0</v>
      </c>
      <c r="T872" s="45">
        <f t="shared" si="96"/>
        <v>0</v>
      </c>
      <c r="U872" s="47">
        <f t="shared" si="97"/>
        <v>1137.96</v>
      </c>
    </row>
    <row r="873" spans="1:21" x14ac:dyDescent="0.3">
      <c r="A873" s="41" t="str">
        <f t="shared" si="91"/>
        <v>PUNITO</v>
      </c>
      <c r="B873" s="43">
        <v>45624</v>
      </c>
      <c r="C873" s="10" t="s">
        <v>915</v>
      </c>
      <c r="D873" s="10" t="s">
        <v>10</v>
      </c>
      <c r="E873" s="10" t="s">
        <v>9</v>
      </c>
      <c r="F873" s="10" t="s">
        <v>4</v>
      </c>
      <c r="G873" s="10" t="s">
        <v>27</v>
      </c>
      <c r="H873" s="10" t="s">
        <v>16</v>
      </c>
      <c r="I873" s="45">
        <v>1788</v>
      </c>
      <c r="J873" s="11">
        <v>0</v>
      </c>
      <c r="K873" s="45">
        <f t="shared" si="92"/>
        <v>1788</v>
      </c>
      <c r="L873" s="10">
        <v>13</v>
      </c>
      <c r="M873" s="10"/>
      <c r="N873" s="10" t="b">
        <v>0</v>
      </c>
      <c r="O873" s="41"/>
      <c r="P873" s="45">
        <f t="shared" si="93"/>
        <v>750.95999999999992</v>
      </c>
      <c r="Q873" s="45">
        <f t="shared" si="94"/>
        <v>1037.04</v>
      </c>
      <c r="R873" s="45">
        <v>0</v>
      </c>
      <c r="S873" s="45">
        <f t="shared" si="95"/>
        <v>0</v>
      </c>
      <c r="T873" s="45">
        <f t="shared" si="96"/>
        <v>0</v>
      </c>
      <c r="U873" s="47">
        <f t="shared" si="97"/>
        <v>1037.04</v>
      </c>
    </row>
    <row r="874" spans="1:21" x14ac:dyDescent="0.3">
      <c r="A874" s="41" t="str">
        <f t="shared" si="91"/>
        <v>PGAPAC</v>
      </c>
      <c r="B874" s="43">
        <v>45625</v>
      </c>
      <c r="C874" s="10" t="s">
        <v>916</v>
      </c>
      <c r="D874" s="10" t="s">
        <v>53</v>
      </c>
      <c r="E874" s="10" t="s">
        <v>15</v>
      </c>
      <c r="F874" s="10" t="s">
        <v>11</v>
      </c>
      <c r="G874" s="10" t="s">
        <v>7</v>
      </c>
      <c r="H874" s="10" t="s">
        <v>43</v>
      </c>
      <c r="I874" s="45">
        <v>260</v>
      </c>
      <c r="J874" s="11">
        <v>0</v>
      </c>
      <c r="K874" s="45">
        <f t="shared" si="92"/>
        <v>260</v>
      </c>
      <c r="L874" s="10">
        <v>21</v>
      </c>
      <c r="M874" s="10">
        <v>4.9000000000000004</v>
      </c>
      <c r="N874" s="10" t="b">
        <v>0</v>
      </c>
      <c r="O874" s="41"/>
      <c r="P874" s="45">
        <f t="shared" si="93"/>
        <v>109.2</v>
      </c>
      <c r="Q874" s="45">
        <f t="shared" si="94"/>
        <v>150.80000000000001</v>
      </c>
      <c r="R874" s="45">
        <v>0</v>
      </c>
      <c r="S874" s="45">
        <f t="shared" si="95"/>
        <v>0</v>
      </c>
      <c r="T874" s="45">
        <f t="shared" si="96"/>
        <v>0</v>
      </c>
      <c r="U874" s="47">
        <f t="shared" si="97"/>
        <v>150.80000000000001</v>
      </c>
    </row>
    <row r="875" spans="1:21" x14ac:dyDescent="0.3">
      <c r="A875" s="41" t="str">
        <f t="shared" si="91"/>
        <v>PGAPSH</v>
      </c>
      <c r="B875" s="43">
        <v>45625</v>
      </c>
      <c r="C875" s="10" t="s">
        <v>917</v>
      </c>
      <c r="D875" s="10" t="s">
        <v>53</v>
      </c>
      <c r="E875" s="10" t="s">
        <v>18</v>
      </c>
      <c r="F875" s="10" t="s">
        <v>23</v>
      </c>
      <c r="G875" s="10" t="s">
        <v>46</v>
      </c>
      <c r="H875" s="10" t="s">
        <v>35</v>
      </c>
      <c r="I875" s="45">
        <v>4183</v>
      </c>
      <c r="J875" s="11">
        <v>0.33100000000000002</v>
      </c>
      <c r="K875" s="45">
        <f t="shared" si="92"/>
        <v>2798.4270000000001</v>
      </c>
      <c r="L875" s="10">
        <v>45</v>
      </c>
      <c r="M875" s="10">
        <v>2.4</v>
      </c>
      <c r="N875" s="10" t="b">
        <v>0</v>
      </c>
      <c r="O875" s="41"/>
      <c r="P875" s="45">
        <f t="shared" si="93"/>
        <v>1175.33934</v>
      </c>
      <c r="Q875" s="45">
        <f t="shared" si="94"/>
        <v>1623.0876600000001</v>
      </c>
      <c r="R875" s="45">
        <v>0</v>
      </c>
      <c r="S875" s="45">
        <f t="shared" si="95"/>
        <v>0</v>
      </c>
      <c r="T875" s="45">
        <f t="shared" si="96"/>
        <v>0</v>
      </c>
      <c r="U875" s="47">
        <f t="shared" si="97"/>
        <v>1623.0876600000001</v>
      </c>
    </row>
    <row r="876" spans="1:21" x14ac:dyDescent="0.3">
      <c r="A876" s="41" t="str">
        <f t="shared" si="91"/>
        <v>PZARDR</v>
      </c>
      <c r="B876" s="43">
        <v>45625</v>
      </c>
      <c r="C876" s="10" t="s">
        <v>918</v>
      </c>
      <c r="D876" s="10" t="s">
        <v>3</v>
      </c>
      <c r="E876" s="10" t="s">
        <v>30</v>
      </c>
      <c r="F876" s="10" t="s">
        <v>4</v>
      </c>
      <c r="G876" s="10" t="s">
        <v>49</v>
      </c>
      <c r="H876" s="10" t="s">
        <v>43</v>
      </c>
      <c r="I876" s="45">
        <v>1863</v>
      </c>
      <c r="J876" s="11">
        <v>0.56100000000000005</v>
      </c>
      <c r="K876" s="45">
        <f t="shared" si="92"/>
        <v>817.85699999999986</v>
      </c>
      <c r="L876" s="10">
        <v>16</v>
      </c>
      <c r="M876" s="10">
        <v>1.2</v>
      </c>
      <c r="N876" s="10" t="b">
        <v>0</v>
      </c>
      <c r="O876" s="41"/>
      <c r="P876" s="45">
        <f t="shared" si="93"/>
        <v>343.49993999999992</v>
      </c>
      <c r="Q876" s="45">
        <f t="shared" si="94"/>
        <v>474.35705999999993</v>
      </c>
      <c r="R876" s="45">
        <v>0</v>
      </c>
      <c r="S876" s="45">
        <f t="shared" si="95"/>
        <v>0</v>
      </c>
      <c r="T876" s="45">
        <f t="shared" si="96"/>
        <v>0</v>
      </c>
      <c r="U876" s="47">
        <f t="shared" si="97"/>
        <v>474.35705999999993</v>
      </c>
    </row>
    <row r="877" spans="1:21" x14ac:dyDescent="0.3">
      <c r="A877" s="41" t="str">
        <f t="shared" si="91"/>
        <v>PZARSH</v>
      </c>
      <c r="B877" s="43">
        <v>45625</v>
      </c>
      <c r="C877" s="10" t="s">
        <v>919</v>
      </c>
      <c r="D877" s="10" t="s">
        <v>3</v>
      </c>
      <c r="E877" s="10" t="s">
        <v>18</v>
      </c>
      <c r="F877" s="10" t="s">
        <v>23</v>
      </c>
      <c r="G877" s="10" t="s">
        <v>46</v>
      </c>
      <c r="H877" s="10" t="s">
        <v>6</v>
      </c>
      <c r="I877" s="45">
        <v>3894</v>
      </c>
      <c r="J877" s="11">
        <v>8.199999999999999E-2</v>
      </c>
      <c r="K877" s="45">
        <f t="shared" si="92"/>
        <v>3574.692</v>
      </c>
      <c r="L877" s="10">
        <v>12</v>
      </c>
      <c r="M877" s="10"/>
      <c r="N877" s="10" t="b">
        <v>0</v>
      </c>
      <c r="O877" s="41"/>
      <c r="P877" s="45">
        <f t="shared" si="93"/>
        <v>1501.3706399999999</v>
      </c>
      <c r="Q877" s="45">
        <f t="shared" si="94"/>
        <v>2073.3213599999999</v>
      </c>
      <c r="R877" s="45">
        <v>0</v>
      </c>
      <c r="S877" s="45">
        <f t="shared" si="95"/>
        <v>0</v>
      </c>
      <c r="T877" s="45">
        <f t="shared" si="96"/>
        <v>0</v>
      </c>
      <c r="U877" s="47">
        <f t="shared" si="97"/>
        <v>2073.3213599999999</v>
      </c>
    </row>
    <row r="878" spans="1:21" x14ac:dyDescent="0.3">
      <c r="A878" s="41" t="str">
        <f t="shared" si="91"/>
        <v>PMANAC</v>
      </c>
      <c r="B878" s="43">
        <v>45626</v>
      </c>
      <c r="C878" s="10" t="s">
        <v>920</v>
      </c>
      <c r="D878" s="10" t="s">
        <v>31</v>
      </c>
      <c r="E878" s="10" t="s">
        <v>15</v>
      </c>
      <c r="F878" s="10" t="s">
        <v>11</v>
      </c>
      <c r="G878" s="10" t="s">
        <v>7</v>
      </c>
      <c r="H878" s="10" t="s">
        <v>56</v>
      </c>
      <c r="I878" s="45">
        <v>264</v>
      </c>
      <c r="J878" s="11">
        <v>0</v>
      </c>
      <c r="K878" s="45">
        <f t="shared" si="92"/>
        <v>264</v>
      </c>
      <c r="L878" s="10">
        <v>29</v>
      </c>
      <c r="M878" s="10">
        <v>4.7</v>
      </c>
      <c r="N878" s="10" t="b">
        <v>1</v>
      </c>
      <c r="O878" s="41" t="s">
        <v>33</v>
      </c>
      <c r="P878" s="45">
        <f t="shared" si="93"/>
        <v>110.88</v>
      </c>
      <c r="Q878" s="45">
        <f t="shared" si="94"/>
        <v>153.12</v>
      </c>
      <c r="R878" s="45">
        <v>150</v>
      </c>
      <c r="S878" s="45">
        <f t="shared" si="95"/>
        <v>26.400000000000002</v>
      </c>
      <c r="T878" s="45">
        <f t="shared" si="96"/>
        <v>264</v>
      </c>
      <c r="U878" s="47">
        <f t="shared" si="97"/>
        <v>-287.27999999999997</v>
      </c>
    </row>
    <row r="879" spans="1:21" x14ac:dyDescent="0.3">
      <c r="A879" s="41" t="str">
        <f t="shared" si="91"/>
        <v>PBANAC</v>
      </c>
      <c r="B879" s="43">
        <v>45626</v>
      </c>
      <c r="C879" s="10" t="s">
        <v>921</v>
      </c>
      <c r="D879" s="10" t="s">
        <v>21</v>
      </c>
      <c r="E879" s="10" t="s">
        <v>15</v>
      </c>
      <c r="F879" s="10" t="s">
        <v>23</v>
      </c>
      <c r="G879" s="10" t="s">
        <v>7</v>
      </c>
      <c r="H879" s="10" t="s">
        <v>32</v>
      </c>
      <c r="I879" s="45">
        <v>293</v>
      </c>
      <c r="J879" s="11">
        <v>1.7000000000000001E-2</v>
      </c>
      <c r="K879" s="45">
        <f t="shared" si="92"/>
        <v>288.01900000000001</v>
      </c>
      <c r="L879" s="10">
        <v>28</v>
      </c>
      <c r="M879" s="10">
        <v>1.6</v>
      </c>
      <c r="N879" s="10" t="b">
        <v>0</v>
      </c>
      <c r="O879" s="41"/>
      <c r="P879" s="45">
        <f t="shared" si="93"/>
        <v>120.96798</v>
      </c>
      <c r="Q879" s="45">
        <f t="shared" si="94"/>
        <v>167.05101999999999</v>
      </c>
      <c r="R879" s="45">
        <v>0</v>
      </c>
      <c r="S879" s="45">
        <f t="shared" si="95"/>
        <v>0</v>
      </c>
      <c r="T879" s="45">
        <f t="shared" si="96"/>
        <v>0</v>
      </c>
      <c r="U879" s="47">
        <f t="shared" si="97"/>
        <v>167.05101999999999</v>
      </c>
    </row>
    <row r="880" spans="1:21" x14ac:dyDescent="0.3">
      <c r="A880" s="41" t="str">
        <f t="shared" si="91"/>
        <v>PH&amp;MBO</v>
      </c>
      <c r="B880" s="43">
        <v>45626</v>
      </c>
      <c r="C880" s="10" t="s">
        <v>922</v>
      </c>
      <c r="D880" s="10" t="s">
        <v>37</v>
      </c>
      <c r="E880" s="10" t="s">
        <v>26</v>
      </c>
      <c r="F880" s="10" t="s">
        <v>11</v>
      </c>
      <c r="G880" s="10" t="s">
        <v>49</v>
      </c>
      <c r="H880" s="10" t="s">
        <v>6</v>
      </c>
      <c r="I880" s="45">
        <v>2085</v>
      </c>
      <c r="J880" s="11">
        <v>0.28399999999999997</v>
      </c>
      <c r="K880" s="45">
        <f t="shared" si="92"/>
        <v>1492.86</v>
      </c>
      <c r="L880" s="10">
        <v>32</v>
      </c>
      <c r="M880" s="10">
        <v>2</v>
      </c>
      <c r="N880" s="10" t="b">
        <v>0</v>
      </c>
      <c r="O880" s="41"/>
      <c r="P880" s="45">
        <f t="shared" si="93"/>
        <v>627.00119999999993</v>
      </c>
      <c r="Q880" s="45">
        <f t="shared" si="94"/>
        <v>865.85879999999997</v>
      </c>
      <c r="R880" s="45">
        <v>0</v>
      </c>
      <c r="S880" s="45">
        <f t="shared" si="95"/>
        <v>0</v>
      </c>
      <c r="T880" s="45">
        <f t="shared" si="96"/>
        <v>0</v>
      </c>
      <c r="U880" s="47">
        <f t="shared" si="97"/>
        <v>865.85879999999997</v>
      </c>
    </row>
    <row r="881" spans="1:21" x14ac:dyDescent="0.3">
      <c r="A881" s="41" t="str">
        <f t="shared" si="91"/>
        <v>PMANBO</v>
      </c>
      <c r="B881" s="43">
        <v>45626</v>
      </c>
      <c r="C881" s="10" t="s">
        <v>923</v>
      </c>
      <c r="D881" s="10" t="s">
        <v>31</v>
      </c>
      <c r="E881" s="10" t="s">
        <v>26</v>
      </c>
      <c r="F881" s="10" t="s">
        <v>4</v>
      </c>
      <c r="G881" s="10" t="s">
        <v>12</v>
      </c>
      <c r="H881" s="10" t="s">
        <v>35</v>
      </c>
      <c r="I881" s="45">
        <v>2532</v>
      </c>
      <c r="J881" s="11">
        <v>0</v>
      </c>
      <c r="K881" s="45">
        <f t="shared" si="92"/>
        <v>2532</v>
      </c>
      <c r="L881" s="10">
        <v>18</v>
      </c>
      <c r="M881" s="10">
        <v>1.2</v>
      </c>
      <c r="N881" s="10" t="b">
        <v>0</v>
      </c>
      <c r="O881" s="41"/>
      <c r="P881" s="45">
        <f t="shared" si="93"/>
        <v>1063.44</v>
      </c>
      <c r="Q881" s="45">
        <f t="shared" si="94"/>
        <v>1468.56</v>
      </c>
      <c r="R881" s="45">
        <v>0</v>
      </c>
      <c r="S881" s="45">
        <f t="shared" si="95"/>
        <v>0</v>
      </c>
      <c r="T881" s="45">
        <f t="shared" si="96"/>
        <v>0</v>
      </c>
      <c r="U881" s="47">
        <f t="shared" si="97"/>
        <v>1468.56</v>
      </c>
    </row>
    <row r="882" spans="1:21" x14ac:dyDescent="0.3">
      <c r="A882" s="41" t="str">
        <f t="shared" si="91"/>
        <v>PBANSH</v>
      </c>
      <c r="B882" s="43">
        <v>45627</v>
      </c>
      <c r="C882" s="10" t="s">
        <v>924</v>
      </c>
      <c r="D882" s="10" t="s">
        <v>21</v>
      </c>
      <c r="E882" s="10" t="s">
        <v>18</v>
      </c>
      <c r="F882" s="10" t="s">
        <v>11</v>
      </c>
      <c r="G882" s="10" t="s">
        <v>49</v>
      </c>
      <c r="H882" s="10" t="s">
        <v>58</v>
      </c>
      <c r="I882" s="45">
        <v>3434</v>
      </c>
      <c r="J882" s="11">
        <v>0</v>
      </c>
      <c r="K882" s="45">
        <f t="shared" si="92"/>
        <v>3434</v>
      </c>
      <c r="L882" s="10">
        <v>45</v>
      </c>
      <c r="M882" s="10"/>
      <c r="N882" s="10" t="b">
        <v>0</v>
      </c>
      <c r="O882" s="41"/>
      <c r="P882" s="45">
        <f t="shared" si="93"/>
        <v>1442.28</v>
      </c>
      <c r="Q882" s="45">
        <f t="shared" si="94"/>
        <v>1991.72</v>
      </c>
      <c r="R882" s="45">
        <v>0</v>
      </c>
      <c r="S882" s="45">
        <f t="shared" si="95"/>
        <v>0</v>
      </c>
      <c r="T882" s="45">
        <f t="shared" si="96"/>
        <v>0</v>
      </c>
      <c r="U882" s="47">
        <f t="shared" si="97"/>
        <v>1991.72</v>
      </c>
    </row>
    <row r="883" spans="1:21" x14ac:dyDescent="0.3">
      <c r="A883" s="41" t="str">
        <f t="shared" si="91"/>
        <v>PZARDR</v>
      </c>
      <c r="B883" s="43">
        <v>45627</v>
      </c>
      <c r="C883" s="10" t="s">
        <v>925</v>
      </c>
      <c r="D883" s="10" t="s">
        <v>3</v>
      </c>
      <c r="E883" s="10" t="s">
        <v>30</v>
      </c>
      <c r="F883" s="10" t="s">
        <v>11</v>
      </c>
      <c r="G883" s="10" t="s">
        <v>27</v>
      </c>
      <c r="H883" s="10" t="s">
        <v>35</v>
      </c>
      <c r="I883" s="45">
        <v>2108</v>
      </c>
      <c r="J883" s="11">
        <v>0</v>
      </c>
      <c r="K883" s="45">
        <f t="shared" si="92"/>
        <v>2108</v>
      </c>
      <c r="L883" s="10">
        <v>27</v>
      </c>
      <c r="M883" s="10">
        <v>3.7</v>
      </c>
      <c r="N883" s="10" t="b">
        <v>0</v>
      </c>
      <c r="O883" s="41"/>
      <c r="P883" s="45">
        <f t="shared" si="93"/>
        <v>885.36</v>
      </c>
      <c r="Q883" s="45">
        <f t="shared" si="94"/>
        <v>1222.6399999999999</v>
      </c>
      <c r="R883" s="45">
        <v>0</v>
      </c>
      <c r="S883" s="45">
        <f t="shared" si="95"/>
        <v>0</v>
      </c>
      <c r="T883" s="45">
        <f t="shared" si="96"/>
        <v>0</v>
      </c>
      <c r="U883" s="47">
        <f t="shared" si="97"/>
        <v>1222.6399999999999</v>
      </c>
    </row>
    <row r="884" spans="1:21" x14ac:dyDescent="0.3">
      <c r="A884" s="41" t="str">
        <f t="shared" si="91"/>
        <v>PANNOU</v>
      </c>
      <c r="B884" s="43">
        <v>45627</v>
      </c>
      <c r="C884" s="10" t="s">
        <v>926</v>
      </c>
      <c r="D884" s="10" t="s">
        <v>42</v>
      </c>
      <c r="E884" s="10" t="s">
        <v>2</v>
      </c>
      <c r="F884" s="10" t="s">
        <v>54</v>
      </c>
      <c r="G884" s="10" t="s">
        <v>5</v>
      </c>
      <c r="H884" s="10" t="s">
        <v>32</v>
      </c>
      <c r="I884" s="45">
        <v>3438</v>
      </c>
      <c r="J884" s="11">
        <v>0</v>
      </c>
      <c r="K884" s="45">
        <f t="shared" si="92"/>
        <v>3438</v>
      </c>
      <c r="L884" s="10">
        <v>16</v>
      </c>
      <c r="M884" s="10"/>
      <c r="N884" s="10" t="b">
        <v>0</v>
      </c>
      <c r="O884" s="41"/>
      <c r="P884" s="45">
        <f t="shared" si="93"/>
        <v>1443.96</v>
      </c>
      <c r="Q884" s="45">
        <f t="shared" si="94"/>
        <v>1994.04</v>
      </c>
      <c r="R884" s="45">
        <v>0</v>
      </c>
      <c r="S884" s="45">
        <f t="shared" si="95"/>
        <v>0</v>
      </c>
      <c r="T884" s="45">
        <f t="shared" si="96"/>
        <v>0</v>
      </c>
      <c r="U884" s="47">
        <f t="shared" si="97"/>
        <v>1994.04</v>
      </c>
    </row>
    <row r="885" spans="1:21" x14ac:dyDescent="0.3">
      <c r="A885" s="41" t="str">
        <f t="shared" si="91"/>
        <v>PZARAC</v>
      </c>
      <c r="B885" s="43">
        <v>45627</v>
      </c>
      <c r="C885" s="10" t="s">
        <v>927</v>
      </c>
      <c r="D885" s="10" t="s">
        <v>3</v>
      </c>
      <c r="E885" s="10" t="s">
        <v>15</v>
      </c>
      <c r="F885" s="10" t="s">
        <v>11</v>
      </c>
      <c r="G885" s="10" t="s">
        <v>7</v>
      </c>
      <c r="H885" s="10" t="s">
        <v>88</v>
      </c>
      <c r="I885" s="45">
        <v>190</v>
      </c>
      <c r="J885" s="11">
        <v>0</v>
      </c>
      <c r="K885" s="45">
        <f t="shared" si="92"/>
        <v>190</v>
      </c>
      <c r="L885" s="10">
        <v>27</v>
      </c>
      <c r="M885" s="10">
        <v>4.7</v>
      </c>
      <c r="N885" s="10" t="b">
        <v>0</v>
      </c>
      <c r="O885" s="41"/>
      <c r="P885" s="45">
        <f t="shared" si="93"/>
        <v>79.8</v>
      </c>
      <c r="Q885" s="45">
        <f t="shared" si="94"/>
        <v>110.2</v>
      </c>
      <c r="R885" s="45">
        <v>0</v>
      </c>
      <c r="S885" s="45">
        <f t="shared" si="95"/>
        <v>0</v>
      </c>
      <c r="T885" s="45">
        <f t="shared" si="96"/>
        <v>0</v>
      </c>
      <c r="U885" s="47">
        <f t="shared" si="97"/>
        <v>110.2</v>
      </c>
    </row>
    <row r="886" spans="1:21" x14ac:dyDescent="0.3">
      <c r="A886" s="41" t="str">
        <f t="shared" si="91"/>
        <v>PMANBO</v>
      </c>
      <c r="B886" s="43">
        <v>45628</v>
      </c>
      <c r="C886" s="10" t="s">
        <v>928</v>
      </c>
      <c r="D886" s="10" t="s">
        <v>31</v>
      </c>
      <c r="E886" s="10" t="s">
        <v>26</v>
      </c>
      <c r="F886" s="10" t="s">
        <v>4</v>
      </c>
      <c r="G886" s="10" t="s">
        <v>5</v>
      </c>
      <c r="H886" s="10" t="s">
        <v>6</v>
      </c>
      <c r="I886" s="45">
        <v>2655</v>
      </c>
      <c r="J886" s="11">
        <v>0.22800000000000001</v>
      </c>
      <c r="K886" s="45">
        <f t="shared" si="92"/>
        <v>2049.66</v>
      </c>
      <c r="L886" s="10">
        <v>0</v>
      </c>
      <c r="M886" s="10"/>
      <c r="N886" s="10" t="b">
        <v>0</v>
      </c>
      <c r="O886" s="41"/>
      <c r="P886" s="45">
        <f t="shared" si="93"/>
        <v>860.85719999999992</v>
      </c>
      <c r="Q886" s="45">
        <f t="shared" si="94"/>
        <v>1188.8027999999999</v>
      </c>
      <c r="R886" s="45">
        <v>0</v>
      </c>
      <c r="S886" s="45">
        <f t="shared" si="95"/>
        <v>0</v>
      </c>
      <c r="T886" s="45">
        <f t="shared" si="96"/>
        <v>0</v>
      </c>
      <c r="U886" s="47">
        <f t="shared" si="97"/>
        <v>1188.8027999999999</v>
      </c>
    </row>
    <row r="887" spans="1:21" x14ac:dyDescent="0.3">
      <c r="A887" s="41" t="str">
        <f t="shared" si="91"/>
        <v>PFORAC</v>
      </c>
      <c r="B887" s="43">
        <v>45628</v>
      </c>
      <c r="C887" s="10" t="s">
        <v>929</v>
      </c>
      <c r="D887" s="10" t="s">
        <v>65</v>
      </c>
      <c r="E887" s="10" t="s">
        <v>15</v>
      </c>
      <c r="F887" s="10" t="s">
        <v>11</v>
      </c>
      <c r="G887" s="10" t="s">
        <v>7</v>
      </c>
      <c r="H887" s="10" t="s">
        <v>6</v>
      </c>
      <c r="I887" s="45">
        <v>390</v>
      </c>
      <c r="J887" s="11">
        <v>0</v>
      </c>
      <c r="K887" s="45">
        <f t="shared" si="92"/>
        <v>390</v>
      </c>
      <c r="L887" s="10">
        <v>29</v>
      </c>
      <c r="M887" s="10"/>
      <c r="N887" s="10" t="b">
        <v>0</v>
      </c>
      <c r="O887" s="41"/>
      <c r="P887" s="45">
        <f t="shared" si="93"/>
        <v>163.79999999999998</v>
      </c>
      <c r="Q887" s="45">
        <f t="shared" si="94"/>
        <v>226.20000000000002</v>
      </c>
      <c r="R887" s="45">
        <v>0</v>
      </c>
      <c r="S887" s="45">
        <f t="shared" si="95"/>
        <v>0</v>
      </c>
      <c r="T887" s="45">
        <f t="shared" si="96"/>
        <v>0</v>
      </c>
      <c r="U887" s="47">
        <f t="shared" si="97"/>
        <v>226.20000000000002</v>
      </c>
    </row>
    <row r="888" spans="1:21" x14ac:dyDescent="0.3">
      <c r="A888" s="41" t="str">
        <f t="shared" si="91"/>
        <v>PFORAC</v>
      </c>
      <c r="B888" s="43">
        <v>45628</v>
      </c>
      <c r="C888" s="10" t="s">
        <v>930</v>
      </c>
      <c r="D888" s="10" t="s">
        <v>65</v>
      </c>
      <c r="E888" s="10" t="s">
        <v>15</v>
      </c>
      <c r="F888" s="10" t="s">
        <v>54</v>
      </c>
      <c r="G888" s="10" t="s">
        <v>7</v>
      </c>
      <c r="H888" s="10" t="s">
        <v>47</v>
      </c>
      <c r="I888" s="45">
        <v>376</v>
      </c>
      <c r="J888" s="11">
        <v>0.52800000000000002</v>
      </c>
      <c r="K888" s="45">
        <f t="shared" si="92"/>
        <v>177.47199999999998</v>
      </c>
      <c r="L888" s="10">
        <v>11</v>
      </c>
      <c r="M888" s="10"/>
      <c r="N888" s="10" t="b">
        <v>0</v>
      </c>
      <c r="O888" s="41"/>
      <c r="P888" s="45">
        <f t="shared" si="93"/>
        <v>74.538239999999988</v>
      </c>
      <c r="Q888" s="45">
        <f t="shared" si="94"/>
        <v>102.93375999999999</v>
      </c>
      <c r="R888" s="45">
        <v>0</v>
      </c>
      <c r="S888" s="45">
        <f t="shared" si="95"/>
        <v>0</v>
      </c>
      <c r="T888" s="45">
        <f t="shared" si="96"/>
        <v>0</v>
      </c>
      <c r="U888" s="47">
        <f t="shared" si="97"/>
        <v>102.93375999999999</v>
      </c>
    </row>
    <row r="889" spans="1:21" x14ac:dyDescent="0.3">
      <c r="A889" s="41" t="str">
        <f t="shared" si="91"/>
        <v>PH&amp;MAC</v>
      </c>
      <c r="B889" s="43">
        <v>45628</v>
      </c>
      <c r="C889" s="10" t="s">
        <v>931</v>
      </c>
      <c r="D889" s="10" t="s">
        <v>37</v>
      </c>
      <c r="E889" s="10" t="s">
        <v>15</v>
      </c>
      <c r="F889" s="10" t="s">
        <v>4</v>
      </c>
      <c r="G889" s="10" t="s">
        <v>7</v>
      </c>
      <c r="H889" s="10" t="s">
        <v>35</v>
      </c>
      <c r="I889" s="45">
        <v>342</v>
      </c>
      <c r="J889" s="11">
        <v>0</v>
      </c>
      <c r="K889" s="45">
        <f t="shared" si="92"/>
        <v>342</v>
      </c>
      <c r="L889" s="10">
        <v>33</v>
      </c>
      <c r="M889" s="10">
        <v>2.6</v>
      </c>
      <c r="N889" s="10" t="b">
        <v>0</v>
      </c>
      <c r="O889" s="41"/>
      <c r="P889" s="45">
        <f t="shared" si="93"/>
        <v>143.63999999999999</v>
      </c>
      <c r="Q889" s="45">
        <f t="shared" si="94"/>
        <v>198.36</v>
      </c>
      <c r="R889" s="45">
        <v>0</v>
      </c>
      <c r="S889" s="45">
        <f t="shared" si="95"/>
        <v>0</v>
      </c>
      <c r="T889" s="45">
        <f t="shared" si="96"/>
        <v>0</v>
      </c>
      <c r="U889" s="47">
        <f t="shared" si="97"/>
        <v>198.36</v>
      </c>
    </row>
    <row r="890" spans="1:21" x14ac:dyDescent="0.3">
      <c r="A890" s="41" t="str">
        <f t="shared" si="91"/>
        <v>PZARSH</v>
      </c>
      <c r="B890" s="43">
        <v>45629</v>
      </c>
      <c r="C890" s="10" t="s">
        <v>932</v>
      </c>
      <c r="D890" s="10" t="s">
        <v>3</v>
      </c>
      <c r="E890" s="10" t="s">
        <v>18</v>
      </c>
      <c r="F890" s="10" t="s">
        <v>23</v>
      </c>
      <c r="G890" s="10" t="s">
        <v>7</v>
      </c>
      <c r="H890" s="10" t="s">
        <v>88</v>
      </c>
      <c r="I890" s="45">
        <v>4131</v>
      </c>
      <c r="J890" s="11">
        <v>0</v>
      </c>
      <c r="K890" s="45">
        <f t="shared" si="92"/>
        <v>4131</v>
      </c>
      <c r="L890" s="10">
        <v>30</v>
      </c>
      <c r="M890" s="10">
        <v>1.9</v>
      </c>
      <c r="N890" s="10" t="b">
        <v>1</v>
      </c>
      <c r="O890" s="41" t="s">
        <v>50</v>
      </c>
      <c r="P890" s="45">
        <f t="shared" si="93"/>
        <v>1735.02</v>
      </c>
      <c r="Q890" s="45">
        <f t="shared" si="94"/>
        <v>2395.98</v>
      </c>
      <c r="R890" s="45">
        <v>150</v>
      </c>
      <c r="S890" s="45">
        <f t="shared" si="95"/>
        <v>413.1</v>
      </c>
      <c r="T890" s="45">
        <f t="shared" si="96"/>
        <v>4131</v>
      </c>
      <c r="U890" s="47">
        <f t="shared" si="97"/>
        <v>-2298.12</v>
      </c>
    </row>
    <row r="891" spans="1:21" x14ac:dyDescent="0.3">
      <c r="A891" s="41" t="str">
        <f t="shared" si="91"/>
        <v>PFORBO</v>
      </c>
      <c r="B891" s="43">
        <v>45629</v>
      </c>
      <c r="C891" s="10" t="s">
        <v>933</v>
      </c>
      <c r="D891" s="10" t="s">
        <v>65</v>
      </c>
      <c r="E891" s="10" t="s">
        <v>26</v>
      </c>
      <c r="F891" s="10" t="s">
        <v>11</v>
      </c>
      <c r="G891" s="10" t="s">
        <v>5</v>
      </c>
      <c r="H891" s="10" t="s">
        <v>43</v>
      </c>
      <c r="I891" s="45">
        <v>2698</v>
      </c>
      <c r="J891" s="11">
        <v>0</v>
      </c>
      <c r="K891" s="45">
        <f t="shared" si="92"/>
        <v>2698</v>
      </c>
      <c r="L891" s="10">
        <v>39</v>
      </c>
      <c r="M891" s="10">
        <v>1.4</v>
      </c>
      <c r="N891" s="10" t="b">
        <v>0</v>
      </c>
      <c r="O891" s="41"/>
      <c r="P891" s="45">
        <f t="shared" si="93"/>
        <v>1133.1599999999999</v>
      </c>
      <c r="Q891" s="45">
        <f t="shared" si="94"/>
        <v>1564.8400000000001</v>
      </c>
      <c r="R891" s="45">
        <v>0</v>
      </c>
      <c r="S891" s="45">
        <f t="shared" si="95"/>
        <v>0</v>
      </c>
      <c r="T891" s="45">
        <f t="shared" si="96"/>
        <v>0</v>
      </c>
      <c r="U891" s="47">
        <f t="shared" si="97"/>
        <v>1564.8400000000001</v>
      </c>
    </row>
    <row r="892" spans="1:21" x14ac:dyDescent="0.3">
      <c r="A892" s="41" t="str">
        <f t="shared" si="91"/>
        <v>PANNSH</v>
      </c>
      <c r="B892" s="43">
        <v>45629</v>
      </c>
      <c r="C892" s="10" t="s">
        <v>934</v>
      </c>
      <c r="D892" s="10" t="s">
        <v>42</v>
      </c>
      <c r="E892" s="10" t="s">
        <v>18</v>
      </c>
      <c r="F892" s="10" t="s">
        <v>4</v>
      </c>
      <c r="G892" s="10" t="s">
        <v>12</v>
      </c>
      <c r="H892" s="10" t="s">
        <v>58</v>
      </c>
      <c r="I892" s="45">
        <v>3721</v>
      </c>
      <c r="J892" s="11">
        <v>0</v>
      </c>
      <c r="K892" s="45">
        <f t="shared" si="92"/>
        <v>3721</v>
      </c>
      <c r="L892" s="10">
        <v>49</v>
      </c>
      <c r="M892" s="10">
        <v>4.3</v>
      </c>
      <c r="N892" s="10" t="b">
        <v>1</v>
      </c>
      <c r="O892" s="41" t="s">
        <v>44</v>
      </c>
      <c r="P892" s="45">
        <f t="shared" si="93"/>
        <v>1562.82</v>
      </c>
      <c r="Q892" s="45">
        <f t="shared" si="94"/>
        <v>2158.1800000000003</v>
      </c>
      <c r="R892" s="45">
        <v>150</v>
      </c>
      <c r="S892" s="45">
        <f t="shared" si="95"/>
        <v>372.1</v>
      </c>
      <c r="T892" s="45">
        <f t="shared" si="96"/>
        <v>3721</v>
      </c>
      <c r="U892" s="47">
        <f t="shared" si="97"/>
        <v>-2084.9199999999996</v>
      </c>
    </row>
    <row r="893" spans="1:21" x14ac:dyDescent="0.3">
      <c r="A893" s="41" t="str">
        <f t="shared" si="91"/>
        <v>PFORAC</v>
      </c>
      <c r="B893" s="43">
        <v>45629</v>
      </c>
      <c r="C893" s="10" t="s">
        <v>935</v>
      </c>
      <c r="D893" s="10" t="s">
        <v>65</v>
      </c>
      <c r="E893" s="10" t="s">
        <v>15</v>
      </c>
      <c r="F893" s="10" t="s">
        <v>4</v>
      </c>
      <c r="G893" s="10" t="s">
        <v>7</v>
      </c>
      <c r="H893" s="10" t="s">
        <v>88</v>
      </c>
      <c r="I893" s="45">
        <v>196</v>
      </c>
      <c r="J893" s="11">
        <v>0.43</v>
      </c>
      <c r="K893" s="45">
        <f t="shared" si="92"/>
        <v>111.72000000000001</v>
      </c>
      <c r="L893" s="10">
        <v>36</v>
      </c>
      <c r="M893" s="10">
        <v>3.9</v>
      </c>
      <c r="N893" s="10" t="b">
        <v>0</v>
      </c>
      <c r="O893" s="41"/>
      <c r="P893" s="45">
        <f t="shared" si="93"/>
        <v>46.922400000000003</v>
      </c>
      <c r="Q893" s="45">
        <f t="shared" si="94"/>
        <v>64.797600000000017</v>
      </c>
      <c r="R893" s="45">
        <v>0</v>
      </c>
      <c r="S893" s="45">
        <f t="shared" si="95"/>
        <v>0</v>
      </c>
      <c r="T893" s="45">
        <f t="shared" si="96"/>
        <v>0</v>
      </c>
      <c r="U893" s="47">
        <f t="shared" si="97"/>
        <v>64.797600000000017</v>
      </c>
    </row>
    <row r="894" spans="1:21" x14ac:dyDescent="0.3">
      <c r="A894" s="41" t="str">
        <f t="shared" si="91"/>
        <v>PANNOU</v>
      </c>
      <c r="B894" s="43">
        <v>45630</v>
      </c>
      <c r="C894" s="10" t="s">
        <v>936</v>
      </c>
      <c r="D894" s="10" t="s">
        <v>42</v>
      </c>
      <c r="E894" s="10" t="s">
        <v>2</v>
      </c>
      <c r="F894" s="10" t="s">
        <v>11</v>
      </c>
      <c r="G894" s="10" t="s">
        <v>27</v>
      </c>
      <c r="H894" s="10" t="s">
        <v>56</v>
      </c>
      <c r="I894" s="45">
        <v>3425</v>
      </c>
      <c r="J894" s="11">
        <v>0</v>
      </c>
      <c r="K894" s="45">
        <f t="shared" si="92"/>
        <v>3425</v>
      </c>
      <c r="L894" s="10">
        <v>43</v>
      </c>
      <c r="M894" s="10"/>
      <c r="N894" s="10" t="b">
        <v>1</v>
      </c>
      <c r="O894" s="41" t="s">
        <v>44</v>
      </c>
      <c r="P894" s="45">
        <f t="shared" si="93"/>
        <v>1438.5</v>
      </c>
      <c r="Q894" s="45">
        <f t="shared" si="94"/>
        <v>1986.5</v>
      </c>
      <c r="R894" s="45">
        <v>150</v>
      </c>
      <c r="S894" s="45">
        <f t="shared" si="95"/>
        <v>342.5</v>
      </c>
      <c r="T894" s="45">
        <f t="shared" si="96"/>
        <v>3425</v>
      </c>
      <c r="U894" s="47">
        <f t="shared" si="97"/>
        <v>-1931</v>
      </c>
    </row>
    <row r="895" spans="1:21" x14ac:dyDescent="0.3">
      <c r="A895" s="41" t="str">
        <f t="shared" si="91"/>
        <v>PGAPSH</v>
      </c>
      <c r="B895" s="43">
        <v>45630</v>
      </c>
      <c r="C895" s="10" t="s">
        <v>937</v>
      </c>
      <c r="D895" s="10" t="s">
        <v>53</v>
      </c>
      <c r="E895" s="10" t="s">
        <v>18</v>
      </c>
      <c r="F895" s="10" t="s">
        <v>4</v>
      </c>
      <c r="G895" s="10" t="s">
        <v>46</v>
      </c>
      <c r="H895" s="10" t="s">
        <v>43</v>
      </c>
      <c r="I895" s="45">
        <v>4017</v>
      </c>
      <c r="J895" s="11">
        <v>0.57799999999999996</v>
      </c>
      <c r="K895" s="45">
        <f t="shared" si="92"/>
        <v>1695.1740000000002</v>
      </c>
      <c r="L895" s="10">
        <v>11</v>
      </c>
      <c r="M895" s="10">
        <v>2.2000000000000002</v>
      </c>
      <c r="N895" s="10" t="b">
        <v>0</v>
      </c>
      <c r="O895" s="41"/>
      <c r="P895" s="45">
        <f t="shared" si="93"/>
        <v>711.9730800000001</v>
      </c>
      <c r="Q895" s="45">
        <f t="shared" si="94"/>
        <v>983.20092000000011</v>
      </c>
      <c r="R895" s="45">
        <v>0</v>
      </c>
      <c r="S895" s="45">
        <f t="shared" si="95"/>
        <v>0</v>
      </c>
      <c r="T895" s="45">
        <f t="shared" si="96"/>
        <v>0</v>
      </c>
      <c r="U895" s="47">
        <f t="shared" si="97"/>
        <v>983.20092000000011</v>
      </c>
    </row>
    <row r="896" spans="1:21" x14ac:dyDescent="0.3">
      <c r="A896" s="41" t="str">
        <f t="shared" si="91"/>
        <v>PBANTO</v>
      </c>
      <c r="B896" s="43">
        <v>45630</v>
      </c>
      <c r="C896" s="10" t="s">
        <v>938</v>
      </c>
      <c r="D896" s="10" t="s">
        <v>21</v>
      </c>
      <c r="E896" s="10" t="s">
        <v>9</v>
      </c>
      <c r="F896" s="10" t="s">
        <v>11</v>
      </c>
      <c r="G896" s="10" t="s">
        <v>7</v>
      </c>
      <c r="H896" s="10" t="s">
        <v>16</v>
      </c>
      <c r="I896" s="45">
        <v>962</v>
      </c>
      <c r="J896" s="11">
        <v>0.49</v>
      </c>
      <c r="K896" s="45">
        <f t="shared" si="92"/>
        <v>490.62</v>
      </c>
      <c r="L896" s="10">
        <v>31</v>
      </c>
      <c r="M896" s="10"/>
      <c r="N896" s="10" t="b">
        <v>0</v>
      </c>
      <c r="O896" s="41"/>
      <c r="P896" s="45">
        <f t="shared" si="93"/>
        <v>206.06039999999999</v>
      </c>
      <c r="Q896" s="45">
        <f t="shared" si="94"/>
        <v>284.55960000000005</v>
      </c>
      <c r="R896" s="45">
        <v>0</v>
      </c>
      <c r="S896" s="45">
        <f t="shared" si="95"/>
        <v>0</v>
      </c>
      <c r="T896" s="45">
        <f t="shared" si="96"/>
        <v>0</v>
      </c>
      <c r="U896" s="47">
        <f t="shared" si="97"/>
        <v>284.55960000000005</v>
      </c>
    </row>
    <row r="897" spans="1:21" x14ac:dyDescent="0.3">
      <c r="A897" s="41" t="str">
        <f t="shared" si="91"/>
        <v>PANNTO</v>
      </c>
      <c r="B897" s="43">
        <v>45630</v>
      </c>
      <c r="C897" s="10" t="s">
        <v>939</v>
      </c>
      <c r="D897" s="10" t="s">
        <v>42</v>
      </c>
      <c r="E897" s="10" t="s">
        <v>9</v>
      </c>
      <c r="F897" s="10" t="s">
        <v>54</v>
      </c>
      <c r="G897" s="10" t="s">
        <v>46</v>
      </c>
      <c r="H897" s="10" t="s">
        <v>16</v>
      </c>
      <c r="I897" s="45">
        <v>1742</v>
      </c>
      <c r="J897" s="11">
        <v>0</v>
      </c>
      <c r="K897" s="45">
        <f t="shared" si="92"/>
        <v>1742</v>
      </c>
      <c r="L897" s="10">
        <v>19</v>
      </c>
      <c r="M897" s="10">
        <v>1.2</v>
      </c>
      <c r="N897" s="10" t="b">
        <v>0</v>
      </c>
      <c r="O897" s="41"/>
      <c r="P897" s="45">
        <f t="shared" si="93"/>
        <v>731.64</v>
      </c>
      <c r="Q897" s="45">
        <f t="shared" si="94"/>
        <v>1010.36</v>
      </c>
      <c r="R897" s="45">
        <v>0</v>
      </c>
      <c r="S897" s="45">
        <f t="shared" si="95"/>
        <v>0</v>
      </c>
      <c r="T897" s="45">
        <f t="shared" si="96"/>
        <v>0</v>
      </c>
      <c r="U897" s="47">
        <f t="shared" si="97"/>
        <v>1010.36</v>
      </c>
    </row>
    <row r="898" spans="1:21" x14ac:dyDescent="0.3">
      <c r="A898" s="41" t="str">
        <f t="shared" ref="A898:A961" si="98">UPPER("P"&amp;LEFT(D898,3)&amp;LEFT(E898,2))</f>
        <v>PFORAC</v>
      </c>
      <c r="B898" s="43">
        <v>45631</v>
      </c>
      <c r="C898" s="10" t="s">
        <v>940</v>
      </c>
      <c r="D898" s="10" t="s">
        <v>65</v>
      </c>
      <c r="E898" s="10" t="s">
        <v>15</v>
      </c>
      <c r="F898" s="10" t="s">
        <v>11</v>
      </c>
      <c r="G898" s="10" t="s">
        <v>7</v>
      </c>
      <c r="H898" s="10" t="s">
        <v>32</v>
      </c>
      <c r="I898" s="45">
        <v>480</v>
      </c>
      <c r="J898" s="11">
        <v>0</v>
      </c>
      <c r="K898" s="45">
        <f t="shared" si="92"/>
        <v>480</v>
      </c>
      <c r="L898" s="10">
        <v>28</v>
      </c>
      <c r="M898" s="10">
        <v>2.7</v>
      </c>
      <c r="N898" s="10" t="b">
        <v>0</v>
      </c>
      <c r="O898" s="41"/>
      <c r="P898" s="45">
        <f t="shared" si="93"/>
        <v>201.6</v>
      </c>
      <c r="Q898" s="45">
        <f t="shared" si="94"/>
        <v>278.39999999999998</v>
      </c>
      <c r="R898" s="45">
        <v>0</v>
      </c>
      <c r="S898" s="45">
        <f t="shared" si="95"/>
        <v>0</v>
      </c>
      <c r="T898" s="45">
        <f t="shared" si="96"/>
        <v>0</v>
      </c>
      <c r="U898" s="47">
        <f t="shared" si="97"/>
        <v>278.39999999999998</v>
      </c>
    </row>
    <row r="899" spans="1:21" x14ac:dyDescent="0.3">
      <c r="A899" s="41" t="str">
        <f t="shared" si="98"/>
        <v>PUNIBO</v>
      </c>
      <c r="B899" s="43">
        <v>45631</v>
      </c>
      <c r="C899" s="10" t="s">
        <v>941</v>
      </c>
      <c r="D899" s="10" t="s">
        <v>10</v>
      </c>
      <c r="E899" s="10" t="s">
        <v>26</v>
      </c>
      <c r="F899" s="10" t="s">
        <v>4</v>
      </c>
      <c r="G899" s="10" t="s">
        <v>49</v>
      </c>
      <c r="H899" s="10" t="s">
        <v>13</v>
      </c>
      <c r="I899" s="45">
        <v>2497</v>
      </c>
      <c r="J899" s="11">
        <v>0</v>
      </c>
      <c r="K899" s="45">
        <f t="shared" ref="K899:K962" si="99">I899*(1-J899)</f>
        <v>2497</v>
      </c>
      <c r="L899" s="10">
        <v>24</v>
      </c>
      <c r="M899" s="10">
        <v>3.5</v>
      </c>
      <c r="N899" s="10" t="b">
        <v>0</v>
      </c>
      <c r="O899" s="41"/>
      <c r="P899" s="45">
        <f t="shared" ref="P899:P962" si="100">K899*0.42</f>
        <v>1048.74</v>
      </c>
      <c r="Q899" s="45">
        <f t="shared" ref="Q899:Q962" si="101">K899-P899</f>
        <v>1448.26</v>
      </c>
      <c r="R899" s="45">
        <v>0</v>
      </c>
      <c r="S899" s="45">
        <f t="shared" ref="S899:S962" si="102">IF(N899=TRUE,K899*0.1,0)</f>
        <v>0</v>
      </c>
      <c r="T899" s="45">
        <f t="shared" ref="T899:T962" si="103">IF(N899=TRUE,K899,0)</f>
        <v>0</v>
      </c>
      <c r="U899" s="47">
        <f t="shared" ref="U899:U962" si="104">Q899-R899-S899-T899</f>
        <v>1448.26</v>
      </c>
    </row>
    <row r="900" spans="1:21" x14ac:dyDescent="0.3">
      <c r="A900" s="41" t="str">
        <f t="shared" si="98"/>
        <v>PZAROU</v>
      </c>
      <c r="B900" s="43">
        <v>45631</v>
      </c>
      <c r="C900" s="10" t="s">
        <v>942</v>
      </c>
      <c r="D900" s="10" t="s">
        <v>3</v>
      </c>
      <c r="E900" s="10" t="s">
        <v>2</v>
      </c>
      <c r="F900" s="10" t="s">
        <v>54</v>
      </c>
      <c r="G900" s="10" t="s">
        <v>49</v>
      </c>
      <c r="H900" s="10" t="s">
        <v>35</v>
      </c>
      <c r="I900" s="45">
        <v>3435</v>
      </c>
      <c r="J900" s="11">
        <v>0</v>
      </c>
      <c r="K900" s="45">
        <f t="shared" si="99"/>
        <v>3435</v>
      </c>
      <c r="L900" s="10">
        <v>1</v>
      </c>
      <c r="M900" s="10">
        <v>4.7</v>
      </c>
      <c r="N900" s="10" t="b">
        <v>0</v>
      </c>
      <c r="O900" s="41"/>
      <c r="P900" s="45">
        <f t="shared" si="100"/>
        <v>1442.7</v>
      </c>
      <c r="Q900" s="45">
        <f t="shared" si="101"/>
        <v>1992.3</v>
      </c>
      <c r="R900" s="45">
        <v>0</v>
      </c>
      <c r="S900" s="45">
        <f t="shared" si="102"/>
        <v>0</v>
      </c>
      <c r="T900" s="45">
        <f t="shared" si="103"/>
        <v>0</v>
      </c>
      <c r="U900" s="47">
        <f t="shared" si="104"/>
        <v>1992.3</v>
      </c>
    </row>
    <row r="901" spans="1:21" x14ac:dyDescent="0.3">
      <c r="A901" s="41" t="str">
        <f t="shared" si="98"/>
        <v>PUNIOU</v>
      </c>
      <c r="B901" s="43">
        <v>45631</v>
      </c>
      <c r="C901" s="10" t="s">
        <v>943</v>
      </c>
      <c r="D901" s="10" t="s">
        <v>10</v>
      </c>
      <c r="E901" s="10" t="s">
        <v>2</v>
      </c>
      <c r="F901" s="10" t="s">
        <v>11</v>
      </c>
      <c r="G901" s="10" t="s">
        <v>12</v>
      </c>
      <c r="H901" s="10" t="s">
        <v>43</v>
      </c>
      <c r="I901" s="45">
        <v>4412</v>
      </c>
      <c r="J901" s="11">
        <v>0</v>
      </c>
      <c r="K901" s="45">
        <f t="shared" si="99"/>
        <v>4412</v>
      </c>
      <c r="L901" s="10">
        <v>33</v>
      </c>
      <c r="M901" s="10">
        <v>4.7</v>
      </c>
      <c r="N901" s="10" t="b">
        <v>0</v>
      </c>
      <c r="O901" s="41"/>
      <c r="P901" s="45">
        <f t="shared" si="100"/>
        <v>1853.04</v>
      </c>
      <c r="Q901" s="45">
        <f t="shared" si="101"/>
        <v>2558.96</v>
      </c>
      <c r="R901" s="45">
        <v>0</v>
      </c>
      <c r="S901" s="45">
        <f t="shared" si="102"/>
        <v>0</v>
      </c>
      <c r="T901" s="45">
        <f t="shared" si="103"/>
        <v>0</v>
      </c>
      <c r="U901" s="47">
        <f t="shared" si="104"/>
        <v>2558.96</v>
      </c>
    </row>
    <row r="902" spans="1:21" x14ac:dyDescent="0.3">
      <c r="A902" s="41" t="str">
        <f t="shared" si="98"/>
        <v>PBANAC</v>
      </c>
      <c r="B902" s="43">
        <v>45632</v>
      </c>
      <c r="C902" s="10" t="s">
        <v>944</v>
      </c>
      <c r="D902" s="10" t="s">
        <v>21</v>
      </c>
      <c r="E902" s="10" t="s">
        <v>15</v>
      </c>
      <c r="F902" s="10" t="s">
        <v>54</v>
      </c>
      <c r="G902" s="10" t="s">
        <v>7</v>
      </c>
      <c r="H902" s="10" t="s">
        <v>6</v>
      </c>
      <c r="I902" s="45">
        <v>438</v>
      </c>
      <c r="J902" s="11">
        <v>0.122</v>
      </c>
      <c r="K902" s="45">
        <f t="shared" si="99"/>
        <v>384.56400000000002</v>
      </c>
      <c r="L902" s="10">
        <v>14</v>
      </c>
      <c r="M902" s="10">
        <v>4.8</v>
      </c>
      <c r="N902" s="10" t="b">
        <v>0</v>
      </c>
      <c r="O902" s="41"/>
      <c r="P902" s="45">
        <f t="shared" si="100"/>
        <v>161.51688000000001</v>
      </c>
      <c r="Q902" s="45">
        <f t="shared" si="101"/>
        <v>223.04712000000001</v>
      </c>
      <c r="R902" s="45">
        <v>0</v>
      </c>
      <c r="S902" s="45">
        <f t="shared" si="102"/>
        <v>0</v>
      </c>
      <c r="T902" s="45">
        <f t="shared" si="103"/>
        <v>0</v>
      </c>
      <c r="U902" s="47">
        <f t="shared" si="104"/>
        <v>223.04712000000001</v>
      </c>
    </row>
    <row r="903" spans="1:21" x14ac:dyDescent="0.3">
      <c r="A903" s="41" t="str">
        <f t="shared" si="98"/>
        <v>PH&amp;MSH</v>
      </c>
      <c r="B903" s="43">
        <v>45632</v>
      </c>
      <c r="C903" s="10" t="s">
        <v>945</v>
      </c>
      <c r="D903" s="10" t="s">
        <v>37</v>
      </c>
      <c r="E903" s="10" t="s">
        <v>18</v>
      </c>
      <c r="F903" s="10" t="s">
        <v>23</v>
      </c>
      <c r="G903" s="10" t="s">
        <v>49</v>
      </c>
      <c r="H903" s="10" t="s">
        <v>13</v>
      </c>
      <c r="I903" s="45">
        <v>3585</v>
      </c>
      <c r="J903" s="11">
        <v>0</v>
      </c>
      <c r="K903" s="45">
        <f t="shared" si="99"/>
        <v>3585</v>
      </c>
      <c r="L903" s="10">
        <v>33</v>
      </c>
      <c r="M903" s="10">
        <v>2.2999999999999998</v>
      </c>
      <c r="N903" s="10" t="b">
        <v>0</v>
      </c>
      <c r="O903" s="41"/>
      <c r="P903" s="45">
        <f t="shared" si="100"/>
        <v>1505.7</v>
      </c>
      <c r="Q903" s="45">
        <f t="shared" si="101"/>
        <v>2079.3000000000002</v>
      </c>
      <c r="R903" s="45">
        <v>0</v>
      </c>
      <c r="S903" s="45">
        <f t="shared" si="102"/>
        <v>0</v>
      </c>
      <c r="T903" s="45">
        <f t="shared" si="103"/>
        <v>0</v>
      </c>
      <c r="U903" s="47">
        <f t="shared" si="104"/>
        <v>2079.3000000000002</v>
      </c>
    </row>
    <row r="904" spans="1:21" x14ac:dyDescent="0.3">
      <c r="A904" s="41" t="str">
        <f t="shared" si="98"/>
        <v>PH&amp;MAC</v>
      </c>
      <c r="B904" s="43">
        <v>45632</v>
      </c>
      <c r="C904" s="10" t="s">
        <v>946</v>
      </c>
      <c r="D904" s="10" t="s">
        <v>37</v>
      </c>
      <c r="E904" s="10" t="s">
        <v>15</v>
      </c>
      <c r="F904" s="10" t="s">
        <v>4</v>
      </c>
      <c r="G904" s="10" t="s">
        <v>7</v>
      </c>
      <c r="H904" s="10" t="s">
        <v>13</v>
      </c>
      <c r="I904" s="45">
        <v>461</v>
      </c>
      <c r="J904" s="11">
        <v>0.16</v>
      </c>
      <c r="K904" s="45">
        <f t="shared" si="99"/>
        <v>387.24</v>
      </c>
      <c r="L904" s="10">
        <v>32</v>
      </c>
      <c r="M904" s="10"/>
      <c r="N904" s="10" t="b">
        <v>0</v>
      </c>
      <c r="O904" s="41"/>
      <c r="P904" s="45">
        <f t="shared" si="100"/>
        <v>162.64079999999998</v>
      </c>
      <c r="Q904" s="45">
        <f t="shared" si="101"/>
        <v>224.59920000000002</v>
      </c>
      <c r="R904" s="45">
        <v>0</v>
      </c>
      <c r="S904" s="45">
        <f t="shared" si="102"/>
        <v>0</v>
      </c>
      <c r="T904" s="45">
        <f t="shared" si="103"/>
        <v>0</v>
      </c>
      <c r="U904" s="47">
        <f t="shared" si="104"/>
        <v>224.59920000000002</v>
      </c>
    </row>
    <row r="905" spans="1:21" x14ac:dyDescent="0.3">
      <c r="A905" s="41" t="str">
        <f t="shared" si="98"/>
        <v>PMANSH</v>
      </c>
      <c r="B905" s="43">
        <v>45633</v>
      </c>
      <c r="C905" s="10" t="s">
        <v>947</v>
      </c>
      <c r="D905" s="10" t="s">
        <v>31</v>
      </c>
      <c r="E905" s="10" t="s">
        <v>18</v>
      </c>
      <c r="F905" s="10" t="s">
        <v>54</v>
      </c>
      <c r="G905" s="10" t="s">
        <v>46</v>
      </c>
      <c r="H905" s="10" t="s">
        <v>47</v>
      </c>
      <c r="I905" s="45">
        <v>4122</v>
      </c>
      <c r="J905" s="11">
        <v>0</v>
      </c>
      <c r="K905" s="45">
        <f t="shared" si="99"/>
        <v>4122</v>
      </c>
      <c r="L905" s="10">
        <v>7</v>
      </c>
      <c r="M905" s="10">
        <v>1.9</v>
      </c>
      <c r="N905" s="10" t="b">
        <v>1</v>
      </c>
      <c r="O905" s="41" t="s">
        <v>33</v>
      </c>
      <c r="P905" s="45">
        <f t="shared" si="100"/>
        <v>1731.24</v>
      </c>
      <c r="Q905" s="45">
        <f t="shared" si="101"/>
        <v>2390.7600000000002</v>
      </c>
      <c r="R905" s="45">
        <v>150</v>
      </c>
      <c r="S905" s="45">
        <f t="shared" si="102"/>
        <v>412.20000000000005</v>
      </c>
      <c r="T905" s="45">
        <f t="shared" si="103"/>
        <v>4122</v>
      </c>
      <c r="U905" s="47">
        <f t="shared" si="104"/>
        <v>-2293.4399999999996</v>
      </c>
    </row>
    <row r="906" spans="1:21" x14ac:dyDescent="0.3">
      <c r="A906" s="41" t="str">
        <f t="shared" si="98"/>
        <v>PMANAC</v>
      </c>
      <c r="B906" s="43">
        <v>45633</v>
      </c>
      <c r="C906" s="10" t="s">
        <v>948</v>
      </c>
      <c r="D906" s="10" t="s">
        <v>31</v>
      </c>
      <c r="E906" s="10" t="s">
        <v>15</v>
      </c>
      <c r="F906" s="10" t="s">
        <v>23</v>
      </c>
      <c r="G906" s="10" t="s">
        <v>7</v>
      </c>
      <c r="H906" s="10" t="s">
        <v>13</v>
      </c>
      <c r="I906" s="45">
        <v>247</v>
      </c>
      <c r="J906" s="11">
        <v>0</v>
      </c>
      <c r="K906" s="45">
        <f t="shared" si="99"/>
        <v>247</v>
      </c>
      <c r="L906" s="10">
        <v>35</v>
      </c>
      <c r="M906" s="10">
        <v>3.7</v>
      </c>
      <c r="N906" s="10" t="b">
        <v>0</v>
      </c>
      <c r="O906" s="41"/>
      <c r="P906" s="45">
        <f t="shared" si="100"/>
        <v>103.74</v>
      </c>
      <c r="Q906" s="45">
        <f t="shared" si="101"/>
        <v>143.26</v>
      </c>
      <c r="R906" s="45">
        <v>0</v>
      </c>
      <c r="S906" s="45">
        <f t="shared" si="102"/>
        <v>0</v>
      </c>
      <c r="T906" s="45">
        <f t="shared" si="103"/>
        <v>0</v>
      </c>
      <c r="U906" s="47">
        <f t="shared" si="104"/>
        <v>143.26</v>
      </c>
    </row>
    <row r="907" spans="1:21" x14ac:dyDescent="0.3">
      <c r="A907" s="41" t="str">
        <f t="shared" si="98"/>
        <v>PMANBO</v>
      </c>
      <c r="B907" s="43">
        <v>45633</v>
      </c>
      <c r="C907" s="10" t="s">
        <v>949</v>
      </c>
      <c r="D907" s="10" t="s">
        <v>31</v>
      </c>
      <c r="E907" s="10" t="s">
        <v>26</v>
      </c>
      <c r="F907" s="10" t="s">
        <v>4</v>
      </c>
      <c r="G907" s="10" t="s">
        <v>5</v>
      </c>
      <c r="H907" s="10" t="s">
        <v>13</v>
      </c>
      <c r="I907" s="45">
        <v>2123</v>
      </c>
      <c r="J907" s="11">
        <v>0.37799999999999995</v>
      </c>
      <c r="K907" s="45">
        <f t="shared" si="99"/>
        <v>1320.5060000000003</v>
      </c>
      <c r="L907" s="10">
        <v>21</v>
      </c>
      <c r="M907" s="10">
        <v>2.9</v>
      </c>
      <c r="N907" s="10" t="b">
        <v>0</v>
      </c>
      <c r="O907" s="41"/>
      <c r="P907" s="45">
        <f t="shared" si="100"/>
        <v>554.61252000000013</v>
      </c>
      <c r="Q907" s="45">
        <f t="shared" si="101"/>
        <v>765.89348000000018</v>
      </c>
      <c r="R907" s="45">
        <v>0</v>
      </c>
      <c r="S907" s="45">
        <f t="shared" si="102"/>
        <v>0</v>
      </c>
      <c r="T907" s="45">
        <f t="shared" si="103"/>
        <v>0</v>
      </c>
      <c r="U907" s="47">
        <f t="shared" si="104"/>
        <v>765.89348000000018</v>
      </c>
    </row>
    <row r="908" spans="1:21" x14ac:dyDescent="0.3">
      <c r="A908" s="41" t="str">
        <f t="shared" si="98"/>
        <v>PH&amp;MSH</v>
      </c>
      <c r="B908" s="43">
        <v>45633</v>
      </c>
      <c r="C908" s="10" t="s">
        <v>950</v>
      </c>
      <c r="D908" s="10" t="s">
        <v>37</v>
      </c>
      <c r="E908" s="10" t="s">
        <v>18</v>
      </c>
      <c r="F908" s="10" t="s">
        <v>23</v>
      </c>
      <c r="G908" s="10" t="s">
        <v>38</v>
      </c>
      <c r="H908" s="10" t="s">
        <v>35</v>
      </c>
      <c r="I908" s="45">
        <v>3981</v>
      </c>
      <c r="J908" s="11">
        <v>0.501</v>
      </c>
      <c r="K908" s="45">
        <f t="shared" si="99"/>
        <v>1986.519</v>
      </c>
      <c r="L908" s="10">
        <v>7</v>
      </c>
      <c r="M908" s="10">
        <v>4.9000000000000004</v>
      </c>
      <c r="N908" s="10" t="b">
        <v>1</v>
      </c>
      <c r="O908" s="41" t="s">
        <v>44</v>
      </c>
      <c r="P908" s="45">
        <f t="shared" si="100"/>
        <v>834.33798000000002</v>
      </c>
      <c r="Q908" s="45">
        <f t="shared" si="101"/>
        <v>1152.18102</v>
      </c>
      <c r="R908" s="45">
        <v>150</v>
      </c>
      <c r="S908" s="45">
        <f t="shared" si="102"/>
        <v>198.65190000000001</v>
      </c>
      <c r="T908" s="45">
        <f t="shared" si="103"/>
        <v>1986.519</v>
      </c>
      <c r="U908" s="47">
        <f t="shared" si="104"/>
        <v>-1182.9898800000001</v>
      </c>
    </row>
    <row r="909" spans="1:21" x14ac:dyDescent="0.3">
      <c r="A909" s="41" t="str">
        <f t="shared" si="98"/>
        <v>PFORDR</v>
      </c>
      <c r="B909" s="43">
        <v>45634</v>
      </c>
      <c r="C909" s="10" t="s">
        <v>951</v>
      </c>
      <c r="D909" s="10" t="s">
        <v>65</v>
      </c>
      <c r="E909" s="10" t="s">
        <v>30</v>
      </c>
      <c r="F909" s="10" t="s">
        <v>4</v>
      </c>
      <c r="G909" s="10" t="s">
        <v>27</v>
      </c>
      <c r="H909" s="10" t="s">
        <v>32</v>
      </c>
      <c r="I909" s="45">
        <v>2278</v>
      </c>
      <c r="J909" s="11">
        <v>0.53200000000000003</v>
      </c>
      <c r="K909" s="45">
        <f t="shared" si="99"/>
        <v>1066.104</v>
      </c>
      <c r="L909" s="10">
        <v>37</v>
      </c>
      <c r="M909" s="10">
        <v>2.2000000000000002</v>
      </c>
      <c r="N909" s="10" t="b">
        <v>1</v>
      </c>
      <c r="O909" s="41" t="s">
        <v>24</v>
      </c>
      <c r="P909" s="45">
        <f t="shared" si="100"/>
        <v>447.76368000000002</v>
      </c>
      <c r="Q909" s="45">
        <f t="shared" si="101"/>
        <v>618.34032000000002</v>
      </c>
      <c r="R909" s="45">
        <v>150</v>
      </c>
      <c r="S909" s="45">
        <f t="shared" si="102"/>
        <v>106.61040000000001</v>
      </c>
      <c r="T909" s="45">
        <f t="shared" si="103"/>
        <v>1066.104</v>
      </c>
      <c r="U909" s="47">
        <f t="shared" si="104"/>
        <v>-704.37408000000005</v>
      </c>
    </row>
    <row r="910" spans="1:21" x14ac:dyDescent="0.3">
      <c r="A910" s="41" t="str">
        <f t="shared" si="98"/>
        <v>PFORSH</v>
      </c>
      <c r="B910" s="43">
        <v>45634</v>
      </c>
      <c r="C910" s="10" t="s">
        <v>952</v>
      </c>
      <c r="D910" s="10" t="s">
        <v>65</v>
      </c>
      <c r="E910" s="10" t="s">
        <v>18</v>
      </c>
      <c r="F910" s="10" t="s">
        <v>54</v>
      </c>
      <c r="G910" s="10" t="s">
        <v>38</v>
      </c>
      <c r="H910" s="10" t="s">
        <v>35</v>
      </c>
      <c r="I910" s="45">
        <v>3735</v>
      </c>
      <c r="J910" s="11">
        <v>0.16600000000000001</v>
      </c>
      <c r="K910" s="45">
        <f t="shared" si="99"/>
        <v>3114.99</v>
      </c>
      <c r="L910" s="10">
        <v>39</v>
      </c>
      <c r="M910" s="10">
        <v>4.8</v>
      </c>
      <c r="N910" s="10" t="b">
        <v>0</v>
      </c>
      <c r="O910" s="41"/>
      <c r="P910" s="45">
        <f t="shared" si="100"/>
        <v>1308.2957999999999</v>
      </c>
      <c r="Q910" s="45">
        <f t="shared" si="101"/>
        <v>1806.6941999999999</v>
      </c>
      <c r="R910" s="45">
        <v>0</v>
      </c>
      <c r="S910" s="45">
        <f t="shared" si="102"/>
        <v>0</v>
      </c>
      <c r="T910" s="45">
        <f t="shared" si="103"/>
        <v>0</v>
      </c>
      <c r="U910" s="47">
        <f t="shared" si="104"/>
        <v>1806.6941999999999</v>
      </c>
    </row>
    <row r="911" spans="1:21" x14ac:dyDescent="0.3">
      <c r="A911" s="41" t="str">
        <f t="shared" si="98"/>
        <v>PBANSH</v>
      </c>
      <c r="B911" s="43">
        <v>45634</v>
      </c>
      <c r="C911" s="10" t="s">
        <v>953</v>
      </c>
      <c r="D911" s="10" t="s">
        <v>21</v>
      </c>
      <c r="E911" s="10" t="s">
        <v>18</v>
      </c>
      <c r="F911" s="10" t="s">
        <v>11</v>
      </c>
      <c r="G911" s="10" t="s">
        <v>46</v>
      </c>
      <c r="H911" s="10" t="s">
        <v>28</v>
      </c>
      <c r="I911" s="45">
        <v>4025</v>
      </c>
      <c r="J911" s="11">
        <v>0</v>
      </c>
      <c r="K911" s="45">
        <f t="shared" si="99"/>
        <v>4025</v>
      </c>
      <c r="L911" s="10">
        <v>28</v>
      </c>
      <c r="M911" s="10">
        <v>2.4</v>
      </c>
      <c r="N911" s="10" t="b">
        <v>0</v>
      </c>
      <c r="O911" s="41"/>
      <c r="P911" s="45">
        <f t="shared" si="100"/>
        <v>1690.5</v>
      </c>
      <c r="Q911" s="45">
        <f t="shared" si="101"/>
        <v>2334.5</v>
      </c>
      <c r="R911" s="45">
        <v>0</v>
      </c>
      <c r="S911" s="45">
        <f t="shared" si="102"/>
        <v>0</v>
      </c>
      <c r="T911" s="45">
        <f t="shared" si="103"/>
        <v>0</v>
      </c>
      <c r="U911" s="47">
        <f t="shared" si="104"/>
        <v>2334.5</v>
      </c>
    </row>
    <row r="912" spans="1:21" x14ac:dyDescent="0.3">
      <c r="A912" s="41" t="str">
        <f t="shared" si="98"/>
        <v>PUNITO</v>
      </c>
      <c r="B912" s="43">
        <v>45634</v>
      </c>
      <c r="C912" s="10" t="s">
        <v>954</v>
      </c>
      <c r="D912" s="10" t="s">
        <v>10</v>
      </c>
      <c r="E912" s="10" t="s">
        <v>9</v>
      </c>
      <c r="F912" s="10" t="s">
        <v>4</v>
      </c>
      <c r="G912" s="10" t="s">
        <v>7</v>
      </c>
      <c r="H912" s="10" t="s">
        <v>88</v>
      </c>
      <c r="I912" s="45">
        <v>1124</v>
      </c>
      <c r="J912" s="11">
        <v>0.23699999999999999</v>
      </c>
      <c r="K912" s="45">
        <f t="shared" si="99"/>
        <v>857.61199999999997</v>
      </c>
      <c r="L912" s="10">
        <v>29</v>
      </c>
      <c r="M912" s="10">
        <v>3.6</v>
      </c>
      <c r="N912" s="10" t="b">
        <v>0</v>
      </c>
      <c r="O912" s="41"/>
      <c r="P912" s="45">
        <f t="shared" si="100"/>
        <v>360.19703999999996</v>
      </c>
      <c r="Q912" s="45">
        <f t="shared" si="101"/>
        <v>497.41496000000001</v>
      </c>
      <c r="R912" s="45">
        <v>0</v>
      </c>
      <c r="S912" s="45">
        <f t="shared" si="102"/>
        <v>0</v>
      </c>
      <c r="T912" s="45">
        <f t="shared" si="103"/>
        <v>0</v>
      </c>
      <c r="U912" s="47">
        <f t="shared" si="104"/>
        <v>497.41496000000001</v>
      </c>
    </row>
    <row r="913" spans="1:21" x14ac:dyDescent="0.3">
      <c r="A913" s="41" t="str">
        <f t="shared" si="98"/>
        <v>PBANBO</v>
      </c>
      <c r="B913" s="43">
        <v>45634</v>
      </c>
      <c r="C913" s="10" t="s">
        <v>955</v>
      </c>
      <c r="D913" s="10" t="s">
        <v>21</v>
      </c>
      <c r="E913" s="10" t="s">
        <v>26</v>
      </c>
      <c r="F913" s="10" t="s">
        <v>4</v>
      </c>
      <c r="G913" s="10" t="s">
        <v>27</v>
      </c>
      <c r="H913" s="10" t="s">
        <v>35</v>
      </c>
      <c r="I913" s="45">
        <v>2154</v>
      </c>
      <c r="J913" s="11">
        <v>0.16200000000000001</v>
      </c>
      <c r="K913" s="45">
        <f t="shared" si="99"/>
        <v>1805.0519999999999</v>
      </c>
      <c r="L913" s="10">
        <v>10</v>
      </c>
      <c r="M913" s="10">
        <v>2.4</v>
      </c>
      <c r="N913" s="10" t="b">
        <v>0</v>
      </c>
      <c r="O913" s="41"/>
      <c r="P913" s="45">
        <f t="shared" si="100"/>
        <v>758.12183999999991</v>
      </c>
      <c r="Q913" s="45">
        <f t="shared" si="101"/>
        <v>1046.9301599999999</v>
      </c>
      <c r="R913" s="45">
        <v>0</v>
      </c>
      <c r="S913" s="45">
        <f t="shared" si="102"/>
        <v>0</v>
      </c>
      <c r="T913" s="45">
        <f t="shared" si="103"/>
        <v>0</v>
      </c>
      <c r="U913" s="47">
        <f t="shared" si="104"/>
        <v>1046.9301599999999</v>
      </c>
    </row>
    <row r="914" spans="1:21" x14ac:dyDescent="0.3">
      <c r="A914" s="41" t="str">
        <f t="shared" si="98"/>
        <v>PGAPOU</v>
      </c>
      <c r="B914" s="43">
        <v>45635</v>
      </c>
      <c r="C914" s="10" t="s">
        <v>956</v>
      </c>
      <c r="D914" s="10" t="s">
        <v>53</v>
      </c>
      <c r="E914" s="10" t="s">
        <v>2</v>
      </c>
      <c r="F914" s="10" t="s">
        <v>54</v>
      </c>
      <c r="G914" s="10" t="s">
        <v>27</v>
      </c>
      <c r="H914" s="10" t="s">
        <v>7</v>
      </c>
      <c r="I914" s="45">
        <v>3378</v>
      </c>
      <c r="J914" s="11">
        <v>0</v>
      </c>
      <c r="K914" s="45">
        <f t="shared" si="99"/>
        <v>3378</v>
      </c>
      <c r="L914" s="10">
        <v>2</v>
      </c>
      <c r="M914" s="10">
        <v>2.4</v>
      </c>
      <c r="N914" s="10" t="b">
        <v>0</v>
      </c>
      <c r="O914" s="41"/>
      <c r="P914" s="45">
        <f t="shared" si="100"/>
        <v>1418.76</v>
      </c>
      <c r="Q914" s="45">
        <f t="shared" si="101"/>
        <v>1959.24</v>
      </c>
      <c r="R914" s="45">
        <v>0</v>
      </c>
      <c r="S914" s="45">
        <f t="shared" si="102"/>
        <v>0</v>
      </c>
      <c r="T914" s="45">
        <f t="shared" si="103"/>
        <v>0</v>
      </c>
      <c r="U914" s="47">
        <f t="shared" si="104"/>
        <v>1959.24</v>
      </c>
    </row>
    <row r="915" spans="1:21" x14ac:dyDescent="0.3">
      <c r="A915" s="41" t="str">
        <f t="shared" si="98"/>
        <v>PGAPSH</v>
      </c>
      <c r="B915" s="43">
        <v>45635</v>
      </c>
      <c r="C915" s="10" t="s">
        <v>957</v>
      </c>
      <c r="D915" s="10" t="s">
        <v>53</v>
      </c>
      <c r="E915" s="10" t="s">
        <v>18</v>
      </c>
      <c r="F915" s="10" t="s">
        <v>4</v>
      </c>
      <c r="G915" s="10" t="s">
        <v>7</v>
      </c>
      <c r="H915" s="10" t="s">
        <v>47</v>
      </c>
      <c r="I915" s="45">
        <v>3812</v>
      </c>
      <c r="J915" s="11">
        <v>0.37</v>
      </c>
      <c r="K915" s="45">
        <f t="shared" si="99"/>
        <v>2401.56</v>
      </c>
      <c r="L915" s="10">
        <v>45</v>
      </c>
      <c r="M915" s="10">
        <v>2.9</v>
      </c>
      <c r="N915" s="10" t="b">
        <v>0</v>
      </c>
      <c r="O915" s="41"/>
      <c r="P915" s="45">
        <f t="shared" si="100"/>
        <v>1008.6551999999999</v>
      </c>
      <c r="Q915" s="45">
        <f t="shared" si="101"/>
        <v>1392.9048</v>
      </c>
      <c r="R915" s="45">
        <v>0</v>
      </c>
      <c r="S915" s="45">
        <f t="shared" si="102"/>
        <v>0</v>
      </c>
      <c r="T915" s="45">
        <f t="shared" si="103"/>
        <v>0</v>
      </c>
      <c r="U915" s="47">
        <f t="shared" si="104"/>
        <v>1392.9048</v>
      </c>
    </row>
    <row r="916" spans="1:21" x14ac:dyDescent="0.3">
      <c r="A916" s="41" t="str">
        <f t="shared" si="98"/>
        <v>PFORTO</v>
      </c>
      <c r="B916" s="43">
        <v>45635</v>
      </c>
      <c r="C916" s="10" t="s">
        <v>958</v>
      </c>
      <c r="D916" s="10" t="s">
        <v>65</v>
      </c>
      <c r="E916" s="10" t="s">
        <v>9</v>
      </c>
      <c r="F916" s="10" t="s">
        <v>54</v>
      </c>
      <c r="G916" s="10" t="s">
        <v>46</v>
      </c>
      <c r="H916" s="10" t="s">
        <v>88</v>
      </c>
      <c r="I916" s="45">
        <v>1078</v>
      </c>
      <c r="J916" s="11">
        <v>0</v>
      </c>
      <c r="K916" s="45">
        <f t="shared" si="99"/>
        <v>1078</v>
      </c>
      <c r="L916" s="10">
        <v>41</v>
      </c>
      <c r="M916" s="10">
        <v>2.4</v>
      </c>
      <c r="N916" s="10" t="b">
        <v>1</v>
      </c>
      <c r="O916" s="41" t="s">
        <v>44</v>
      </c>
      <c r="P916" s="45">
        <f t="shared" si="100"/>
        <v>452.76</v>
      </c>
      <c r="Q916" s="45">
        <f t="shared" si="101"/>
        <v>625.24</v>
      </c>
      <c r="R916" s="45">
        <v>150</v>
      </c>
      <c r="S916" s="45">
        <f t="shared" si="102"/>
        <v>107.80000000000001</v>
      </c>
      <c r="T916" s="45">
        <f t="shared" si="103"/>
        <v>1078</v>
      </c>
      <c r="U916" s="47">
        <f t="shared" si="104"/>
        <v>-710.56</v>
      </c>
    </row>
    <row r="917" spans="1:21" x14ac:dyDescent="0.3">
      <c r="A917" s="41" t="str">
        <f t="shared" si="98"/>
        <v>PH&amp;MBO</v>
      </c>
      <c r="B917" s="43">
        <v>45636</v>
      </c>
      <c r="C917" s="10" t="s">
        <v>959</v>
      </c>
      <c r="D917" s="10" t="s">
        <v>37</v>
      </c>
      <c r="E917" s="10" t="s">
        <v>26</v>
      </c>
      <c r="F917" s="10" t="s">
        <v>23</v>
      </c>
      <c r="G917" s="10" t="s">
        <v>12</v>
      </c>
      <c r="H917" s="10" t="s">
        <v>16</v>
      </c>
      <c r="I917" s="45">
        <v>2569</v>
      </c>
      <c r="J917" s="11">
        <v>0.19899999999999998</v>
      </c>
      <c r="K917" s="45">
        <f t="shared" si="99"/>
        <v>2057.7690000000002</v>
      </c>
      <c r="L917" s="10">
        <v>39</v>
      </c>
      <c r="M917" s="10">
        <v>1.8</v>
      </c>
      <c r="N917" s="10" t="b">
        <v>0</v>
      </c>
      <c r="O917" s="41"/>
      <c r="P917" s="45">
        <f t="shared" si="100"/>
        <v>864.26298000000008</v>
      </c>
      <c r="Q917" s="45">
        <f t="shared" si="101"/>
        <v>1193.5060200000003</v>
      </c>
      <c r="R917" s="45">
        <v>0</v>
      </c>
      <c r="S917" s="45">
        <f t="shared" si="102"/>
        <v>0</v>
      </c>
      <c r="T917" s="45">
        <f t="shared" si="103"/>
        <v>0</v>
      </c>
      <c r="U917" s="47">
        <f t="shared" si="104"/>
        <v>1193.5060200000003</v>
      </c>
    </row>
    <row r="918" spans="1:21" x14ac:dyDescent="0.3">
      <c r="A918" s="41" t="str">
        <f t="shared" si="98"/>
        <v>PANNOU</v>
      </c>
      <c r="B918" s="43">
        <v>45636</v>
      </c>
      <c r="C918" s="10" t="s">
        <v>960</v>
      </c>
      <c r="D918" s="10" t="s">
        <v>42</v>
      </c>
      <c r="E918" s="10" t="s">
        <v>2</v>
      </c>
      <c r="F918" s="10" t="s">
        <v>23</v>
      </c>
      <c r="G918" s="10" t="s">
        <v>27</v>
      </c>
      <c r="H918" s="10" t="s">
        <v>13</v>
      </c>
      <c r="I918" s="45">
        <v>3925</v>
      </c>
      <c r="J918" s="11">
        <v>0</v>
      </c>
      <c r="K918" s="45">
        <f t="shared" si="99"/>
        <v>3925</v>
      </c>
      <c r="L918" s="10">
        <v>9</v>
      </c>
      <c r="M918" s="10">
        <v>3</v>
      </c>
      <c r="N918" s="10" t="b">
        <v>0</v>
      </c>
      <c r="O918" s="41"/>
      <c r="P918" s="45">
        <f t="shared" si="100"/>
        <v>1648.5</v>
      </c>
      <c r="Q918" s="45">
        <f t="shared" si="101"/>
        <v>2276.5</v>
      </c>
      <c r="R918" s="45">
        <v>0</v>
      </c>
      <c r="S918" s="45">
        <f t="shared" si="102"/>
        <v>0</v>
      </c>
      <c r="T918" s="45">
        <f t="shared" si="103"/>
        <v>0</v>
      </c>
      <c r="U918" s="47">
        <f t="shared" si="104"/>
        <v>2276.5</v>
      </c>
    </row>
    <row r="919" spans="1:21" x14ac:dyDescent="0.3">
      <c r="A919" s="41" t="str">
        <f t="shared" si="98"/>
        <v>PUNIBO</v>
      </c>
      <c r="B919" s="43">
        <v>45636</v>
      </c>
      <c r="C919" s="10" t="s">
        <v>961</v>
      </c>
      <c r="D919" s="10" t="s">
        <v>10</v>
      </c>
      <c r="E919" s="10" t="s">
        <v>26</v>
      </c>
      <c r="F919" s="10" t="s">
        <v>23</v>
      </c>
      <c r="G919" s="10" t="s">
        <v>7</v>
      </c>
      <c r="H919" s="10" t="s">
        <v>6</v>
      </c>
      <c r="I919" s="45">
        <v>2588</v>
      </c>
      <c r="J919" s="11">
        <v>0.28499999999999998</v>
      </c>
      <c r="K919" s="45">
        <f t="shared" si="99"/>
        <v>1850.4200000000003</v>
      </c>
      <c r="L919" s="10">
        <v>3</v>
      </c>
      <c r="M919" s="10">
        <v>1</v>
      </c>
      <c r="N919" s="10" t="b">
        <v>0</v>
      </c>
      <c r="O919" s="41"/>
      <c r="P919" s="45">
        <f t="shared" si="100"/>
        <v>777.17640000000006</v>
      </c>
      <c r="Q919" s="45">
        <f t="shared" si="101"/>
        <v>1073.2436000000002</v>
      </c>
      <c r="R919" s="45">
        <v>0</v>
      </c>
      <c r="S919" s="45">
        <f t="shared" si="102"/>
        <v>0</v>
      </c>
      <c r="T919" s="45">
        <f t="shared" si="103"/>
        <v>0</v>
      </c>
      <c r="U919" s="47">
        <f t="shared" si="104"/>
        <v>1073.2436000000002</v>
      </c>
    </row>
    <row r="920" spans="1:21" x14ac:dyDescent="0.3">
      <c r="A920" s="41" t="str">
        <f t="shared" si="98"/>
        <v>PGAPSH</v>
      </c>
      <c r="B920" s="43">
        <v>45636</v>
      </c>
      <c r="C920" s="10" t="s">
        <v>962</v>
      </c>
      <c r="D920" s="10" t="s">
        <v>53</v>
      </c>
      <c r="E920" s="10" t="s">
        <v>18</v>
      </c>
      <c r="F920" s="10" t="s">
        <v>23</v>
      </c>
      <c r="G920" s="10" t="s">
        <v>46</v>
      </c>
      <c r="H920" s="10" t="s">
        <v>88</v>
      </c>
      <c r="I920" s="45">
        <v>3930</v>
      </c>
      <c r="J920" s="11">
        <v>0.56399999999999995</v>
      </c>
      <c r="K920" s="45">
        <f t="shared" si="99"/>
        <v>1713.4800000000002</v>
      </c>
      <c r="L920" s="10">
        <v>22</v>
      </c>
      <c r="M920" s="10">
        <v>4.5</v>
      </c>
      <c r="N920" s="10" t="b">
        <v>0</v>
      </c>
      <c r="O920" s="41"/>
      <c r="P920" s="45">
        <f t="shared" si="100"/>
        <v>719.66160000000002</v>
      </c>
      <c r="Q920" s="45">
        <f t="shared" si="101"/>
        <v>993.81840000000022</v>
      </c>
      <c r="R920" s="45">
        <v>0</v>
      </c>
      <c r="S920" s="45">
        <f t="shared" si="102"/>
        <v>0</v>
      </c>
      <c r="T920" s="45">
        <f t="shared" si="103"/>
        <v>0</v>
      </c>
      <c r="U920" s="47">
        <f t="shared" si="104"/>
        <v>993.81840000000022</v>
      </c>
    </row>
    <row r="921" spans="1:21" x14ac:dyDescent="0.3">
      <c r="A921" s="41" t="str">
        <f t="shared" si="98"/>
        <v>PANNAC</v>
      </c>
      <c r="B921" s="43">
        <v>45637</v>
      </c>
      <c r="C921" s="10" t="s">
        <v>963</v>
      </c>
      <c r="D921" s="10" t="s">
        <v>42</v>
      </c>
      <c r="E921" s="10" t="s">
        <v>15</v>
      </c>
      <c r="F921" s="10" t="s">
        <v>54</v>
      </c>
      <c r="G921" s="10" t="s">
        <v>7</v>
      </c>
      <c r="H921" s="10" t="s">
        <v>43</v>
      </c>
      <c r="I921" s="45">
        <v>477</v>
      </c>
      <c r="J921" s="11">
        <v>0.59099999999999997</v>
      </c>
      <c r="K921" s="45">
        <f t="shared" si="99"/>
        <v>195.09300000000002</v>
      </c>
      <c r="L921" s="10">
        <v>50</v>
      </c>
      <c r="M921" s="10">
        <v>3.4</v>
      </c>
      <c r="N921" s="10" t="b">
        <v>1</v>
      </c>
      <c r="O921" s="41" t="s">
        <v>80</v>
      </c>
      <c r="P921" s="45">
        <f t="shared" si="100"/>
        <v>81.939059999999998</v>
      </c>
      <c r="Q921" s="45">
        <f t="shared" si="101"/>
        <v>113.15394000000002</v>
      </c>
      <c r="R921" s="45">
        <v>150</v>
      </c>
      <c r="S921" s="45">
        <f t="shared" si="102"/>
        <v>19.509300000000003</v>
      </c>
      <c r="T921" s="45">
        <f t="shared" si="103"/>
        <v>195.09300000000002</v>
      </c>
      <c r="U921" s="47">
        <f t="shared" si="104"/>
        <v>-251.44836000000001</v>
      </c>
    </row>
    <row r="922" spans="1:21" x14ac:dyDescent="0.3">
      <c r="A922" s="41" t="str">
        <f t="shared" si="98"/>
        <v>PUNIBO</v>
      </c>
      <c r="B922" s="43">
        <v>45637</v>
      </c>
      <c r="C922" s="10" t="s">
        <v>964</v>
      </c>
      <c r="D922" s="10" t="s">
        <v>10</v>
      </c>
      <c r="E922" s="10" t="s">
        <v>26</v>
      </c>
      <c r="F922" s="10" t="s">
        <v>4</v>
      </c>
      <c r="G922" s="10" t="s">
        <v>12</v>
      </c>
      <c r="H922" s="10" t="s">
        <v>6</v>
      </c>
      <c r="I922" s="45">
        <v>2581</v>
      </c>
      <c r="J922" s="11">
        <v>0</v>
      </c>
      <c r="K922" s="45">
        <f t="shared" si="99"/>
        <v>2581</v>
      </c>
      <c r="L922" s="10">
        <v>24</v>
      </c>
      <c r="M922" s="10">
        <v>2.4</v>
      </c>
      <c r="N922" s="10" t="b">
        <v>0</v>
      </c>
      <c r="O922" s="41"/>
      <c r="P922" s="45">
        <f t="shared" si="100"/>
        <v>1084.02</v>
      </c>
      <c r="Q922" s="45">
        <f t="shared" si="101"/>
        <v>1496.98</v>
      </c>
      <c r="R922" s="45">
        <v>0</v>
      </c>
      <c r="S922" s="45">
        <f t="shared" si="102"/>
        <v>0</v>
      </c>
      <c r="T922" s="45">
        <f t="shared" si="103"/>
        <v>0</v>
      </c>
      <c r="U922" s="47">
        <f t="shared" si="104"/>
        <v>1496.98</v>
      </c>
    </row>
    <row r="923" spans="1:21" x14ac:dyDescent="0.3">
      <c r="A923" s="41" t="str">
        <f t="shared" si="98"/>
        <v>PANNAC</v>
      </c>
      <c r="B923" s="43">
        <v>45637</v>
      </c>
      <c r="C923" s="10" t="s">
        <v>965</v>
      </c>
      <c r="D923" s="10" t="s">
        <v>42</v>
      </c>
      <c r="E923" s="10" t="s">
        <v>15</v>
      </c>
      <c r="F923" s="10" t="s">
        <v>4</v>
      </c>
      <c r="G923" s="10" t="s">
        <v>7</v>
      </c>
      <c r="H923" s="10" t="s">
        <v>35</v>
      </c>
      <c r="I923" s="45">
        <v>424</v>
      </c>
      <c r="J923" s="11">
        <v>0</v>
      </c>
      <c r="K923" s="45">
        <f t="shared" si="99"/>
        <v>424</v>
      </c>
      <c r="L923" s="10">
        <v>22</v>
      </c>
      <c r="M923" s="10">
        <v>4.5</v>
      </c>
      <c r="N923" s="10" t="b">
        <v>0</v>
      </c>
      <c r="O923" s="41"/>
      <c r="P923" s="45">
        <f t="shared" si="100"/>
        <v>178.07999999999998</v>
      </c>
      <c r="Q923" s="45">
        <f t="shared" si="101"/>
        <v>245.92000000000002</v>
      </c>
      <c r="R923" s="45">
        <v>0</v>
      </c>
      <c r="S923" s="45">
        <f t="shared" si="102"/>
        <v>0</v>
      </c>
      <c r="T923" s="45">
        <f t="shared" si="103"/>
        <v>0</v>
      </c>
      <c r="U923" s="47">
        <f t="shared" si="104"/>
        <v>245.92000000000002</v>
      </c>
    </row>
    <row r="924" spans="1:21" x14ac:dyDescent="0.3">
      <c r="A924" s="41" t="str">
        <f t="shared" si="98"/>
        <v>PANNOU</v>
      </c>
      <c r="B924" s="43">
        <v>45637</v>
      </c>
      <c r="C924" s="10" t="s">
        <v>966</v>
      </c>
      <c r="D924" s="10" t="s">
        <v>42</v>
      </c>
      <c r="E924" s="10" t="s">
        <v>2</v>
      </c>
      <c r="F924" s="10" t="s">
        <v>54</v>
      </c>
      <c r="G924" s="10" t="s">
        <v>12</v>
      </c>
      <c r="H924" s="10" t="s">
        <v>56</v>
      </c>
      <c r="I924" s="45">
        <v>4156</v>
      </c>
      <c r="J924" s="11">
        <v>0</v>
      </c>
      <c r="K924" s="45">
        <f t="shared" si="99"/>
        <v>4156</v>
      </c>
      <c r="L924" s="10">
        <v>12</v>
      </c>
      <c r="M924" s="10"/>
      <c r="N924" s="10" t="b">
        <v>0</v>
      </c>
      <c r="O924" s="41"/>
      <c r="P924" s="45">
        <f t="shared" si="100"/>
        <v>1745.52</v>
      </c>
      <c r="Q924" s="45">
        <f t="shared" si="101"/>
        <v>2410.48</v>
      </c>
      <c r="R924" s="45">
        <v>0</v>
      </c>
      <c r="S924" s="45">
        <f t="shared" si="102"/>
        <v>0</v>
      </c>
      <c r="T924" s="45">
        <f t="shared" si="103"/>
        <v>0</v>
      </c>
      <c r="U924" s="47">
        <f t="shared" si="104"/>
        <v>2410.48</v>
      </c>
    </row>
    <row r="925" spans="1:21" x14ac:dyDescent="0.3">
      <c r="A925" s="41" t="str">
        <f t="shared" si="98"/>
        <v>PZARBO</v>
      </c>
      <c r="B925" s="43">
        <v>45638</v>
      </c>
      <c r="C925" s="10" t="s">
        <v>967</v>
      </c>
      <c r="D925" s="10" t="s">
        <v>3</v>
      </c>
      <c r="E925" s="10" t="s">
        <v>26</v>
      </c>
      <c r="F925" s="10" t="s">
        <v>11</v>
      </c>
      <c r="G925" s="10" t="s">
        <v>5</v>
      </c>
      <c r="H925" s="10" t="s">
        <v>28</v>
      </c>
      <c r="I925" s="45">
        <v>2124</v>
      </c>
      <c r="J925" s="11">
        <v>0</v>
      </c>
      <c r="K925" s="45">
        <f t="shared" si="99"/>
        <v>2124</v>
      </c>
      <c r="L925" s="10">
        <v>6</v>
      </c>
      <c r="M925" s="10">
        <v>3.8</v>
      </c>
      <c r="N925" s="10" t="b">
        <v>0</v>
      </c>
      <c r="O925" s="41"/>
      <c r="P925" s="45">
        <f t="shared" si="100"/>
        <v>892.07999999999993</v>
      </c>
      <c r="Q925" s="45">
        <f t="shared" si="101"/>
        <v>1231.92</v>
      </c>
      <c r="R925" s="45">
        <v>0</v>
      </c>
      <c r="S925" s="45">
        <f t="shared" si="102"/>
        <v>0</v>
      </c>
      <c r="T925" s="45">
        <f t="shared" si="103"/>
        <v>0</v>
      </c>
      <c r="U925" s="47">
        <f t="shared" si="104"/>
        <v>1231.92</v>
      </c>
    </row>
    <row r="926" spans="1:21" x14ac:dyDescent="0.3">
      <c r="A926" s="41" t="str">
        <f t="shared" si="98"/>
        <v>PANNTO</v>
      </c>
      <c r="B926" s="43">
        <v>45638</v>
      </c>
      <c r="C926" s="10" t="s">
        <v>968</v>
      </c>
      <c r="D926" s="10" t="s">
        <v>42</v>
      </c>
      <c r="E926" s="10" t="s">
        <v>9</v>
      </c>
      <c r="F926" s="10" t="s">
        <v>54</v>
      </c>
      <c r="G926" s="10" t="s">
        <v>49</v>
      </c>
      <c r="H926" s="10" t="s">
        <v>28</v>
      </c>
      <c r="I926" s="45">
        <v>951</v>
      </c>
      <c r="J926" s="11">
        <v>0</v>
      </c>
      <c r="K926" s="45">
        <f t="shared" si="99"/>
        <v>951</v>
      </c>
      <c r="L926" s="10">
        <v>15</v>
      </c>
      <c r="M926" s="10">
        <v>2</v>
      </c>
      <c r="N926" s="10" t="b">
        <v>0</v>
      </c>
      <c r="O926" s="41"/>
      <c r="P926" s="45">
        <f t="shared" si="100"/>
        <v>399.41999999999996</v>
      </c>
      <c r="Q926" s="45">
        <f t="shared" si="101"/>
        <v>551.58000000000004</v>
      </c>
      <c r="R926" s="45">
        <v>0</v>
      </c>
      <c r="S926" s="45">
        <f t="shared" si="102"/>
        <v>0</v>
      </c>
      <c r="T926" s="45">
        <f t="shared" si="103"/>
        <v>0</v>
      </c>
      <c r="U926" s="47">
        <f t="shared" si="104"/>
        <v>551.58000000000004</v>
      </c>
    </row>
    <row r="927" spans="1:21" x14ac:dyDescent="0.3">
      <c r="A927" s="41" t="str">
        <f t="shared" si="98"/>
        <v>PZARAC</v>
      </c>
      <c r="B927" s="43">
        <v>45638</v>
      </c>
      <c r="C927" s="10" t="s">
        <v>969</v>
      </c>
      <c r="D927" s="10" t="s">
        <v>3</v>
      </c>
      <c r="E927" s="10" t="s">
        <v>15</v>
      </c>
      <c r="F927" s="10" t="s">
        <v>4</v>
      </c>
      <c r="G927" s="10" t="s">
        <v>7</v>
      </c>
      <c r="H927" s="10" t="s">
        <v>28</v>
      </c>
      <c r="I927" s="45">
        <v>467</v>
      </c>
      <c r="J927" s="11">
        <v>0.39</v>
      </c>
      <c r="K927" s="45">
        <f t="shared" si="99"/>
        <v>284.87</v>
      </c>
      <c r="L927" s="10">
        <v>37</v>
      </c>
      <c r="M927" s="10">
        <v>2.5</v>
      </c>
      <c r="N927" s="10" t="b">
        <v>1</v>
      </c>
      <c r="O927" s="41" t="s">
        <v>19</v>
      </c>
      <c r="P927" s="45">
        <f t="shared" si="100"/>
        <v>119.6454</v>
      </c>
      <c r="Q927" s="45">
        <f t="shared" si="101"/>
        <v>165.22460000000001</v>
      </c>
      <c r="R927" s="45">
        <v>150</v>
      </c>
      <c r="S927" s="45">
        <f t="shared" si="102"/>
        <v>28.487000000000002</v>
      </c>
      <c r="T927" s="45">
        <f t="shared" si="103"/>
        <v>284.87</v>
      </c>
      <c r="U927" s="47">
        <f t="shared" si="104"/>
        <v>-298.13240000000002</v>
      </c>
    </row>
    <row r="928" spans="1:21" x14ac:dyDescent="0.3">
      <c r="A928" s="41" t="str">
        <f t="shared" si="98"/>
        <v>PZAROU</v>
      </c>
      <c r="B928" s="43">
        <v>45638</v>
      </c>
      <c r="C928" s="10" t="s">
        <v>970</v>
      </c>
      <c r="D928" s="10" t="s">
        <v>3</v>
      </c>
      <c r="E928" s="10" t="s">
        <v>2</v>
      </c>
      <c r="F928" s="10" t="s">
        <v>4</v>
      </c>
      <c r="G928" s="10" t="s">
        <v>38</v>
      </c>
      <c r="H928" s="10" t="s">
        <v>13</v>
      </c>
      <c r="I928" s="45">
        <v>3417</v>
      </c>
      <c r="J928" s="11">
        <v>0.129</v>
      </c>
      <c r="K928" s="45">
        <f t="shared" si="99"/>
        <v>2976.2069999999999</v>
      </c>
      <c r="L928" s="10">
        <v>23</v>
      </c>
      <c r="M928" s="10">
        <v>1.7</v>
      </c>
      <c r="N928" s="10" t="b">
        <v>1</v>
      </c>
      <c r="O928" s="41" t="s">
        <v>44</v>
      </c>
      <c r="P928" s="45">
        <f t="shared" si="100"/>
        <v>1250.00694</v>
      </c>
      <c r="Q928" s="45">
        <f t="shared" si="101"/>
        <v>1726.2000599999999</v>
      </c>
      <c r="R928" s="45">
        <v>150</v>
      </c>
      <c r="S928" s="45">
        <f t="shared" si="102"/>
        <v>297.6207</v>
      </c>
      <c r="T928" s="45">
        <f t="shared" si="103"/>
        <v>2976.2069999999999</v>
      </c>
      <c r="U928" s="47">
        <f t="shared" si="104"/>
        <v>-1697.6276399999999</v>
      </c>
    </row>
    <row r="929" spans="1:21" x14ac:dyDescent="0.3">
      <c r="A929" s="41" t="str">
        <f t="shared" si="98"/>
        <v>PUNIAC</v>
      </c>
      <c r="B929" s="43">
        <v>45639</v>
      </c>
      <c r="C929" s="10" t="s">
        <v>971</v>
      </c>
      <c r="D929" s="10" t="s">
        <v>10</v>
      </c>
      <c r="E929" s="10" t="s">
        <v>15</v>
      </c>
      <c r="F929" s="10" t="s">
        <v>4</v>
      </c>
      <c r="G929" s="10" t="s">
        <v>7</v>
      </c>
      <c r="H929" s="10" t="s">
        <v>16</v>
      </c>
      <c r="I929" s="45">
        <v>358</v>
      </c>
      <c r="J929" s="11">
        <v>0</v>
      </c>
      <c r="K929" s="45">
        <f t="shared" si="99"/>
        <v>358</v>
      </c>
      <c r="L929" s="10">
        <v>20</v>
      </c>
      <c r="M929" s="10">
        <v>1.7</v>
      </c>
      <c r="N929" s="10" t="b">
        <v>1</v>
      </c>
      <c r="O929" s="41" t="s">
        <v>24</v>
      </c>
      <c r="P929" s="45">
        <f t="shared" si="100"/>
        <v>150.35999999999999</v>
      </c>
      <c r="Q929" s="45">
        <f t="shared" si="101"/>
        <v>207.64000000000001</v>
      </c>
      <c r="R929" s="45">
        <v>150</v>
      </c>
      <c r="S929" s="45">
        <f t="shared" si="102"/>
        <v>35.800000000000004</v>
      </c>
      <c r="T929" s="45">
        <f t="shared" si="103"/>
        <v>358</v>
      </c>
      <c r="U929" s="47">
        <f t="shared" si="104"/>
        <v>-336.15999999999997</v>
      </c>
    </row>
    <row r="930" spans="1:21" x14ac:dyDescent="0.3">
      <c r="A930" s="41" t="str">
        <f t="shared" si="98"/>
        <v>PBANTO</v>
      </c>
      <c r="B930" s="43">
        <v>45639</v>
      </c>
      <c r="C930" s="10" t="s">
        <v>972</v>
      </c>
      <c r="D930" s="10" t="s">
        <v>21</v>
      </c>
      <c r="E930" s="10" t="s">
        <v>9</v>
      </c>
      <c r="F930" s="10" t="s">
        <v>54</v>
      </c>
      <c r="G930" s="10" t="s">
        <v>49</v>
      </c>
      <c r="H930" s="10" t="s">
        <v>56</v>
      </c>
      <c r="I930" s="45">
        <v>1631</v>
      </c>
      <c r="J930" s="11">
        <v>0</v>
      </c>
      <c r="K930" s="45">
        <f t="shared" si="99"/>
        <v>1631</v>
      </c>
      <c r="L930" s="10">
        <v>38</v>
      </c>
      <c r="M930" s="10">
        <v>2.2000000000000002</v>
      </c>
      <c r="N930" s="10" t="b">
        <v>0</v>
      </c>
      <c r="O930" s="41"/>
      <c r="P930" s="45">
        <f t="shared" si="100"/>
        <v>685.02</v>
      </c>
      <c r="Q930" s="45">
        <f t="shared" si="101"/>
        <v>945.98</v>
      </c>
      <c r="R930" s="45">
        <v>0</v>
      </c>
      <c r="S930" s="45">
        <f t="shared" si="102"/>
        <v>0</v>
      </c>
      <c r="T930" s="45">
        <f t="shared" si="103"/>
        <v>0</v>
      </c>
      <c r="U930" s="47">
        <f t="shared" si="104"/>
        <v>945.98</v>
      </c>
    </row>
    <row r="931" spans="1:21" x14ac:dyDescent="0.3">
      <c r="A931" s="41" t="str">
        <f t="shared" si="98"/>
        <v>PH&amp;MAC</v>
      </c>
      <c r="B931" s="43">
        <v>45639</v>
      </c>
      <c r="C931" s="10" t="s">
        <v>973</v>
      </c>
      <c r="D931" s="10" t="s">
        <v>37</v>
      </c>
      <c r="E931" s="10" t="s">
        <v>15</v>
      </c>
      <c r="F931" s="10" t="s">
        <v>4</v>
      </c>
      <c r="G931" s="10" t="s">
        <v>7</v>
      </c>
      <c r="H931" s="10" t="s">
        <v>13</v>
      </c>
      <c r="I931" s="45">
        <v>199</v>
      </c>
      <c r="J931" s="11">
        <v>0.41200000000000003</v>
      </c>
      <c r="K931" s="45">
        <f t="shared" si="99"/>
        <v>117.012</v>
      </c>
      <c r="L931" s="10">
        <v>4</v>
      </c>
      <c r="M931" s="10">
        <v>3.7</v>
      </c>
      <c r="N931" s="10" t="b">
        <v>1</v>
      </c>
      <c r="O931" s="41" t="s">
        <v>33</v>
      </c>
      <c r="P931" s="45">
        <f t="shared" si="100"/>
        <v>49.145040000000002</v>
      </c>
      <c r="Q931" s="45">
        <f t="shared" si="101"/>
        <v>67.866960000000006</v>
      </c>
      <c r="R931" s="45">
        <v>150</v>
      </c>
      <c r="S931" s="45">
        <f t="shared" si="102"/>
        <v>11.7012</v>
      </c>
      <c r="T931" s="45">
        <f t="shared" si="103"/>
        <v>117.012</v>
      </c>
      <c r="U931" s="47">
        <f t="shared" si="104"/>
        <v>-210.84623999999999</v>
      </c>
    </row>
    <row r="932" spans="1:21" x14ac:dyDescent="0.3">
      <c r="A932" s="41" t="str">
        <f t="shared" si="98"/>
        <v>PFORAC</v>
      </c>
      <c r="B932" s="43">
        <v>45639</v>
      </c>
      <c r="C932" s="10" t="s">
        <v>974</v>
      </c>
      <c r="D932" s="10" t="s">
        <v>65</v>
      </c>
      <c r="E932" s="10" t="s">
        <v>15</v>
      </c>
      <c r="F932" s="10" t="s">
        <v>54</v>
      </c>
      <c r="G932" s="10" t="s">
        <v>7</v>
      </c>
      <c r="H932" s="10" t="s">
        <v>35</v>
      </c>
      <c r="I932" s="45">
        <v>222</v>
      </c>
      <c r="J932" s="11">
        <v>0</v>
      </c>
      <c r="K932" s="45">
        <f t="shared" si="99"/>
        <v>222</v>
      </c>
      <c r="L932" s="10">
        <v>48</v>
      </c>
      <c r="M932" s="10">
        <v>5</v>
      </c>
      <c r="N932" s="10" t="b">
        <v>0</v>
      </c>
      <c r="O932" s="41"/>
      <c r="P932" s="45">
        <f t="shared" si="100"/>
        <v>93.24</v>
      </c>
      <c r="Q932" s="45">
        <f t="shared" si="101"/>
        <v>128.76</v>
      </c>
      <c r="R932" s="45">
        <v>0</v>
      </c>
      <c r="S932" s="45">
        <f t="shared" si="102"/>
        <v>0</v>
      </c>
      <c r="T932" s="45">
        <f t="shared" si="103"/>
        <v>0</v>
      </c>
      <c r="U932" s="47">
        <f t="shared" si="104"/>
        <v>128.76</v>
      </c>
    </row>
    <row r="933" spans="1:21" x14ac:dyDescent="0.3">
      <c r="A933" s="41" t="str">
        <f t="shared" si="98"/>
        <v>PANNBO</v>
      </c>
      <c r="B933" s="43">
        <v>45640</v>
      </c>
      <c r="C933" s="10" t="s">
        <v>975</v>
      </c>
      <c r="D933" s="10" t="s">
        <v>42</v>
      </c>
      <c r="E933" s="10" t="s">
        <v>26</v>
      </c>
      <c r="F933" s="10" t="s">
        <v>54</v>
      </c>
      <c r="G933" s="10" t="s">
        <v>12</v>
      </c>
      <c r="H933" s="10" t="s">
        <v>6</v>
      </c>
      <c r="I933" s="45">
        <v>2351</v>
      </c>
      <c r="J933" s="11">
        <v>0</v>
      </c>
      <c r="K933" s="45">
        <f t="shared" si="99"/>
        <v>2351</v>
      </c>
      <c r="L933" s="10">
        <v>2</v>
      </c>
      <c r="M933" s="10"/>
      <c r="N933" s="10" t="b">
        <v>0</v>
      </c>
      <c r="O933" s="41"/>
      <c r="P933" s="45">
        <f t="shared" si="100"/>
        <v>987.42</v>
      </c>
      <c r="Q933" s="45">
        <f t="shared" si="101"/>
        <v>1363.58</v>
      </c>
      <c r="R933" s="45">
        <v>0</v>
      </c>
      <c r="S933" s="45">
        <f t="shared" si="102"/>
        <v>0</v>
      </c>
      <c r="T933" s="45">
        <f t="shared" si="103"/>
        <v>0</v>
      </c>
      <c r="U933" s="47">
        <f t="shared" si="104"/>
        <v>1363.58</v>
      </c>
    </row>
    <row r="934" spans="1:21" x14ac:dyDescent="0.3">
      <c r="A934" s="41" t="str">
        <f t="shared" si="98"/>
        <v>PH&amp;MAC</v>
      </c>
      <c r="B934" s="43">
        <v>45640</v>
      </c>
      <c r="C934" s="10" t="s">
        <v>976</v>
      </c>
      <c r="D934" s="10" t="s">
        <v>37</v>
      </c>
      <c r="E934" s="10" t="s">
        <v>15</v>
      </c>
      <c r="F934" s="10" t="s">
        <v>23</v>
      </c>
      <c r="G934" s="10" t="s">
        <v>7</v>
      </c>
      <c r="H934" s="10" t="s">
        <v>13</v>
      </c>
      <c r="I934" s="45">
        <v>334</v>
      </c>
      <c r="J934" s="11">
        <v>0</v>
      </c>
      <c r="K934" s="45">
        <f t="shared" si="99"/>
        <v>334</v>
      </c>
      <c r="L934" s="10">
        <v>9</v>
      </c>
      <c r="M934" s="10">
        <v>1.2</v>
      </c>
      <c r="N934" s="10" t="b">
        <v>0</v>
      </c>
      <c r="O934" s="41"/>
      <c r="P934" s="45">
        <f t="shared" si="100"/>
        <v>140.28</v>
      </c>
      <c r="Q934" s="45">
        <f t="shared" si="101"/>
        <v>193.72</v>
      </c>
      <c r="R934" s="45">
        <v>0</v>
      </c>
      <c r="S934" s="45">
        <f t="shared" si="102"/>
        <v>0</v>
      </c>
      <c r="T934" s="45">
        <f t="shared" si="103"/>
        <v>0</v>
      </c>
      <c r="U934" s="47">
        <f t="shared" si="104"/>
        <v>193.72</v>
      </c>
    </row>
    <row r="935" spans="1:21" x14ac:dyDescent="0.3">
      <c r="A935" s="41" t="str">
        <f t="shared" si="98"/>
        <v>PUNIOU</v>
      </c>
      <c r="B935" s="43">
        <v>45640</v>
      </c>
      <c r="C935" s="10" t="s">
        <v>977</v>
      </c>
      <c r="D935" s="10" t="s">
        <v>10</v>
      </c>
      <c r="E935" s="10" t="s">
        <v>2</v>
      </c>
      <c r="F935" s="10" t="s">
        <v>23</v>
      </c>
      <c r="G935" s="10" t="s">
        <v>38</v>
      </c>
      <c r="H935" s="10" t="s">
        <v>13</v>
      </c>
      <c r="I935" s="45">
        <v>3156</v>
      </c>
      <c r="J935" s="11">
        <v>0.13300000000000001</v>
      </c>
      <c r="K935" s="45">
        <f t="shared" si="99"/>
        <v>2736.252</v>
      </c>
      <c r="L935" s="10">
        <v>4</v>
      </c>
      <c r="M935" s="10">
        <v>4.5</v>
      </c>
      <c r="N935" s="10" t="b">
        <v>1</v>
      </c>
      <c r="O935" s="41" t="s">
        <v>33</v>
      </c>
      <c r="P935" s="45">
        <f t="shared" si="100"/>
        <v>1149.2258399999998</v>
      </c>
      <c r="Q935" s="45">
        <f t="shared" si="101"/>
        <v>1587.0261600000001</v>
      </c>
      <c r="R935" s="45">
        <v>150</v>
      </c>
      <c r="S935" s="45">
        <f t="shared" si="102"/>
        <v>273.62520000000001</v>
      </c>
      <c r="T935" s="45">
        <f t="shared" si="103"/>
        <v>2736.252</v>
      </c>
      <c r="U935" s="47">
        <f t="shared" si="104"/>
        <v>-1572.8510399999998</v>
      </c>
    </row>
    <row r="936" spans="1:21" x14ac:dyDescent="0.3">
      <c r="A936" s="41" t="str">
        <f t="shared" si="98"/>
        <v>PMANOU</v>
      </c>
      <c r="B936" s="43">
        <v>45641</v>
      </c>
      <c r="C936" s="10" t="s">
        <v>978</v>
      </c>
      <c r="D936" s="10" t="s">
        <v>31</v>
      </c>
      <c r="E936" s="10" t="s">
        <v>2</v>
      </c>
      <c r="F936" s="10" t="s">
        <v>4</v>
      </c>
      <c r="G936" s="10" t="s">
        <v>46</v>
      </c>
      <c r="H936" s="10" t="s">
        <v>28</v>
      </c>
      <c r="I936" s="45">
        <v>4328</v>
      </c>
      <c r="J936" s="11">
        <v>0</v>
      </c>
      <c r="K936" s="45">
        <f t="shared" si="99"/>
        <v>4328</v>
      </c>
      <c r="L936" s="10">
        <v>26</v>
      </c>
      <c r="M936" s="10">
        <v>1.1000000000000001</v>
      </c>
      <c r="N936" s="10" t="b">
        <v>1</v>
      </c>
      <c r="O936" s="41" t="s">
        <v>33</v>
      </c>
      <c r="P936" s="45">
        <f t="shared" si="100"/>
        <v>1817.76</v>
      </c>
      <c r="Q936" s="45">
        <f t="shared" si="101"/>
        <v>2510.2399999999998</v>
      </c>
      <c r="R936" s="45">
        <v>150</v>
      </c>
      <c r="S936" s="45">
        <f t="shared" si="102"/>
        <v>432.8</v>
      </c>
      <c r="T936" s="45">
        <f t="shared" si="103"/>
        <v>4328</v>
      </c>
      <c r="U936" s="47">
        <f t="shared" si="104"/>
        <v>-2400.5600000000004</v>
      </c>
    </row>
    <row r="937" spans="1:21" x14ac:dyDescent="0.3">
      <c r="A937" s="41" t="str">
        <f t="shared" si="98"/>
        <v>PMANOU</v>
      </c>
      <c r="B937" s="43">
        <v>45641</v>
      </c>
      <c r="C937" s="10" t="s">
        <v>979</v>
      </c>
      <c r="D937" s="10" t="s">
        <v>31</v>
      </c>
      <c r="E937" s="10" t="s">
        <v>2</v>
      </c>
      <c r="F937" s="10" t="s">
        <v>54</v>
      </c>
      <c r="G937" s="10" t="s">
        <v>27</v>
      </c>
      <c r="H937" s="10" t="s">
        <v>16</v>
      </c>
      <c r="I937" s="45">
        <v>4099</v>
      </c>
      <c r="J937" s="11">
        <v>0</v>
      </c>
      <c r="K937" s="45">
        <f t="shared" si="99"/>
        <v>4099</v>
      </c>
      <c r="L937" s="10">
        <v>49</v>
      </c>
      <c r="M937" s="10"/>
      <c r="N937" s="10" t="b">
        <v>0</v>
      </c>
      <c r="O937" s="41"/>
      <c r="P937" s="45">
        <f t="shared" si="100"/>
        <v>1721.58</v>
      </c>
      <c r="Q937" s="45">
        <f t="shared" si="101"/>
        <v>2377.42</v>
      </c>
      <c r="R937" s="45">
        <v>0</v>
      </c>
      <c r="S937" s="45">
        <f t="shared" si="102"/>
        <v>0</v>
      </c>
      <c r="T937" s="45">
        <f t="shared" si="103"/>
        <v>0</v>
      </c>
      <c r="U937" s="47">
        <f t="shared" si="104"/>
        <v>2377.42</v>
      </c>
    </row>
    <row r="938" spans="1:21" x14ac:dyDescent="0.3">
      <c r="A938" s="41" t="str">
        <f t="shared" si="98"/>
        <v>PUNISH</v>
      </c>
      <c r="B938" s="43">
        <v>45641</v>
      </c>
      <c r="C938" s="10" t="s">
        <v>980</v>
      </c>
      <c r="D938" s="10" t="s">
        <v>10</v>
      </c>
      <c r="E938" s="10" t="s">
        <v>18</v>
      </c>
      <c r="F938" s="10" t="s">
        <v>11</v>
      </c>
      <c r="G938" s="10" t="s">
        <v>38</v>
      </c>
      <c r="H938" s="10" t="s">
        <v>13</v>
      </c>
      <c r="I938" s="45">
        <v>3558</v>
      </c>
      <c r="J938" s="11">
        <v>0</v>
      </c>
      <c r="K938" s="45">
        <f t="shared" si="99"/>
        <v>3558</v>
      </c>
      <c r="L938" s="10">
        <v>11</v>
      </c>
      <c r="M938" s="10">
        <v>4.0999999999999996</v>
      </c>
      <c r="N938" s="10" t="b">
        <v>0</v>
      </c>
      <c r="O938" s="41"/>
      <c r="P938" s="45">
        <f t="shared" si="100"/>
        <v>1494.36</v>
      </c>
      <c r="Q938" s="45">
        <f t="shared" si="101"/>
        <v>2063.6400000000003</v>
      </c>
      <c r="R938" s="45">
        <v>0</v>
      </c>
      <c r="S938" s="45">
        <f t="shared" si="102"/>
        <v>0</v>
      </c>
      <c r="T938" s="45">
        <f t="shared" si="103"/>
        <v>0</v>
      </c>
      <c r="U938" s="47">
        <f t="shared" si="104"/>
        <v>2063.6400000000003</v>
      </c>
    </row>
    <row r="939" spans="1:21" x14ac:dyDescent="0.3">
      <c r="A939" s="41" t="str">
        <f t="shared" si="98"/>
        <v>PGAPAC</v>
      </c>
      <c r="B939" s="43">
        <v>45641</v>
      </c>
      <c r="C939" s="10" t="s">
        <v>981</v>
      </c>
      <c r="D939" s="10" t="s">
        <v>53</v>
      </c>
      <c r="E939" s="10" t="s">
        <v>15</v>
      </c>
      <c r="F939" s="10" t="s">
        <v>11</v>
      </c>
      <c r="G939" s="10" t="s">
        <v>7</v>
      </c>
      <c r="H939" s="10" t="s">
        <v>56</v>
      </c>
      <c r="I939" s="45">
        <v>447</v>
      </c>
      <c r="J939" s="11">
        <v>0.44799999999999995</v>
      </c>
      <c r="K939" s="45">
        <f t="shared" si="99"/>
        <v>246.74400000000003</v>
      </c>
      <c r="L939" s="10">
        <v>29</v>
      </c>
      <c r="M939" s="10">
        <v>3.4</v>
      </c>
      <c r="N939" s="10" t="b">
        <v>0</v>
      </c>
      <c r="O939" s="41"/>
      <c r="P939" s="45">
        <f t="shared" si="100"/>
        <v>103.63248</v>
      </c>
      <c r="Q939" s="45">
        <f t="shared" si="101"/>
        <v>143.11152000000004</v>
      </c>
      <c r="R939" s="45">
        <v>0</v>
      </c>
      <c r="S939" s="45">
        <f t="shared" si="102"/>
        <v>0</v>
      </c>
      <c r="T939" s="45">
        <f t="shared" si="103"/>
        <v>0</v>
      </c>
      <c r="U939" s="47">
        <f t="shared" si="104"/>
        <v>143.11152000000004</v>
      </c>
    </row>
    <row r="940" spans="1:21" x14ac:dyDescent="0.3">
      <c r="A940" s="41" t="str">
        <f t="shared" si="98"/>
        <v>PANNTO</v>
      </c>
      <c r="B940" s="43">
        <v>45641</v>
      </c>
      <c r="C940" s="10" t="s">
        <v>982</v>
      </c>
      <c r="D940" s="10" t="s">
        <v>42</v>
      </c>
      <c r="E940" s="10" t="s">
        <v>9</v>
      </c>
      <c r="F940" s="10" t="s">
        <v>4</v>
      </c>
      <c r="G940" s="10" t="s">
        <v>38</v>
      </c>
      <c r="H940" s="10" t="s">
        <v>58</v>
      </c>
      <c r="I940" s="45">
        <v>1050</v>
      </c>
      <c r="J940" s="11">
        <v>0</v>
      </c>
      <c r="K940" s="45">
        <f t="shared" si="99"/>
        <v>1050</v>
      </c>
      <c r="L940" s="10">
        <v>29</v>
      </c>
      <c r="M940" s="10">
        <v>5</v>
      </c>
      <c r="N940" s="10" t="b">
        <v>0</v>
      </c>
      <c r="O940" s="41"/>
      <c r="P940" s="45">
        <f t="shared" si="100"/>
        <v>441</v>
      </c>
      <c r="Q940" s="45">
        <f t="shared" si="101"/>
        <v>609</v>
      </c>
      <c r="R940" s="45">
        <v>0</v>
      </c>
      <c r="S940" s="45">
        <f t="shared" si="102"/>
        <v>0</v>
      </c>
      <c r="T940" s="45">
        <f t="shared" si="103"/>
        <v>0</v>
      </c>
      <c r="U940" s="47">
        <f t="shared" si="104"/>
        <v>609</v>
      </c>
    </row>
    <row r="941" spans="1:21" x14ac:dyDescent="0.3">
      <c r="A941" s="41" t="str">
        <f t="shared" si="98"/>
        <v>PH&amp;MDR</v>
      </c>
      <c r="B941" s="43">
        <v>45642</v>
      </c>
      <c r="C941" s="10" t="s">
        <v>983</v>
      </c>
      <c r="D941" s="10" t="s">
        <v>37</v>
      </c>
      <c r="E941" s="10" t="s">
        <v>30</v>
      </c>
      <c r="F941" s="10" t="s">
        <v>4</v>
      </c>
      <c r="G941" s="10" t="s">
        <v>49</v>
      </c>
      <c r="H941" s="10" t="s">
        <v>58</v>
      </c>
      <c r="I941" s="45">
        <v>1923</v>
      </c>
      <c r="J941" s="11">
        <v>0.48399999999999999</v>
      </c>
      <c r="K941" s="45">
        <f t="shared" si="99"/>
        <v>992.26800000000003</v>
      </c>
      <c r="L941" s="10">
        <v>22</v>
      </c>
      <c r="M941" s="10">
        <v>3.2</v>
      </c>
      <c r="N941" s="10" t="b">
        <v>0</v>
      </c>
      <c r="O941" s="41"/>
      <c r="P941" s="45">
        <f t="shared" si="100"/>
        <v>416.75256000000002</v>
      </c>
      <c r="Q941" s="45">
        <f t="shared" si="101"/>
        <v>575.51544000000001</v>
      </c>
      <c r="R941" s="45">
        <v>0</v>
      </c>
      <c r="S941" s="45">
        <f t="shared" si="102"/>
        <v>0</v>
      </c>
      <c r="T941" s="45">
        <f t="shared" si="103"/>
        <v>0</v>
      </c>
      <c r="U941" s="47">
        <f t="shared" si="104"/>
        <v>575.51544000000001</v>
      </c>
    </row>
    <row r="942" spans="1:21" x14ac:dyDescent="0.3">
      <c r="A942" s="41" t="str">
        <f t="shared" si="98"/>
        <v>PBANDR</v>
      </c>
      <c r="B942" s="43">
        <v>45642</v>
      </c>
      <c r="C942" s="10" t="s">
        <v>984</v>
      </c>
      <c r="D942" s="10" t="s">
        <v>21</v>
      </c>
      <c r="E942" s="10" t="s">
        <v>30</v>
      </c>
      <c r="F942" s="10" t="s">
        <v>54</v>
      </c>
      <c r="G942" s="10" t="s">
        <v>7</v>
      </c>
      <c r="H942" s="10" t="s">
        <v>58</v>
      </c>
      <c r="I942" s="45">
        <v>1999</v>
      </c>
      <c r="J942" s="11">
        <v>0.29399999999999998</v>
      </c>
      <c r="K942" s="45">
        <f t="shared" si="99"/>
        <v>1411.2939999999999</v>
      </c>
      <c r="L942" s="10">
        <v>20</v>
      </c>
      <c r="M942" s="10">
        <v>2.1</v>
      </c>
      <c r="N942" s="10" t="b">
        <v>0</v>
      </c>
      <c r="O942" s="41"/>
      <c r="P942" s="45">
        <f t="shared" si="100"/>
        <v>592.74347999999998</v>
      </c>
      <c r="Q942" s="45">
        <f t="shared" si="101"/>
        <v>818.55051999999989</v>
      </c>
      <c r="R942" s="45">
        <v>0</v>
      </c>
      <c r="S942" s="45">
        <f t="shared" si="102"/>
        <v>0</v>
      </c>
      <c r="T942" s="45">
        <f t="shared" si="103"/>
        <v>0</v>
      </c>
      <c r="U942" s="47">
        <f t="shared" si="104"/>
        <v>818.55051999999989</v>
      </c>
    </row>
    <row r="943" spans="1:21" x14ac:dyDescent="0.3">
      <c r="A943" s="41" t="str">
        <f t="shared" si="98"/>
        <v>PFOROU</v>
      </c>
      <c r="B943" s="43">
        <v>45642</v>
      </c>
      <c r="C943" s="10" t="s">
        <v>985</v>
      </c>
      <c r="D943" s="10" t="s">
        <v>65</v>
      </c>
      <c r="E943" s="10" t="s">
        <v>2</v>
      </c>
      <c r="F943" s="10" t="s">
        <v>23</v>
      </c>
      <c r="G943" s="10" t="s">
        <v>46</v>
      </c>
      <c r="H943" s="10" t="s">
        <v>47</v>
      </c>
      <c r="I943" s="45">
        <v>3001</v>
      </c>
      <c r="J943" s="11">
        <v>0</v>
      </c>
      <c r="K943" s="45">
        <f t="shared" si="99"/>
        <v>3001</v>
      </c>
      <c r="L943" s="10">
        <v>10</v>
      </c>
      <c r="M943" s="10">
        <v>3.8</v>
      </c>
      <c r="N943" s="10" t="b">
        <v>0</v>
      </c>
      <c r="O943" s="41"/>
      <c r="P943" s="45">
        <f t="shared" si="100"/>
        <v>1260.4199999999998</v>
      </c>
      <c r="Q943" s="45">
        <f t="shared" si="101"/>
        <v>1740.5800000000002</v>
      </c>
      <c r="R943" s="45">
        <v>0</v>
      </c>
      <c r="S943" s="45">
        <f t="shared" si="102"/>
        <v>0</v>
      </c>
      <c r="T943" s="45">
        <f t="shared" si="103"/>
        <v>0</v>
      </c>
      <c r="U943" s="47">
        <f t="shared" si="104"/>
        <v>1740.5800000000002</v>
      </c>
    </row>
    <row r="944" spans="1:21" x14ac:dyDescent="0.3">
      <c r="A944" s="41" t="str">
        <f t="shared" si="98"/>
        <v>PFORSH</v>
      </c>
      <c r="B944" s="43">
        <v>45643</v>
      </c>
      <c r="C944" s="10" t="s">
        <v>986</v>
      </c>
      <c r="D944" s="10" t="s">
        <v>65</v>
      </c>
      <c r="E944" s="10" t="s">
        <v>18</v>
      </c>
      <c r="F944" s="10" t="s">
        <v>4</v>
      </c>
      <c r="G944" s="10" t="s">
        <v>38</v>
      </c>
      <c r="H944" s="10" t="s">
        <v>88</v>
      </c>
      <c r="I944" s="45">
        <v>3451</v>
      </c>
      <c r="J944" s="11">
        <v>0</v>
      </c>
      <c r="K944" s="45">
        <f t="shared" si="99"/>
        <v>3451</v>
      </c>
      <c r="L944" s="10">
        <v>27</v>
      </c>
      <c r="M944" s="10">
        <v>4.0999999999999996</v>
      </c>
      <c r="N944" s="10" t="b">
        <v>0</v>
      </c>
      <c r="O944" s="41"/>
      <c r="P944" s="45">
        <f t="shared" si="100"/>
        <v>1449.4199999999998</v>
      </c>
      <c r="Q944" s="45">
        <f t="shared" si="101"/>
        <v>2001.5800000000002</v>
      </c>
      <c r="R944" s="45">
        <v>0</v>
      </c>
      <c r="S944" s="45">
        <f t="shared" si="102"/>
        <v>0</v>
      </c>
      <c r="T944" s="45">
        <f t="shared" si="103"/>
        <v>0</v>
      </c>
      <c r="U944" s="47">
        <f t="shared" si="104"/>
        <v>2001.5800000000002</v>
      </c>
    </row>
    <row r="945" spans="1:21" x14ac:dyDescent="0.3">
      <c r="A945" s="41" t="str">
        <f t="shared" si="98"/>
        <v>PFOROU</v>
      </c>
      <c r="B945" s="43">
        <v>45643</v>
      </c>
      <c r="C945" s="10" t="s">
        <v>987</v>
      </c>
      <c r="D945" s="10" t="s">
        <v>65</v>
      </c>
      <c r="E945" s="10" t="s">
        <v>2</v>
      </c>
      <c r="F945" s="10" t="s">
        <v>54</v>
      </c>
      <c r="G945" s="10" t="s">
        <v>5</v>
      </c>
      <c r="H945" s="10" t="s">
        <v>6</v>
      </c>
      <c r="I945" s="45">
        <v>3063</v>
      </c>
      <c r="J945" s="11">
        <v>0</v>
      </c>
      <c r="K945" s="45">
        <f t="shared" si="99"/>
        <v>3063</v>
      </c>
      <c r="L945" s="10">
        <v>50</v>
      </c>
      <c r="M945" s="10">
        <v>1.9</v>
      </c>
      <c r="N945" s="10" t="b">
        <v>0</v>
      </c>
      <c r="O945" s="41"/>
      <c r="P945" s="45">
        <f t="shared" si="100"/>
        <v>1286.46</v>
      </c>
      <c r="Q945" s="45">
        <f t="shared" si="101"/>
        <v>1776.54</v>
      </c>
      <c r="R945" s="45">
        <v>0</v>
      </c>
      <c r="S945" s="45">
        <f t="shared" si="102"/>
        <v>0</v>
      </c>
      <c r="T945" s="45">
        <f t="shared" si="103"/>
        <v>0</v>
      </c>
      <c r="U945" s="47">
        <f t="shared" si="104"/>
        <v>1776.54</v>
      </c>
    </row>
    <row r="946" spans="1:21" x14ac:dyDescent="0.3">
      <c r="A946" s="41" t="str">
        <f t="shared" si="98"/>
        <v>PMANDR</v>
      </c>
      <c r="B946" s="43">
        <v>45643</v>
      </c>
      <c r="C946" s="10" t="s">
        <v>988</v>
      </c>
      <c r="D946" s="10" t="s">
        <v>31</v>
      </c>
      <c r="E946" s="10" t="s">
        <v>30</v>
      </c>
      <c r="F946" s="10" t="s">
        <v>54</v>
      </c>
      <c r="G946" s="10" t="s">
        <v>12</v>
      </c>
      <c r="H946" s="10" t="s">
        <v>35</v>
      </c>
      <c r="I946" s="45">
        <v>2727</v>
      </c>
      <c r="J946" s="11">
        <v>0</v>
      </c>
      <c r="K946" s="45">
        <f t="shared" si="99"/>
        <v>2727</v>
      </c>
      <c r="L946" s="10">
        <v>32</v>
      </c>
      <c r="M946" s="10">
        <v>3</v>
      </c>
      <c r="N946" s="10" t="b">
        <v>0</v>
      </c>
      <c r="O946" s="41"/>
      <c r="P946" s="45">
        <f t="shared" si="100"/>
        <v>1145.3399999999999</v>
      </c>
      <c r="Q946" s="45">
        <f t="shared" si="101"/>
        <v>1581.66</v>
      </c>
      <c r="R946" s="45">
        <v>0</v>
      </c>
      <c r="S946" s="45">
        <f t="shared" si="102"/>
        <v>0</v>
      </c>
      <c r="T946" s="45">
        <f t="shared" si="103"/>
        <v>0</v>
      </c>
      <c r="U946" s="47">
        <f t="shared" si="104"/>
        <v>1581.66</v>
      </c>
    </row>
    <row r="947" spans="1:21" x14ac:dyDescent="0.3">
      <c r="A947" s="41" t="str">
        <f t="shared" si="98"/>
        <v>PGAPAC</v>
      </c>
      <c r="B947" s="43">
        <v>45643</v>
      </c>
      <c r="C947" s="10" t="s">
        <v>989</v>
      </c>
      <c r="D947" s="10" t="s">
        <v>53</v>
      </c>
      <c r="E947" s="10" t="s">
        <v>15</v>
      </c>
      <c r="F947" s="10" t="s">
        <v>23</v>
      </c>
      <c r="G947" s="10" t="s">
        <v>7</v>
      </c>
      <c r="H947" s="10" t="s">
        <v>32</v>
      </c>
      <c r="I947" s="45">
        <v>447</v>
      </c>
      <c r="J947" s="11">
        <v>0.19</v>
      </c>
      <c r="K947" s="45">
        <f t="shared" si="99"/>
        <v>362.07000000000005</v>
      </c>
      <c r="L947" s="10">
        <v>22</v>
      </c>
      <c r="M947" s="10">
        <v>1.3</v>
      </c>
      <c r="N947" s="10" t="b">
        <v>0</v>
      </c>
      <c r="O947" s="41"/>
      <c r="P947" s="45">
        <f t="shared" si="100"/>
        <v>152.0694</v>
      </c>
      <c r="Q947" s="45">
        <f t="shared" si="101"/>
        <v>210.00060000000005</v>
      </c>
      <c r="R947" s="45">
        <v>0</v>
      </c>
      <c r="S947" s="45">
        <f t="shared" si="102"/>
        <v>0</v>
      </c>
      <c r="T947" s="45">
        <f t="shared" si="103"/>
        <v>0</v>
      </c>
      <c r="U947" s="47">
        <f t="shared" si="104"/>
        <v>210.00060000000005</v>
      </c>
    </row>
    <row r="948" spans="1:21" x14ac:dyDescent="0.3">
      <c r="A948" s="41" t="str">
        <f t="shared" si="98"/>
        <v>PZARBO</v>
      </c>
      <c r="B948" s="43">
        <v>45644</v>
      </c>
      <c r="C948" s="10" t="s">
        <v>990</v>
      </c>
      <c r="D948" s="10" t="s">
        <v>3</v>
      </c>
      <c r="E948" s="10" t="s">
        <v>26</v>
      </c>
      <c r="F948" s="10" t="s">
        <v>4</v>
      </c>
      <c r="G948" s="10" t="s">
        <v>38</v>
      </c>
      <c r="H948" s="10" t="s">
        <v>7</v>
      </c>
      <c r="I948" s="45">
        <v>2654</v>
      </c>
      <c r="J948" s="11">
        <v>0</v>
      </c>
      <c r="K948" s="45">
        <f t="shared" si="99"/>
        <v>2654</v>
      </c>
      <c r="L948" s="10">
        <v>35</v>
      </c>
      <c r="M948" s="10"/>
      <c r="N948" s="10" t="b">
        <v>0</v>
      </c>
      <c r="O948" s="41"/>
      <c r="P948" s="45">
        <f t="shared" si="100"/>
        <v>1114.68</v>
      </c>
      <c r="Q948" s="45">
        <f t="shared" si="101"/>
        <v>1539.32</v>
      </c>
      <c r="R948" s="45">
        <v>0</v>
      </c>
      <c r="S948" s="45">
        <f t="shared" si="102"/>
        <v>0</v>
      </c>
      <c r="T948" s="45">
        <f t="shared" si="103"/>
        <v>0</v>
      </c>
      <c r="U948" s="47">
        <f t="shared" si="104"/>
        <v>1539.32</v>
      </c>
    </row>
    <row r="949" spans="1:21" x14ac:dyDescent="0.3">
      <c r="A949" s="41" t="str">
        <f t="shared" si="98"/>
        <v>PANNAC</v>
      </c>
      <c r="B949" s="43">
        <v>45644</v>
      </c>
      <c r="C949" s="10" t="s">
        <v>991</v>
      </c>
      <c r="D949" s="10" t="s">
        <v>42</v>
      </c>
      <c r="E949" s="10" t="s">
        <v>15</v>
      </c>
      <c r="F949" s="10" t="s">
        <v>23</v>
      </c>
      <c r="G949" s="10" t="s">
        <v>7</v>
      </c>
      <c r="H949" s="10" t="s">
        <v>28</v>
      </c>
      <c r="I949" s="45">
        <v>268</v>
      </c>
      <c r="J949" s="11">
        <v>0</v>
      </c>
      <c r="K949" s="45">
        <f t="shared" si="99"/>
        <v>268</v>
      </c>
      <c r="L949" s="10">
        <v>22</v>
      </c>
      <c r="M949" s="10">
        <v>2.2999999999999998</v>
      </c>
      <c r="N949" s="10" t="b">
        <v>0</v>
      </c>
      <c r="O949" s="41"/>
      <c r="P949" s="45">
        <f t="shared" si="100"/>
        <v>112.56</v>
      </c>
      <c r="Q949" s="45">
        <f t="shared" si="101"/>
        <v>155.44</v>
      </c>
      <c r="R949" s="45">
        <v>0</v>
      </c>
      <c r="S949" s="45">
        <f t="shared" si="102"/>
        <v>0</v>
      </c>
      <c r="T949" s="45">
        <f t="shared" si="103"/>
        <v>0</v>
      </c>
      <c r="U949" s="47">
        <f t="shared" si="104"/>
        <v>155.44</v>
      </c>
    </row>
    <row r="950" spans="1:21" x14ac:dyDescent="0.3">
      <c r="A950" s="41" t="str">
        <f t="shared" si="98"/>
        <v>PANNAC</v>
      </c>
      <c r="B950" s="43">
        <v>45644</v>
      </c>
      <c r="C950" s="10" t="s">
        <v>992</v>
      </c>
      <c r="D950" s="10" t="s">
        <v>42</v>
      </c>
      <c r="E950" s="10" t="s">
        <v>15</v>
      </c>
      <c r="F950" s="10" t="s">
        <v>4</v>
      </c>
      <c r="G950" s="10" t="s">
        <v>7</v>
      </c>
      <c r="H950" s="10" t="s">
        <v>58</v>
      </c>
      <c r="I950" s="45">
        <v>296</v>
      </c>
      <c r="J950" s="11">
        <v>0</v>
      </c>
      <c r="K950" s="45">
        <f t="shared" si="99"/>
        <v>296</v>
      </c>
      <c r="L950" s="10">
        <v>0</v>
      </c>
      <c r="M950" s="10">
        <v>1.4</v>
      </c>
      <c r="N950" s="10" t="b">
        <v>0</v>
      </c>
      <c r="O950" s="41"/>
      <c r="P950" s="45">
        <f t="shared" si="100"/>
        <v>124.32</v>
      </c>
      <c r="Q950" s="45">
        <f t="shared" si="101"/>
        <v>171.68</v>
      </c>
      <c r="R950" s="45">
        <v>0</v>
      </c>
      <c r="S950" s="45">
        <f t="shared" si="102"/>
        <v>0</v>
      </c>
      <c r="T950" s="45">
        <f t="shared" si="103"/>
        <v>0</v>
      </c>
      <c r="U950" s="47">
        <f t="shared" si="104"/>
        <v>171.68</v>
      </c>
    </row>
    <row r="951" spans="1:21" x14ac:dyDescent="0.3">
      <c r="A951" s="41" t="str">
        <f t="shared" si="98"/>
        <v>PGAPAC</v>
      </c>
      <c r="B951" s="43">
        <v>45644</v>
      </c>
      <c r="C951" s="10" t="s">
        <v>993</v>
      </c>
      <c r="D951" s="10" t="s">
        <v>53</v>
      </c>
      <c r="E951" s="10" t="s">
        <v>15</v>
      </c>
      <c r="F951" s="10" t="s">
        <v>23</v>
      </c>
      <c r="G951" s="10" t="s">
        <v>7</v>
      </c>
      <c r="H951" s="10" t="s">
        <v>43</v>
      </c>
      <c r="I951" s="45">
        <v>188</v>
      </c>
      <c r="J951" s="11">
        <v>0</v>
      </c>
      <c r="K951" s="45">
        <f t="shared" si="99"/>
        <v>188</v>
      </c>
      <c r="L951" s="10">
        <v>39</v>
      </c>
      <c r="M951" s="10">
        <v>4</v>
      </c>
      <c r="N951" s="10" t="b">
        <v>0</v>
      </c>
      <c r="O951" s="41"/>
      <c r="P951" s="45">
        <f t="shared" si="100"/>
        <v>78.959999999999994</v>
      </c>
      <c r="Q951" s="45">
        <f t="shared" si="101"/>
        <v>109.04</v>
      </c>
      <c r="R951" s="45">
        <v>0</v>
      </c>
      <c r="S951" s="45">
        <f t="shared" si="102"/>
        <v>0</v>
      </c>
      <c r="T951" s="45">
        <f t="shared" si="103"/>
        <v>0</v>
      </c>
      <c r="U951" s="47">
        <f t="shared" si="104"/>
        <v>109.04</v>
      </c>
    </row>
    <row r="952" spans="1:21" x14ac:dyDescent="0.3">
      <c r="A952" s="41" t="str">
        <f t="shared" si="98"/>
        <v>PFOROU</v>
      </c>
      <c r="B952" s="43">
        <v>45645</v>
      </c>
      <c r="C952" s="10" t="s">
        <v>994</v>
      </c>
      <c r="D952" s="10" t="s">
        <v>65</v>
      </c>
      <c r="E952" s="10" t="s">
        <v>2</v>
      </c>
      <c r="F952" s="10" t="s">
        <v>11</v>
      </c>
      <c r="G952" s="10" t="s">
        <v>12</v>
      </c>
      <c r="H952" s="10" t="s">
        <v>58</v>
      </c>
      <c r="I952" s="45">
        <v>3915</v>
      </c>
      <c r="J952" s="11">
        <v>0.16899999999999998</v>
      </c>
      <c r="K952" s="45">
        <f t="shared" si="99"/>
        <v>3253.3649999999998</v>
      </c>
      <c r="L952" s="10">
        <v>43</v>
      </c>
      <c r="M952" s="10">
        <v>4.3</v>
      </c>
      <c r="N952" s="10" t="b">
        <v>0</v>
      </c>
      <c r="O952" s="41"/>
      <c r="P952" s="45">
        <f t="shared" si="100"/>
        <v>1366.4132999999999</v>
      </c>
      <c r="Q952" s="45">
        <f t="shared" si="101"/>
        <v>1886.9516999999998</v>
      </c>
      <c r="R952" s="45">
        <v>0</v>
      </c>
      <c r="S952" s="45">
        <f t="shared" si="102"/>
        <v>0</v>
      </c>
      <c r="T952" s="45">
        <f t="shared" si="103"/>
        <v>0</v>
      </c>
      <c r="U952" s="47">
        <f t="shared" si="104"/>
        <v>1886.9516999999998</v>
      </c>
    </row>
    <row r="953" spans="1:21" x14ac:dyDescent="0.3">
      <c r="A953" s="41" t="str">
        <f t="shared" si="98"/>
        <v>PFORAC</v>
      </c>
      <c r="B953" s="43">
        <v>45645</v>
      </c>
      <c r="C953" s="10" t="s">
        <v>995</v>
      </c>
      <c r="D953" s="10" t="s">
        <v>65</v>
      </c>
      <c r="E953" s="10" t="s">
        <v>15</v>
      </c>
      <c r="F953" s="10" t="s">
        <v>23</v>
      </c>
      <c r="G953" s="10" t="s">
        <v>7</v>
      </c>
      <c r="H953" s="10" t="s">
        <v>32</v>
      </c>
      <c r="I953" s="45">
        <v>256</v>
      </c>
      <c r="J953" s="11">
        <v>0</v>
      </c>
      <c r="K953" s="45">
        <f t="shared" si="99"/>
        <v>256</v>
      </c>
      <c r="L953" s="10">
        <v>17</v>
      </c>
      <c r="M953" s="10">
        <v>2.5</v>
      </c>
      <c r="N953" s="10" t="b">
        <v>0</v>
      </c>
      <c r="O953" s="41"/>
      <c r="P953" s="45">
        <f t="shared" si="100"/>
        <v>107.52</v>
      </c>
      <c r="Q953" s="45">
        <f t="shared" si="101"/>
        <v>148.48000000000002</v>
      </c>
      <c r="R953" s="45">
        <v>0</v>
      </c>
      <c r="S953" s="45">
        <f t="shared" si="102"/>
        <v>0</v>
      </c>
      <c r="T953" s="45">
        <f t="shared" si="103"/>
        <v>0</v>
      </c>
      <c r="U953" s="47">
        <f t="shared" si="104"/>
        <v>148.48000000000002</v>
      </c>
    </row>
    <row r="954" spans="1:21" x14ac:dyDescent="0.3">
      <c r="A954" s="41" t="str">
        <f t="shared" si="98"/>
        <v>PGAPBO</v>
      </c>
      <c r="B954" s="43">
        <v>45645</v>
      </c>
      <c r="C954" s="10" t="s">
        <v>996</v>
      </c>
      <c r="D954" s="10" t="s">
        <v>53</v>
      </c>
      <c r="E954" s="10" t="s">
        <v>26</v>
      </c>
      <c r="F954" s="10" t="s">
        <v>54</v>
      </c>
      <c r="G954" s="10" t="s">
        <v>46</v>
      </c>
      <c r="H954" s="10" t="s">
        <v>16</v>
      </c>
      <c r="I954" s="45">
        <v>2989</v>
      </c>
      <c r="J954" s="11">
        <v>0.34</v>
      </c>
      <c r="K954" s="45">
        <f t="shared" si="99"/>
        <v>1972.7399999999998</v>
      </c>
      <c r="L954" s="10">
        <v>23</v>
      </c>
      <c r="M954" s="10">
        <v>4.3</v>
      </c>
      <c r="N954" s="10" t="b">
        <v>1</v>
      </c>
      <c r="O954" s="41" t="s">
        <v>33</v>
      </c>
      <c r="P954" s="45">
        <f t="shared" si="100"/>
        <v>828.55079999999987</v>
      </c>
      <c r="Q954" s="45">
        <f t="shared" si="101"/>
        <v>1144.1891999999998</v>
      </c>
      <c r="R954" s="45">
        <v>150</v>
      </c>
      <c r="S954" s="45">
        <f t="shared" si="102"/>
        <v>197.274</v>
      </c>
      <c r="T954" s="45">
        <f t="shared" si="103"/>
        <v>1972.7399999999998</v>
      </c>
      <c r="U954" s="47">
        <f t="shared" si="104"/>
        <v>-1175.8247999999999</v>
      </c>
    </row>
    <row r="955" spans="1:21" x14ac:dyDescent="0.3">
      <c r="A955" s="41" t="str">
        <f t="shared" si="98"/>
        <v>PUNISH</v>
      </c>
      <c r="B955" s="43">
        <v>45646</v>
      </c>
      <c r="C955" s="10" t="s">
        <v>997</v>
      </c>
      <c r="D955" s="10" t="s">
        <v>10</v>
      </c>
      <c r="E955" s="10" t="s">
        <v>18</v>
      </c>
      <c r="F955" s="10" t="s">
        <v>23</v>
      </c>
      <c r="G955" s="10" t="s">
        <v>46</v>
      </c>
      <c r="H955" s="10" t="s">
        <v>13</v>
      </c>
      <c r="I955" s="45">
        <v>4217</v>
      </c>
      <c r="J955" s="11">
        <v>0</v>
      </c>
      <c r="K955" s="45">
        <f t="shared" si="99"/>
        <v>4217</v>
      </c>
      <c r="L955" s="10">
        <v>18</v>
      </c>
      <c r="M955" s="10"/>
      <c r="N955" s="10" t="b">
        <v>0</v>
      </c>
      <c r="O955" s="41"/>
      <c r="P955" s="45">
        <f t="shared" si="100"/>
        <v>1771.1399999999999</v>
      </c>
      <c r="Q955" s="45">
        <f t="shared" si="101"/>
        <v>2445.86</v>
      </c>
      <c r="R955" s="45">
        <v>0</v>
      </c>
      <c r="S955" s="45">
        <f t="shared" si="102"/>
        <v>0</v>
      </c>
      <c r="T955" s="45">
        <f t="shared" si="103"/>
        <v>0</v>
      </c>
      <c r="U955" s="47">
        <f t="shared" si="104"/>
        <v>2445.86</v>
      </c>
    </row>
    <row r="956" spans="1:21" x14ac:dyDescent="0.3">
      <c r="A956" s="41" t="str">
        <f t="shared" si="98"/>
        <v>PZARSH</v>
      </c>
      <c r="B956" s="43">
        <v>45646</v>
      </c>
      <c r="C956" s="10" t="s">
        <v>998</v>
      </c>
      <c r="D956" s="10" t="s">
        <v>3</v>
      </c>
      <c r="E956" s="10" t="s">
        <v>18</v>
      </c>
      <c r="F956" s="10" t="s">
        <v>23</v>
      </c>
      <c r="G956" s="10" t="s">
        <v>49</v>
      </c>
      <c r="H956" s="10" t="s">
        <v>13</v>
      </c>
      <c r="I956" s="45">
        <v>3166</v>
      </c>
      <c r="J956" s="11">
        <v>0</v>
      </c>
      <c r="K956" s="45">
        <f t="shared" si="99"/>
        <v>3166</v>
      </c>
      <c r="L956" s="10">
        <v>8</v>
      </c>
      <c r="M956" s="10">
        <v>2.2000000000000002</v>
      </c>
      <c r="N956" s="10" t="b">
        <v>1</v>
      </c>
      <c r="O956" s="41" t="s">
        <v>33</v>
      </c>
      <c r="P956" s="45">
        <f t="shared" si="100"/>
        <v>1329.72</v>
      </c>
      <c r="Q956" s="45">
        <f t="shared" si="101"/>
        <v>1836.28</v>
      </c>
      <c r="R956" s="45">
        <v>150</v>
      </c>
      <c r="S956" s="45">
        <f t="shared" si="102"/>
        <v>316.60000000000002</v>
      </c>
      <c r="T956" s="45">
        <f t="shared" si="103"/>
        <v>3166</v>
      </c>
      <c r="U956" s="47">
        <f t="shared" si="104"/>
        <v>-1796.3200000000002</v>
      </c>
    </row>
    <row r="957" spans="1:21" x14ac:dyDescent="0.3">
      <c r="A957" s="41" t="str">
        <f t="shared" si="98"/>
        <v>PUNIOU</v>
      </c>
      <c r="B957" s="43">
        <v>45646</v>
      </c>
      <c r="C957" s="10" t="s">
        <v>999</v>
      </c>
      <c r="D957" s="10" t="s">
        <v>10</v>
      </c>
      <c r="E957" s="10" t="s">
        <v>2</v>
      </c>
      <c r="F957" s="10" t="s">
        <v>23</v>
      </c>
      <c r="G957" s="10" t="s">
        <v>5</v>
      </c>
      <c r="H957" s="10" t="s">
        <v>47</v>
      </c>
      <c r="I957" s="45">
        <v>4371</v>
      </c>
      <c r="J957" s="11">
        <v>0.51900000000000002</v>
      </c>
      <c r="K957" s="45">
        <f t="shared" si="99"/>
        <v>2102.451</v>
      </c>
      <c r="L957" s="10">
        <v>15</v>
      </c>
      <c r="M957" s="10">
        <v>5</v>
      </c>
      <c r="N957" s="10" t="b">
        <v>0</v>
      </c>
      <c r="O957" s="41"/>
      <c r="P957" s="45">
        <f t="shared" si="100"/>
        <v>883.02941999999996</v>
      </c>
      <c r="Q957" s="45">
        <f t="shared" si="101"/>
        <v>1219.4215800000002</v>
      </c>
      <c r="R957" s="45">
        <v>0</v>
      </c>
      <c r="S957" s="45">
        <f t="shared" si="102"/>
        <v>0</v>
      </c>
      <c r="T957" s="45">
        <f t="shared" si="103"/>
        <v>0</v>
      </c>
      <c r="U957" s="47">
        <f t="shared" si="104"/>
        <v>1219.4215800000002</v>
      </c>
    </row>
    <row r="958" spans="1:21" x14ac:dyDescent="0.3">
      <c r="A958" s="41" t="str">
        <f t="shared" si="98"/>
        <v>PFORDR</v>
      </c>
      <c r="B958" s="43">
        <v>45646</v>
      </c>
      <c r="C958" s="10" t="s">
        <v>1000</v>
      </c>
      <c r="D958" s="10" t="s">
        <v>65</v>
      </c>
      <c r="E958" s="10" t="s">
        <v>30</v>
      </c>
      <c r="F958" s="10" t="s">
        <v>11</v>
      </c>
      <c r="G958" s="10" t="s">
        <v>49</v>
      </c>
      <c r="H958" s="10" t="s">
        <v>13</v>
      </c>
      <c r="I958" s="45">
        <v>2295</v>
      </c>
      <c r="J958" s="11">
        <v>0</v>
      </c>
      <c r="K958" s="45">
        <f t="shared" si="99"/>
        <v>2295</v>
      </c>
      <c r="L958" s="10">
        <v>36</v>
      </c>
      <c r="M958" s="10">
        <v>1.4</v>
      </c>
      <c r="N958" s="10" t="b">
        <v>0</v>
      </c>
      <c r="O958" s="41"/>
      <c r="P958" s="45">
        <f t="shared" si="100"/>
        <v>963.9</v>
      </c>
      <c r="Q958" s="45">
        <f t="shared" si="101"/>
        <v>1331.1</v>
      </c>
      <c r="R958" s="45">
        <v>0</v>
      </c>
      <c r="S958" s="45">
        <f t="shared" si="102"/>
        <v>0</v>
      </c>
      <c r="T958" s="45">
        <f t="shared" si="103"/>
        <v>0</v>
      </c>
      <c r="U958" s="47">
        <f t="shared" si="104"/>
        <v>1331.1</v>
      </c>
    </row>
    <row r="959" spans="1:21" x14ac:dyDescent="0.3">
      <c r="A959" s="41" t="str">
        <f t="shared" si="98"/>
        <v>PMANBO</v>
      </c>
      <c r="B959" s="43">
        <v>45647</v>
      </c>
      <c r="C959" s="10" t="s">
        <v>1001</v>
      </c>
      <c r="D959" s="10" t="s">
        <v>31</v>
      </c>
      <c r="E959" s="10" t="s">
        <v>26</v>
      </c>
      <c r="F959" s="10" t="s">
        <v>54</v>
      </c>
      <c r="G959" s="10" t="s">
        <v>38</v>
      </c>
      <c r="H959" s="10" t="s">
        <v>43</v>
      </c>
      <c r="I959" s="45">
        <v>2920</v>
      </c>
      <c r="J959" s="11">
        <v>0</v>
      </c>
      <c r="K959" s="45">
        <f t="shared" si="99"/>
        <v>2920</v>
      </c>
      <c r="L959" s="10">
        <v>5</v>
      </c>
      <c r="M959" s="10">
        <v>4.5999999999999996</v>
      </c>
      <c r="N959" s="10" t="b">
        <v>0</v>
      </c>
      <c r="O959" s="41"/>
      <c r="P959" s="45">
        <f t="shared" si="100"/>
        <v>1226.3999999999999</v>
      </c>
      <c r="Q959" s="45">
        <f t="shared" si="101"/>
        <v>1693.6000000000001</v>
      </c>
      <c r="R959" s="45">
        <v>0</v>
      </c>
      <c r="S959" s="45">
        <f t="shared" si="102"/>
        <v>0</v>
      </c>
      <c r="T959" s="45">
        <f t="shared" si="103"/>
        <v>0</v>
      </c>
      <c r="U959" s="47">
        <f t="shared" si="104"/>
        <v>1693.6000000000001</v>
      </c>
    </row>
    <row r="960" spans="1:21" x14ac:dyDescent="0.3">
      <c r="A960" s="41" t="str">
        <f t="shared" si="98"/>
        <v>PFORAC</v>
      </c>
      <c r="B960" s="43">
        <v>45647</v>
      </c>
      <c r="C960" s="10" t="s">
        <v>1002</v>
      </c>
      <c r="D960" s="10" t="s">
        <v>65</v>
      </c>
      <c r="E960" s="10" t="s">
        <v>15</v>
      </c>
      <c r="F960" s="10" t="s">
        <v>4</v>
      </c>
      <c r="G960" s="10" t="s">
        <v>7</v>
      </c>
      <c r="H960" s="10" t="s">
        <v>13</v>
      </c>
      <c r="I960" s="45">
        <v>213</v>
      </c>
      <c r="J960" s="11">
        <v>0.38799999999999996</v>
      </c>
      <c r="K960" s="45">
        <f t="shared" si="99"/>
        <v>130.35600000000002</v>
      </c>
      <c r="L960" s="10">
        <v>43</v>
      </c>
      <c r="M960" s="10">
        <v>1.1000000000000001</v>
      </c>
      <c r="N960" s="10" t="b">
        <v>1</v>
      </c>
      <c r="O960" s="41" t="s">
        <v>33</v>
      </c>
      <c r="P960" s="45">
        <f t="shared" si="100"/>
        <v>54.749520000000011</v>
      </c>
      <c r="Q960" s="45">
        <f t="shared" si="101"/>
        <v>75.606480000000005</v>
      </c>
      <c r="R960" s="45">
        <v>150</v>
      </c>
      <c r="S960" s="45">
        <f t="shared" si="102"/>
        <v>13.035600000000002</v>
      </c>
      <c r="T960" s="45">
        <f t="shared" si="103"/>
        <v>130.35600000000002</v>
      </c>
      <c r="U960" s="47">
        <f t="shared" si="104"/>
        <v>-217.78512000000001</v>
      </c>
    </row>
    <row r="961" spans="1:21" x14ac:dyDescent="0.3">
      <c r="A961" s="41" t="str">
        <f t="shared" si="98"/>
        <v>PZARTO</v>
      </c>
      <c r="B961" s="43">
        <v>45647</v>
      </c>
      <c r="C961" s="10" t="s">
        <v>1003</v>
      </c>
      <c r="D961" s="10" t="s">
        <v>3</v>
      </c>
      <c r="E961" s="10" t="s">
        <v>9</v>
      </c>
      <c r="F961" s="10" t="s">
        <v>4</v>
      </c>
      <c r="G961" s="10" t="s">
        <v>7</v>
      </c>
      <c r="H961" s="10" t="s">
        <v>88</v>
      </c>
      <c r="I961" s="45">
        <v>1489</v>
      </c>
      <c r="J961" s="11">
        <v>5.5E-2</v>
      </c>
      <c r="K961" s="45">
        <f t="shared" si="99"/>
        <v>1407.105</v>
      </c>
      <c r="L961" s="10">
        <v>25</v>
      </c>
      <c r="M961" s="10">
        <v>1.4</v>
      </c>
      <c r="N961" s="10" t="b">
        <v>1</v>
      </c>
      <c r="O961" s="41" t="s">
        <v>44</v>
      </c>
      <c r="P961" s="45">
        <f t="shared" si="100"/>
        <v>590.98410000000001</v>
      </c>
      <c r="Q961" s="45">
        <f t="shared" si="101"/>
        <v>816.12090000000001</v>
      </c>
      <c r="R961" s="45">
        <v>150</v>
      </c>
      <c r="S961" s="45">
        <f t="shared" si="102"/>
        <v>140.7105</v>
      </c>
      <c r="T961" s="45">
        <f t="shared" si="103"/>
        <v>1407.105</v>
      </c>
      <c r="U961" s="47">
        <f t="shared" si="104"/>
        <v>-881.69460000000004</v>
      </c>
    </row>
    <row r="962" spans="1:21" x14ac:dyDescent="0.3">
      <c r="A962" s="41" t="str">
        <f t="shared" ref="A962:A1025" si="105">UPPER("P"&amp;LEFT(D962,3)&amp;LEFT(E962,2))</f>
        <v>PMANOU</v>
      </c>
      <c r="B962" s="43">
        <v>45647</v>
      </c>
      <c r="C962" s="10" t="s">
        <v>1004</v>
      </c>
      <c r="D962" s="10" t="s">
        <v>31</v>
      </c>
      <c r="E962" s="10" t="s">
        <v>2</v>
      </c>
      <c r="F962" s="10" t="s">
        <v>54</v>
      </c>
      <c r="G962" s="10" t="s">
        <v>27</v>
      </c>
      <c r="H962" s="10" t="s">
        <v>32</v>
      </c>
      <c r="I962" s="45">
        <v>4398</v>
      </c>
      <c r="J962" s="11">
        <v>0</v>
      </c>
      <c r="K962" s="45">
        <f t="shared" si="99"/>
        <v>4398</v>
      </c>
      <c r="L962" s="10">
        <v>35</v>
      </c>
      <c r="M962" s="10">
        <v>3.5</v>
      </c>
      <c r="N962" s="10" t="b">
        <v>0</v>
      </c>
      <c r="O962" s="41"/>
      <c r="P962" s="45">
        <f t="shared" si="100"/>
        <v>1847.1599999999999</v>
      </c>
      <c r="Q962" s="45">
        <f t="shared" si="101"/>
        <v>2550.84</v>
      </c>
      <c r="R962" s="45">
        <v>0</v>
      </c>
      <c r="S962" s="45">
        <f t="shared" si="102"/>
        <v>0</v>
      </c>
      <c r="T962" s="45">
        <f t="shared" si="103"/>
        <v>0</v>
      </c>
      <c r="U962" s="47">
        <f t="shared" si="104"/>
        <v>2550.84</v>
      </c>
    </row>
    <row r="963" spans="1:21" x14ac:dyDescent="0.3">
      <c r="A963" s="41" t="str">
        <f t="shared" si="105"/>
        <v>PFORDR</v>
      </c>
      <c r="B963" s="43">
        <v>45648</v>
      </c>
      <c r="C963" s="10" t="s">
        <v>1005</v>
      </c>
      <c r="D963" s="10" t="s">
        <v>65</v>
      </c>
      <c r="E963" s="10" t="s">
        <v>30</v>
      </c>
      <c r="F963" s="10" t="s">
        <v>23</v>
      </c>
      <c r="G963" s="10" t="s">
        <v>27</v>
      </c>
      <c r="H963" s="10" t="s">
        <v>43</v>
      </c>
      <c r="I963" s="45">
        <v>2606</v>
      </c>
      <c r="J963" s="11">
        <v>0</v>
      </c>
      <c r="K963" s="45">
        <f t="shared" ref="K963:K1026" si="106">I963*(1-J963)</f>
        <v>2606</v>
      </c>
      <c r="L963" s="10">
        <v>41</v>
      </c>
      <c r="M963" s="10">
        <v>1.2</v>
      </c>
      <c r="N963" s="10" t="b">
        <v>0</v>
      </c>
      <c r="O963" s="41"/>
      <c r="P963" s="45">
        <f t="shared" ref="P963:P1026" si="107">K963*0.42</f>
        <v>1094.52</v>
      </c>
      <c r="Q963" s="45">
        <f t="shared" ref="Q963:Q1026" si="108">K963-P963</f>
        <v>1511.48</v>
      </c>
      <c r="R963" s="45">
        <v>0</v>
      </c>
      <c r="S963" s="45">
        <f t="shared" ref="S963:S1026" si="109">IF(N963=TRUE,K963*0.1,0)</f>
        <v>0</v>
      </c>
      <c r="T963" s="45">
        <f t="shared" ref="T963:T1026" si="110">IF(N963=TRUE,K963,0)</f>
        <v>0</v>
      </c>
      <c r="U963" s="47">
        <f t="shared" ref="U963:U1026" si="111">Q963-R963-S963-T963</f>
        <v>1511.48</v>
      </c>
    </row>
    <row r="964" spans="1:21" x14ac:dyDescent="0.3">
      <c r="A964" s="41" t="str">
        <f t="shared" si="105"/>
        <v>PH&amp;MSH</v>
      </c>
      <c r="B964" s="43">
        <v>45648</v>
      </c>
      <c r="C964" s="10" t="s">
        <v>1006</v>
      </c>
      <c r="D964" s="10" t="s">
        <v>37</v>
      </c>
      <c r="E964" s="10" t="s">
        <v>18</v>
      </c>
      <c r="F964" s="10" t="s">
        <v>54</v>
      </c>
      <c r="G964" s="10" t="s">
        <v>49</v>
      </c>
      <c r="H964" s="10" t="s">
        <v>56</v>
      </c>
      <c r="I964" s="45">
        <v>3770</v>
      </c>
      <c r="J964" s="11">
        <v>0.42100000000000004</v>
      </c>
      <c r="K964" s="45">
        <f t="shared" si="106"/>
        <v>2182.83</v>
      </c>
      <c r="L964" s="10">
        <v>28</v>
      </c>
      <c r="M964" s="10">
        <v>4</v>
      </c>
      <c r="N964" s="10" t="b">
        <v>0</v>
      </c>
      <c r="O964" s="41"/>
      <c r="P964" s="45">
        <f t="shared" si="107"/>
        <v>916.78859999999997</v>
      </c>
      <c r="Q964" s="45">
        <f t="shared" si="108"/>
        <v>1266.0414000000001</v>
      </c>
      <c r="R964" s="45">
        <v>0</v>
      </c>
      <c r="S964" s="45">
        <f t="shared" si="109"/>
        <v>0</v>
      </c>
      <c r="T964" s="45">
        <f t="shared" si="110"/>
        <v>0</v>
      </c>
      <c r="U964" s="47">
        <f t="shared" si="111"/>
        <v>1266.0414000000001</v>
      </c>
    </row>
    <row r="965" spans="1:21" x14ac:dyDescent="0.3">
      <c r="A965" s="41" t="str">
        <f t="shared" si="105"/>
        <v>PMANTO</v>
      </c>
      <c r="B965" s="43">
        <v>45648</v>
      </c>
      <c r="C965" s="10" t="s">
        <v>1007</v>
      </c>
      <c r="D965" s="10" t="s">
        <v>31</v>
      </c>
      <c r="E965" s="10" t="s">
        <v>9</v>
      </c>
      <c r="F965" s="10" t="s">
        <v>54</v>
      </c>
      <c r="G965" s="10" t="s">
        <v>38</v>
      </c>
      <c r="H965" s="10" t="s">
        <v>13</v>
      </c>
      <c r="I965" s="45">
        <v>1346</v>
      </c>
      <c r="J965" s="11">
        <v>0</v>
      </c>
      <c r="K965" s="45">
        <f t="shared" si="106"/>
        <v>1346</v>
      </c>
      <c r="L965" s="10">
        <v>12</v>
      </c>
      <c r="M965" s="10">
        <v>2.7</v>
      </c>
      <c r="N965" s="10" t="b">
        <v>0</v>
      </c>
      <c r="O965" s="41"/>
      <c r="P965" s="45">
        <f t="shared" si="107"/>
        <v>565.31999999999994</v>
      </c>
      <c r="Q965" s="45">
        <f t="shared" si="108"/>
        <v>780.68000000000006</v>
      </c>
      <c r="R965" s="45">
        <v>0</v>
      </c>
      <c r="S965" s="45">
        <f t="shared" si="109"/>
        <v>0</v>
      </c>
      <c r="T965" s="45">
        <f t="shared" si="110"/>
        <v>0</v>
      </c>
      <c r="U965" s="47">
        <f t="shared" si="111"/>
        <v>780.68000000000006</v>
      </c>
    </row>
    <row r="966" spans="1:21" x14ac:dyDescent="0.3">
      <c r="A966" s="41" t="str">
        <f t="shared" si="105"/>
        <v>PMANSH</v>
      </c>
      <c r="B966" s="43">
        <v>45649</v>
      </c>
      <c r="C966" s="10" t="s">
        <v>1008</v>
      </c>
      <c r="D966" s="10" t="s">
        <v>31</v>
      </c>
      <c r="E966" s="10" t="s">
        <v>18</v>
      </c>
      <c r="F966" s="10" t="s">
        <v>4</v>
      </c>
      <c r="G966" s="10" t="s">
        <v>38</v>
      </c>
      <c r="H966" s="10" t="s">
        <v>35</v>
      </c>
      <c r="I966" s="45">
        <v>3709</v>
      </c>
      <c r="J966" s="11">
        <v>0.23600000000000002</v>
      </c>
      <c r="K966" s="45">
        <f t="shared" si="106"/>
        <v>2833.6759999999999</v>
      </c>
      <c r="L966" s="10">
        <v>32</v>
      </c>
      <c r="M966" s="10">
        <v>2.2000000000000002</v>
      </c>
      <c r="N966" s="10" t="b">
        <v>1</v>
      </c>
      <c r="O966" s="41" t="s">
        <v>309</v>
      </c>
      <c r="P966" s="45">
        <f t="shared" si="107"/>
        <v>1190.14392</v>
      </c>
      <c r="Q966" s="45">
        <f t="shared" si="108"/>
        <v>1643.53208</v>
      </c>
      <c r="R966" s="45">
        <v>150</v>
      </c>
      <c r="S966" s="45">
        <f t="shared" si="109"/>
        <v>283.36759999999998</v>
      </c>
      <c r="T966" s="45">
        <f t="shared" si="110"/>
        <v>2833.6759999999999</v>
      </c>
      <c r="U966" s="47">
        <f t="shared" si="111"/>
        <v>-1623.51152</v>
      </c>
    </row>
    <row r="967" spans="1:21" x14ac:dyDescent="0.3">
      <c r="A967" s="41" t="str">
        <f t="shared" si="105"/>
        <v>PANNSH</v>
      </c>
      <c r="B967" s="43">
        <v>45649</v>
      </c>
      <c r="C967" s="10" t="s">
        <v>1009</v>
      </c>
      <c r="D967" s="10" t="s">
        <v>42</v>
      </c>
      <c r="E967" s="10" t="s">
        <v>18</v>
      </c>
      <c r="F967" s="10" t="s">
        <v>54</v>
      </c>
      <c r="G967" s="10" t="s">
        <v>49</v>
      </c>
      <c r="H967" s="10" t="s">
        <v>7</v>
      </c>
      <c r="I967" s="45">
        <v>3328</v>
      </c>
      <c r="J967" s="11">
        <v>0.56600000000000006</v>
      </c>
      <c r="K967" s="45">
        <f t="shared" si="106"/>
        <v>1444.3519999999999</v>
      </c>
      <c r="L967" s="10">
        <v>8</v>
      </c>
      <c r="M967" s="10">
        <v>2.1</v>
      </c>
      <c r="N967" s="10" t="b">
        <v>0</v>
      </c>
      <c r="O967" s="41"/>
      <c r="P967" s="45">
        <f t="shared" si="107"/>
        <v>606.62783999999988</v>
      </c>
      <c r="Q967" s="45">
        <f t="shared" si="108"/>
        <v>837.72415999999998</v>
      </c>
      <c r="R967" s="45">
        <v>0</v>
      </c>
      <c r="S967" s="45">
        <f t="shared" si="109"/>
        <v>0</v>
      </c>
      <c r="T967" s="45">
        <f t="shared" si="110"/>
        <v>0</v>
      </c>
      <c r="U967" s="47">
        <f t="shared" si="111"/>
        <v>837.72415999999998</v>
      </c>
    </row>
    <row r="968" spans="1:21" x14ac:dyDescent="0.3">
      <c r="A968" s="41" t="str">
        <f t="shared" si="105"/>
        <v>PMANDR</v>
      </c>
      <c r="B968" s="43">
        <v>45649</v>
      </c>
      <c r="C968" s="10" t="s">
        <v>1010</v>
      </c>
      <c r="D968" s="10" t="s">
        <v>31</v>
      </c>
      <c r="E968" s="10" t="s">
        <v>30</v>
      </c>
      <c r="F968" s="10" t="s">
        <v>11</v>
      </c>
      <c r="G968" s="10" t="s">
        <v>46</v>
      </c>
      <c r="H968" s="10" t="s">
        <v>28</v>
      </c>
      <c r="I968" s="45">
        <v>2493</v>
      </c>
      <c r="J968" s="11">
        <v>6.3E-2</v>
      </c>
      <c r="K968" s="45">
        <f t="shared" si="106"/>
        <v>2335.9410000000003</v>
      </c>
      <c r="L968" s="10">
        <v>43</v>
      </c>
      <c r="M968" s="10">
        <v>3.4</v>
      </c>
      <c r="N968" s="10" t="b">
        <v>0</v>
      </c>
      <c r="O968" s="41"/>
      <c r="P968" s="45">
        <f t="shared" si="107"/>
        <v>981.09522000000004</v>
      </c>
      <c r="Q968" s="45">
        <f t="shared" si="108"/>
        <v>1354.8457800000001</v>
      </c>
      <c r="R968" s="45">
        <v>0</v>
      </c>
      <c r="S968" s="45">
        <f t="shared" si="109"/>
        <v>0</v>
      </c>
      <c r="T968" s="45">
        <f t="shared" si="110"/>
        <v>0</v>
      </c>
      <c r="U968" s="47">
        <f t="shared" si="111"/>
        <v>1354.8457800000001</v>
      </c>
    </row>
    <row r="969" spans="1:21" x14ac:dyDescent="0.3">
      <c r="A969" s="41" t="str">
        <f t="shared" si="105"/>
        <v>PANNSH</v>
      </c>
      <c r="B969" s="43">
        <v>45649</v>
      </c>
      <c r="C969" s="10" t="s">
        <v>1011</v>
      </c>
      <c r="D969" s="10" t="s">
        <v>42</v>
      </c>
      <c r="E969" s="10" t="s">
        <v>18</v>
      </c>
      <c r="F969" s="10" t="s">
        <v>23</v>
      </c>
      <c r="G969" s="10" t="s">
        <v>46</v>
      </c>
      <c r="H969" s="10" t="s">
        <v>58</v>
      </c>
      <c r="I969" s="45">
        <v>3540</v>
      </c>
      <c r="J969" s="11">
        <v>0.47399999999999998</v>
      </c>
      <c r="K969" s="45">
        <f t="shared" si="106"/>
        <v>1862.0400000000002</v>
      </c>
      <c r="L969" s="10">
        <v>45</v>
      </c>
      <c r="M969" s="10">
        <v>3</v>
      </c>
      <c r="N969" s="10" t="b">
        <v>0</v>
      </c>
      <c r="O969" s="41"/>
      <c r="P969" s="45">
        <f t="shared" si="107"/>
        <v>782.05680000000007</v>
      </c>
      <c r="Q969" s="45">
        <f t="shared" si="108"/>
        <v>1079.9832000000001</v>
      </c>
      <c r="R969" s="45">
        <v>0</v>
      </c>
      <c r="S969" s="45">
        <f t="shared" si="109"/>
        <v>0</v>
      </c>
      <c r="T969" s="45">
        <f t="shared" si="110"/>
        <v>0</v>
      </c>
      <c r="U969" s="47">
        <f t="shared" si="111"/>
        <v>1079.9832000000001</v>
      </c>
    </row>
    <row r="970" spans="1:21" x14ac:dyDescent="0.3">
      <c r="A970" s="41" t="str">
        <f t="shared" si="105"/>
        <v>PZARTO</v>
      </c>
      <c r="B970" s="43">
        <v>45650</v>
      </c>
      <c r="C970" s="10" t="s">
        <v>1012</v>
      </c>
      <c r="D970" s="10" t="s">
        <v>3</v>
      </c>
      <c r="E970" s="10" t="s">
        <v>9</v>
      </c>
      <c r="F970" s="10" t="s">
        <v>11</v>
      </c>
      <c r="G970" s="10" t="s">
        <v>12</v>
      </c>
      <c r="H970" s="10" t="s">
        <v>32</v>
      </c>
      <c r="I970" s="45">
        <v>1793</v>
      </c>
      <c r="J970" s="11">
        <v>0.28800000000000003</v>
      </c>
      <c r="K970" s="45">
        <f t="shared" si="106"/>
        <v>1276.616</v>
      </c>
      <c r="L970" s="10">
        <v>42</v>
      </c>
      <c r="M970" s="10">
        <v>3.7</v>
      </c>
      <c r="N970" s="10" t="b">
        <v>0</v>
      </c>
      <c r="O970" s="41"/>
      <c r="P970" s="45">
        <f t="shared" si="107"/>
        <v>536.17872</v>
      </c>
      <c r="Q970" s="45">
        <f t="shared" si="108"/>
        <v>740.43727999999999</v>
      </c>
      <c r="R970" s="45">
        <v>0</v>
      </c>
      <c r="S970" s="45">
        <f t="shared" si="109"/>
        <v>0</v>
      </c>
      <c r="T970" s="45">
        <f t="shared" si="110"/>
        <v>0</v>
      </c>
      <c r="U970" s="47">
        <f t="shared" si="111"/>
        <v>740.43727999999999</v>
      </c>
    </row>
    <row r="971" spans="1:21" x14ac:dyDescent="0.3">
      <c r="A971" s="41" t="str">
        <f t="shared" si="105"/>
        <v>PBANOU</v>
      </c>
      <c r="B971" s="43">
        <v>45650</v>
      </c>
      <c r="C971" s="10" t="s">
        <v>1013</v>
      </c>
      <c r="D971" s="10" t="s">
        <v>21</v>
      </c>
      <c r="E971" s="10" t="s">
        <v>2</v>
      </c>
      <c r="F971" s="10" t="s">
        <v>11</v>
      </c>
      <c r="G971" s="10" t="s">
        <v>46</v>
      </c>
      <c r="H971" s="10" t="s">
        <v>43</v>
      </c>
      <c r="I971" s="45">
        <v>4130</v>
      </c>
      <c r="J971" s="11">
        <v>0.187</v>
      </c>
      <c r="K971" s="45">
        <f t="shared" si="106"/>
        <v>3357.6899999999996</v>
      </c>
      <c r="L971" s="10">
        <v>47</v>
      </c>
      <c r="M971" s="10"/>
      <c r="N971" s="10" t="b">
        <v>0</v>
      </c>
      <c r="O971" s="41"/>
      <c r="P971" s="45">
        <f t="shared" si="107"/>
        <v>1410.2297999999998</v>
      </c>
      <c r="Q971" s="45">
        <f t="shared" si="108"/>
        <v>1947.4601999999998</v>
      </c>
      <c r="R971" s="45">
        <v>0</v>
      </c>
      <c r="S971" s="45">
        <f t="shared" si="109"/>
        <v>0</v>
      </c>
      <c r="T971" s="45">
        <f t="shared" si="110"/>
        <v>0</v>
      </c>
      <c r="U971" s="47">
        <f t="shared" si="111"/>
        <v>1947.4601999999998</v>
      </c>
    </row>
    <row r="972" spans="1:21" x14ac:dyDescent="0.3">
      <c r="A972" s="41" t="str">
        <f t="shared" si="105"/>
        <v>PFORBO</v>
      </c>
      <c r="B972" s="43">
        <v>45650</v>
      </c>
      <c r="C972" s="10" t="s">
        <v>1014</v>
      </c>
      <c r="D972" s="10" t="s">
        <v>65</v>
      </c>
      <c r="E972" s="10" t="s">
        <v>26</v>
      </c>
      <c r="F972" s="10" t="s">
        <v>23</v>
      </c>
      <c r="G972" s="10" t="s">
        <v>38</v>
      </c>
      <c r="H972" s="10" t="s">
        <v>13</v>
      </c>
      <c r="I972" s="45">
        <v>2598</v>
      </c>
      <c r="J972" s="11">
        <v>0.54500000000000004</v>
      </c>
      <c r="K972" s="45">
        <f t="shared" si="106"/>
        <v>1182.0899999999999</v>
      </c>
      <c r="L972" s="10">
        <v>34</v>
      </c>
      <c r="M972" s="10">
        <v>2.4</v>
      </c>
      <c r="N972" s="10" t="b">
        <v>0</v>
      </c>
      <c r="O972" s="41"/>
      <c r="P972" s="45">
        <f t="shared" si="107"/>
        <v>496.47779999999995</v>
      </c>
      <c r="Q972" s="45">
        <f t="shared" si="108"/>
        <v>685.61220000000003</v>
      </c>
      <c r="R972" s="45">
        <v>0</v>
      </c>
      <c r="S972" s="45">
        <f t="shared" si="109"/>
        <v>0</v>
      </c>
      <c r="T972" s="45">
        <f t="shared" si="110"/>
        <v>0</v>
      </c>
      <c r="U972" s="47">
        <f t="shared" si="111"/>
        <v>685.61220000000003</v>
      </c>
    </row>
    <row r="973" spans="1:21" x14ac:dyDescent="0.3">
      <c r="A973" s="41" t="str">
        <f t="shared" si="105"/>
        <v>PMANDR</v>
      </c>
      <c r="B973" s="43">
        <v>45650</v>
      </c>
      <c r="C973" s="10" t="s">
        <v>1015</v>
      </c>
      <c r="D973" s="10" t="s">
        <v>31</v>
      </c>
      <c r="E973" s="10" t="s">
        <v>30</v>
      </c>
      <c r="F973" s="10" t="s">
        <v>54</v>
      </c>
      <c r="G973" s="10" t="s">
        <v>5</v>
      </c>
      <c r="H973" s="10" t="s">
        <v>32</v>
      </c>
      <c r="I973" s="45">
        <v>2024</v>
      </c>
      <c r="J973" s="11">
        <v>6.6000000000000003E-2</v>
      </c>
      <c r="K973" s="45">
        <f t="shared" si="106"/>
        <v>1890.4159999999999</v>
      </c>
      <c r="L973" s="10">
        <v>17</v>
      </c>
      <c r="M973" s="10">
        <v>1.7</v>
      </c>
      <c r="N973" s="10" t="b">
        <v>0</v>
      </c>
      <c r="O973" s="41"/>
      <c r="P973" s="45">
        <f t="shared" si="107"/>
        <v>793.97471999999993</v>
      </c>
      <c r="Q973" s="45">
        <f t="shared" si="108"/>
        <v>1096.44128</v>
      </c>
      <c r="R973" s="45">
        <v>0</v>
      </c>
      <c r="S973" s="45">
        <f t="shared" si="109"/>
        <v>0</v>
      </c>
      <c r="T973" s="45">
        <f t="shared" si="110"/>
        <v>0</v>
      </c>
      <c r="U973" s="47">
        <f t="shared" si="111"/>
        <v>1096.44128</v>
      </c>
    </row>
    <row r="974" spans="1:21" x14ac:dyDescent="0.3">
      <c r="A974" s="41" t="str">
        <f t="shared" si="105"/>
        <v>PFORBO</v>
      </c>
      <c r="B974" s="43">
        <v>45651</v>
      </c>
      <c r="C974" s="10" t="s">
        <v>1016</v>
      </c>
      <c r="D974" s="10" t="s">
        <v>65</v>
      </c>
      <c r="E974" s="10" t="s">
        <v>26</v>
      </c>
      <c r="F974" s="10" t="s">
        <v>11</v>
      </c>
      <c r="G974" s="10" t="s">
        <v>27</v>
      </c>
      <c r="H974" s="10" t="s">
        <v>13</v>
      </c>
      <c r="I974" s="45">
        <v>2981</v>
      </c>
      <c r="J974" s="11">
        <v>0</v>
      </c>
      <c r="K974" s="45">
        <f t="shared" si="106"/>
        <v>2981</v>
      </c>
      <c r="L974" s="10">
        <v>0</v>
      </c>
      <c r="M974" s="10">
        <v>2.6</v>
      </c>
      <c r="N974" s="10" t="b">
        <v>0</v>
      </c>
      <c r="O974" s="41"/>
      <c r="P974" s="45">
        <f t="shared" si="107"/>
        <v>1252.02</v>
      </c>
      <c r="Q974" s="45">
        <f t="shared" si="108"/>
        <v>1728.98</v>
      </c>
      <c r="R974" s="45">
        <v>0</v>
      </c>
      <c r="S974" s="45">
        <f t="shared" si="109"/>
        <v>0</v>
      </c>
      <c r="T974" s="45">
        <f t="shared" si="110"/>
        <v>0</v>
      </c>
      <c r="U974" s="47">
        <f t="shared" si="111"/>
        <v>1728.98</v>
      </c>
    </row>
    <row r="975" spans="1:21" x14ac:dyDescent="0.3">
      <c r="A975" s="41" t="str">
        <f t="shared" si="105"/>
        <v>PFORAC</v>
      </c>
      <c r="B975" s="43">
        <v>45651</v>
      </c>
      <c r="C975" s="10" t="s">
        <v>1017</v>
      </c>
      <c r="D975" s="10" t="s">
        <v>65</v>
      </c>
      <c r="E975" s="10" t="s">
        <v>15</v>
      </c>
      <c r="F975" s="10" t="s">
        <v>11</v>
      </c>
      <c r="G975" s="10" t="s">
        <v>7</v>
      </c>
      <c r="H975" s="10" t="s">
        <v>6</v>
      </c>
      <c r="I975" s="45">
        <v>333</v>
      </c>
      <c r="J975" s="11">
        <v>0</v>
      </c>
      <c r="K975" s="45">
        <f t="shared" si="106"/>
        <v>333</v>
      </c>
      <c r="L975" s="10">
        <v>41</v>
      </c>
      <c r="M975" s="10">
        <v>3.5</v>
      </c>
      <c r="N975" s="10" t="b">
        <v>0</v>
      </c>
      <c r="O975" s="41"/>
      <c r="P975" s="45">
        <f t="shared" si="107"/>
        <v>139.85999999999999</v>
      </c>
      <c r="Q975" s="45">
        <f t="shared" si="108"/>
        <v>193.14000000000001</v>
      </c>
      <c r="R975" s="45">
        <v>0</v>
      </c>
      <c r="S975" s="45">
        <f t="shared" si="109"/>
        <v>0</v>
      </c>
      <c r="T975" s="45">
        <f t="shared" si="110"/>
        <v>0</v>
      </c>
      <c r="U975" s="47">
        <f t="shared" si="111"/>
        <v>193.14000000000001</v>
      </c>
    </row>
    <row r="976" spans="1:21" x14ac:dyDescent="0.3">
      <c r="A976" s="41" t="str">
        <f t="shared" si="105"/>
        <v>PUNIDR</v>
      </c>
      <c r="B976" s="43">
        <v>45651</v>
      </c>
      <c r="C976" s="10" t="s">
        <v>1018</v>
      </c>
      <c r="D976" s="10" t="s">
        <v>10</v>
      </c>
      <c r="E976" s="10" t="s">
        <v>30</v>
      </c>
      <c r="F976" s="10" t="s">
        <v>4</v>
      </c>
      <c r="G976" s="10" t="s">
        <v>46</v>
      </c>
      <c r="H976" s="10" t="s">
        <v>6</v>
      </c>
      <c r="I976" s="45">
        <v>2574</v>
      </c>
      <c r="J976" s="11">
        <v>0</v>
      </c>
      <c r="K976" s="45">
        <f t="shared" si="106"/>
        <v>2574</v>
      </c>
      <c r="L976" s="10">
        <v>4</v>
      </c>
      <c r="M976" s="10">
        <v>1.3</v>
      </c>
      <c r="N976" s="10" t="b">
        <v>0</v>
      </c>
      <c r="O976" s="41"/>
      <c r="P976" s="45">
        <f t="shared" si="107"/>
        <v>1081.08</v>
      </c>
      <c r="Q976" s="45">
        <f t="shared" si="108"/>
        <v>1492.92</v>
      </c>
      <c r="R976" s="45">
        <v>0</v>
      </c>
      <c r="S976" s="45">
        <f t="shared" si="109"/>
        <v>0</v>
      </c>
      <c r="T976" s="45">
        <f t="shared" si="110"/>
        <v>0</v>
      </c>
      <c r="U976" s="47">
        <f t="shared" si="111"/>
        <v>1492.92</v>
      </c>
    </row>
    <row r="977" spans="1:21" x14ac:dyDescent="0.3">
      <c r="A977" s="41" t="str">
        <f t="shared" si="105"/>
        <v>PBANSH</v>
      </c>
      <c r="B977" s="43">
        <v>45651</v>
      </c>
      <c r="C977" s="10" t="s">
        <v>1019</v>
      </c>
      <c r="D977" s="10" t="s">
        <v>21</v>
      </c>
      <c r="E977" s="10" t="s">
        <v>18</v>
      </c>
      <c r="F977" s="10" t="s">
        <v>23</v>
      </c>
      <c r="G977" s="10" t="s">
        <v>12</v>
      </c>
      <c r="H977" s="10" t="s">
        <v>32</v>
      </c>
      <c r="I977" s="45">
        <v>4070</v>
      </c>
      <c r="J977" s="11">
        <v>0.34299999999999997</v>
      </c>
      <c r="K977" s="45">
        <f t="shared" si="106"/>
        <v>2673.9900000000002</v>
      </c>
      <c r="L977" s="10">
        <v>3</v>
      </c>
      <c r="M977" s="10">
        <v>2.2000000000000002</v>
      </c>
      <c r="N977" s="10" t="b">
        <v>0</v>
      </c>
      <c r="O977" s="41"/>
      <c r="P977" s="45">
        <f t="shared" si="107"/>
        <v>1123.0758000000001</v>
      </c>
      <c r="Q977" s="45">
        <f t="shared" si="108"/>
        <v>1550.9142000000002</v>
      </c>
      <c r="R977" s="45">
        <v>0</v>
      </c>
      <c r="S977" s="45">
        <f t="shared" si="109"/>
        <v>0</v>
      </c>
      <c r="T977" s="45">
        <f t="shared" si="110"/>
        <v>0</v>
      </c>
      <c r="U977" s="47">
        <f t="shared" si="111"/>
        <v>1550.9142000000002</v>
      </c>
    </row>
    <row r="978" spans="1:21" x14ac:dyDescent="0.3">
      <c r="A978" s="41" t="str">
        <f t="shared" si="105"/>
        <v>PUNIBO</v>
      </c>
      <c r="B978" s="43">
        <v>45652</v>
      </c>
      <c r="C978" s="10" t="s">
        <v>1020</v>
      </c>
      <c r="D978" s="10" t="s">
        <v>10</v>
      </c>
      <c r="E978" s="10" t="s">
        <v>26</v>
      </c>
      <c r="F978" s="10" t="s">
        <v>23</v>
      </c>
      <c r="G978" s="10" t="s">
        <v>38</v>
      </c>
      <c r="H978" s="10" t="s">
        <v>56</v>
      </c>
      <c r="I978" s="45">
        <v>2350</v>
      </c>
      <c r="J978" s="11">
        <v>0</v>
      </c>
      <c r="K978" s="45">
        <f t="shared" si="106"/>
        <v>2350</v>
      </c>
      <c r="L978" s="10">
        <v>16</v>
      </c>
      <c r="M978" s="10"/>
      <c r="N978" s="10" t="b">
        <v>1</v>
      </c>
      <c r="O978" s="41" t="s">
        <v>44</v>
      </c>
      <c r="P978" s="45">
        <f t="shared" si="107"/>
        <v>987</v>
      </c>
      <c r="Q978" s="45">
        <f t="shared" si="108"/>
        <v>1363</v>
      </c>
      <c r="R978" s="45">
        <v>150</v>
      </c>
      <c r="S978" s="45">
        <f t="shared" si="109"/>
        <v>235</v>
      </c>
      <c r="T978" s="45">
        <f t="shared" si="110"/>
        <v>2350</v>
      </c>
      <c r="U978" s="47">
        <f t="shared" si="111"/>
        <v>-1372</v>
      </c>
    </row>
    <row r="979" spans="1:21" x14ac:dyDescent="0.3">
      <c r="A979" s="41" t="str">
        <f t="shared" si="105"/>
        <v>PBANSH</v>
      </c>
      <c r="B979" s="43">
        <v>45652</v>
      </c>
      <c r="C979" s="10" t="s">
        <v>1021</v>
      </c>
      <c r="D979" s="10" t="s">
        <v>21</v>
      </c>
      <c r="E979" s="10" t="s">
        <v>18</v>
      </c>
      <c r="F979" s="10" t="s">
        <v>23</v>
      </c>
      <c r="G979" s="10" t="s">
        <v>27</v>
      </c>
      <c r="H979" s="10" t="s">
        <v>56</v>
      </c>
      <c r="I979" s="45">
        <v>3508</v>
      </c>
      <c r="J979" s="11">
        <v>0</v>
      </c>
      <c r="K979" s="45">
        <f t="shared" si="106"/>
        <v>3508</v>
      </c>
      <c r="L979" s="10">
        <v>15</v>
      </c>
      <c r="M979" s="10">
        <v>1.4</v>
      </c>
      <c r="N979" s="10" t="b">
        <v>0</v>
      </c>
      <c r="O979" s="41"/>
      <c r="P979" s="45">
        <f t="shared" si="107"/>
        <v>1473.36</v>
      </c>
      <c r="Q979" s="45">
        <f t="shared" si="108"/>
        <v>2034.64</v>
      </c>
      <c r="R979" s="45">
        <v>0</v>
      </c>
      <c r="S979" s="45">
        <f t="shared" si="109"/>
        <v>0</v>
      </c>
      <c r="T979" s="45">
        <f t="shared" si="110"/>
        <v>0</v>
      </c>
      <c r="U979" s="47">
        <f t="shared" si="111"/>
        <v>2034.64</v>
      </c>
    </row>
    <row r="980" spans="1:21" x14ac:dyDescent="0.3">
      <c r="A980" s="41" t="str">
        <f t="shared" si="105"/>
        <v>PFORSH</v>
      </c>
      <c r="B980" s="43">
        <v>45652</v>
      </c>
      <c r="C980" s="10" t="s">
        <v>1022</v>
      </c>
      <c r="D980" s="10" t="s">
        <v>65</v>
      </c>
      <c r="E980" s="10" t="s">
        <v>18</v>
      </c>
      <c r="F980" s="10" t="s">
        <v>23</v>
      </c>
      <c r="G980" s="10" t="s">
        <v>49</v>
      </c>
      <c r="H980" s="10" t="s">
        <v>43</v>
      </c>
      <c r="I980" s="45">
        <v>4326</v>
      </c>
      <c r="J980" s="11">
        <v>0.502</v>
      </c>
      <c r="K980" s="45">
        <f t="shared" si="106"/>
        <v>2154.348</v>
      </c>
      <c r="L980" s="10">
        <v>28</v>
      </c>
      <c r="M980" s="10">
        <v>3.6</v>
      </c>
      <c r="N980" s="10" t="b">
        <v>1</v>
      </c>
      <c r="O980" s="41" t="s">
        <v>33</v>
      </c>
      <c r="P980" s="45">
        <f t="shared" si="107"/>
        <v>904.82615999999996</v>
      </c>
      <c r="Q980" s="45">
        <f t="shared" si="108"/>
        <v>1249.5218399999999</v>
      </c>
      <c r="R980" s="45">
        <v>150</v>
      </c>
      <c r="S980" s="45">
        <f t="shared" si="109"/>
        <v>215.4348</v>
      </c>
      <c r="T980" s="45">
        <f t="shared" si="110"/>
        <v>2154.348</v>
      </c>
      <c r="U980" s="47">
        <f t="shared" si="111"/>
        <v>-1270.2609600000001</v>
      </c>
    </row>
    <row r="981" spans="1:21" x14ac:dyDescent="0.3">
      <c r="A981" s="41" t="str">
        <f t="shared" si="105"/>
        <v>PMANBO</v>
      </c>
      <c r="B981" s="43">
        <v>45653</v>
      </c>
      <c r="C981" s="10" t="s">
        <v>1023</v>
      </c>
      <c r="D981" s="10" t="s">
        <v>31</v>
      </c>
      <c r="E981" s="10" t="s">
        <v>26</v>
      </c>
      <c r="F981" s="10" t="s">
        <v>23</v>
      </c>
      <c r="G981" s="10" t="s">
        <v>46</v>
      </c>
      <c r="H981" s="10" t="s">
        <v>7</v>
      </c>
      <c r="I981" s="45">
        <v>2907</v>
      </c>
      <c r="J981" s="11">
        <v>0.27600000000000002</v>
      </c>
      <c r="K981" s="45">
        <f t="shared" si="106"/>
        <v>2104.6680000000001</v>
      </c>
      <c r="L981" s="10">
        <v>47</v>
      </c>
      <c r="M981" s="10">
        <v>1.1000000000000001</v>
      </c>
      <c r="N981" s="10" t="b">
        <v>0</v>
      </c>
      <c r="O981" s="41"/>
      <c r="P981" s="45">
        <f t="shared" si="107"/>
        <v>883.96055999999999</v>
      </c>
      <c r="Q981" s="45">
        <f t="shared" si="108"/>
        <v>1220.7074400000001</v>
      </c>
      <c r="R981" s="45">
        <v>0</v>
      </c>
      <c r="S981" s="45">
        <f t="shared" si="109"/>
        <v>0</v>
      </c>
      <c r="T981" s="45">
        <f t="shared" si="110"/>
        <v>0</v>
      </c>
      <c r="U981" s="47">
        <f t="shared" si="111"/>
        <v>1220.7074400000001</v>
      </c>
    </row>
    <row r="982" spans="1:21" x14ac:dyDescent="0.3">
      <c r="A982" s="41" t="str">
        <f t="shared" si="105"/>
        <v>PFORAC</v>
      </c>
      <c r="B982" s="43">
        <v>45653</v>
      </c>
      <c r="C982" s="10" t="s">
        <v>1024</v>
      </c>
      <c r="D982" s="10" t="s">
        <v>65</v>
      </c>
      <c r="E982" s="10" t="s">
        <v>15</v>
      </c>
      <c r="F982" s="10" t="s">
        <v>4</v>
      </c>
      <c r="G982" s="10" t="s">
        <v>7</v>
      </c>
      <c r="H982" s="10" t="s">
        <v>32</v>
      </c>
      <c r="I982" s="45">
        <v>396</v>
      </c>
      <c r="J982" s="11">
        <v>0.40200000000000002</v>
      </c>
      <c r="K982" s="45">
        <f t="shared" si="106"/>
        <v>236.80799999999999</v>
      </c>
      <c r="L982" s="10">
        <v>7</v>
      </c>
      <c r="M982" s="10">
        <v>2.7</v>
      </c>
      <c r="N982" s="10" t="b">
        <v>0</v>
      </c>
      <c r="O982" s="41"/>
      <c r="P982" s="45">
        <f t="shared" si="107"/>
        <v>99.45935999999999</v>
      </c>
      <c r="Q982" s="45">
        <f t="shared" si="108"/>
        <v>137.34863999999999</v>
      </c>
      <c r="R982" s="45">
        <v>0</v>
      </c>
      <c r="S982" s="45">
        <f t="shared" si="109"/>
        <v>0</v>
      </c>
      <c r="T982" s="45">
        <f t="shared" si="110"/>
        <v>0</v>
      </c>
      <c r="U982" s="47">
        <f t="shared" si="111"/>
        <v>137.34863999999999</v>
      </c>
    </row>
    <row r="983" spans="1:21" x14ac:dyDescent="0.3">
      <c r="A983" s="41" t="str">
        <f t="shared" si="105"/>
        <v>PBANOU</v>
      </c>
      <c r="B983" s="43">
        <v>45653</v>
      </c>
      <c r="C983" s="10" t="s">
        <v>1025</v>
      </c>
      <c r="D983" s="10" t="s">
        <v>21</v>
      </c>
      <c r="E983" s="10" t="s">
        <v>2</v>
      </c>
      <c r="F983" s="10" t="s">
        <v>23</v>
      </c>
      <c r="G983" s="10" t="s">
        <v>12</v>
      </c>
      <c r="H983" s="10" t="s">
        <v>16</v>
      </c>
      <c r="I983" s="45">
        <v>4111</v>
      </c>
      <c r="J983" s="11">
        <v>0</v>
      </c>
      <c r="K983" s="45">
        <f t="shared" si="106"/>
        <v>4111</v>
      </c>
      <c r="L983" s="10">
        <v>12</v>
      </c>
      <c r="M983" s="10">
        <v>5</v>
      </c>
      <c r="N983" s="10" t="b">
        <v>1</v>
      </c>
      <c r="O983" s="41" t="s">
        <v>44</v>
      </c>
      <c r="P983" s="45">
        <f t="shared" si="107"/>
        <v>1726.62</v>
      </c>
      <c r="Q983" s="45">
        <f t="shared" si="108"/>
        <v>2384.38</v>
      </c>
      <c r="R983" s="45">
        <v>150</v>
      </c>
      <c r="S983" s="45">
        <f t="shared" si="109"/>
        <v>411.1</v>
      </c>
      <c r="T983" s="45">
        <f t="shared" si="110"/>
        <v>4111</v>
      </c>
      <c r="U983" s="47">
        <f t="shared" si="111"/>
        <v>-2287.7199999999998</v>
      </c>
    </row>
    <row r="984" spans="1:21" x14ac:dyDescent="0.3">
      <c r="A984" s="41" t="str">
        <f t="shared" si="105"/>
        <v>PH&amp;MOU</v>
      </c>
      <c r="B984" s="43">
        <v>45653</v>
      </c>
      <c r="C984" s="10" t="s">
        <v>1026</v>
      </c>
      <c r="D984" s="10" t="s">
        <v>37</v>
      </c>
      <c r="E984" s="10" t="s">
        <v>2</v>
      </c>
      <c r="F984" s="10" t="s">
        <v>11</v>
      </c>
      <c r="G984" s="10" t="s">
        <v>12</v>
      </c>
      <c r="H984" s="10" t="s">
        <v>6</v>
      </c>
      <c r="I984" s="45">
        <v>3270</v>
      </c>
      <c r="J984" s="11">
        <v>0.58200000000000007</v>
      </c>
      <c r="K984" s="45">
        <f t="shared" si="106"/>
        <v>1366.8599999999997</v>
      </c>
      <c r="L984" s="10">
        <v>24</v>
      </c>
      <c r="M984" s="10"/>
      <c r="N984" s="10" t="b">
        <v>0</v>
      </c>
      <c r="O984" s="41"/>
      <c r="P984" s="45">
        <f t="shared" si="107"/>
        <v>574.08119999999985</v>
      </c>
      <c r="Q984" s="45">
        <f t="shared" si="108"/>
        <v>792.77879999999982</v>
      </c>
      <c r="R984" s="45">
        <v>0</v>
      </c>
      <c r="S984" s="45">
        <f t="shared" si="109"/>
        <v>0</v>
      </c>
      <c r="T984" s="45">
        <f t="shared" si="110"/>
        <v>0</v>
      </c>
      <c r="U984" s="47">
        <f t="shared" si="111"/>
        <v>792.77879999999982</v>
      </c>
    </row>
    <row r="985" spans="1:21" x14ac:dyDescent="0.3">
      <c r="A985" s="41" t="str">
        <f t="shared" si="105"/>
        <v>PH&amp;MSH</v>
      </c>
      <c r="B985" s="43">
        <v>45654</v>
      </c>
      <c r="C985" s="10" t="s">
        <v>1027</v>
      </c>
      <c r="D985" s="10" t="s">
        <v>37</v>
      </c>
      <c r="E985" s="10" t="s">
        <v>18</v>
      </c>
      <c r="F985" s="10" t="s">
        <v>23</v>
      </c>
      <c r="G985" s="10" t="s">
        <v>5</v>
      </c>
      <c r="H985" s="10" t="s">
        <v>13</v>
      </c>
      <c r="I985" s="45">
        <v>3199</v>
      </c>
      <c r="J985" s="11">
        <v>0</v>
      </c>
      <c r="K985" s="45">
        <f t="shared" si="106"/>
        <v>3199</v>
      </c>
      <c r="L985" s="10">
        <v>40</v>
      </c>
      <c r="M985" s="10">
        <v>4.9000000000000004</v>
      </c>
      <c r="N985" s="10" t="b">
        <v>0</v>
      </c>
      <c r="O985" s="41"/>
      <c r="P985" s="45">
        <f t="shared" si="107"/>
        <v>1343.58</v>
      </c>
      <c r="Q985" s="45">
        <f t="shared" si="108"/>
        <v>1855.42</v>
      </c>
      <c r="R985" s="45">
        <v>0</v>
      </c>
      <c r="S985" s="45">
        <f t="shared" si="109"/>
        <v>0</v>
      </c>
      <c r="T985" s="45">
        <f t="shared" si="110"/>
        <v>0</v>
      </c>
      <c r="U985" s="47">
        <f t="shared" si="111"/>
        <v>1855.42</v>
      </c>
    </row>
    <row r="986" spans="1:21" x14ac:dyDescent="0.3">
      <c r="A986" s="41" t="str">
        <f t="shared" si="105"/>
        <v>PZARBO</v>
      </c>
      <c r="B986" s="43">
        <v>45654</v>
      </c>
      <c r="C986" s="10" t="s">
        <v>1028</v>
      </c>
      <c r="D986" s="10" t="s">
        <v>3</v>
      </c>
      <c r="E986" s="10" t="s">
        <v>26</v>
      </c>
      <c r="F986" s="10" t="s">
        <v>54</v>
      </c>
      <c r="G986" s="10" t="s">
        <v>5</v>
      </c>
      <c r="H986" s="10" t="s">
        <v>28</v>
      </c>
      <c r="I986" s="45">
        <v>2024</v>
      </c>
      <c r="J986" s="11">
        <v>0</v>
      </c>
      <c r="K986" s="45">
        <f t="shared" si="106"/>
        <v>2024</v>
      </c>
      <c r="L986" s="10">
        <v>25</v>
      </c>
      <c r="M986" s="10">
        <v>4.2</v>
      </c>
      <c r="N986" s="10" t="b">
        <v>1</v>
      </c>
      <c r="O986" s="41" t="s">
        <v>33</v>
      </c>
      <c r="P986" s="45">
        <f t="shared" si="107"/>
        <v>850.07999999999993</v>
      </c>
      <c r="Q986" s="45">
        <f t="shared" si="108"/>
        <v>1173.92</v>
      </c>
      <c r="R986" s="45">
        <v>150</v>
      </c>
      <c r="S986" s="45">
        <f t="shared" si="109"/>
        <v>202.4</v>
      </c>
      <c r="T986" s="45">
        <f t="shared" si="110"/>
        <v>2024</v>
      </c>
      <c r="U986" s="47">
        <f t="shared" si="111"/>
        <v>-1202.48</v>
      </c>
    </row>
    <row r="987" spans="1:21" x14ac:dyDescent="0.3">
      <c r="A987" s="41" t="str">
        <f t="shared" si="105"/>
        <v>PZARBO</v>
      </c>
      <c r="B987" s="43">
        <v>45654</v>
      </c>
      <c r="C987" s="10" t="s">
        <v>1029</v>
      </c>
      <c r="D987" s="10" t="s">
        <v>3</v>
      </c>
      <c r="E987" s="10" t="s">
        <v>26</v>
      </c>
      <c r="F987" s="10" t="s">
        <v>11</v>
      </c>
      <c r="G987" s="10" t="s">
        <v>38</v>
      </c>
      <c r="H987" s="10" t="s">
        <v>6</v>
      </c>
      <c r="I987" s="45">
        <v>2385</v>
      </c>
      <c r="J987" s="11">
        <v>0.45299999999999996</v>
      </c>
      <c r="K987" s="45">
        <f t="shared" si="106"/>
        <v>1304.595</v>
      </c>
      <c r="L987" s="10">
        <v>1</v>
      </c>
      <c r="M987" s="10">
        <v>3.4</v>
      </c>
      <c r="N987" s="10" t="b">
        <v>0</v>
      </c>
      <c r="O987" s="41"/>
      <c r="P987" s="45">
        <f t="shared" si="107"/>
        <v>547.92989999999998</v>
      </c>
      <c r="Q987" s="45">
        <f t="shared" si="108"/>
        <v>756.66510000000005</v>
      </c>
      <c r="R987" s="45">
        <v>0</v>
      </c>
      <c r="S987" s="45">
        <f t="shared" si="109"/>
        <v>0</v>
      </c>
      <c r="T987" s="45">
        <f t="shared" si="110"/>
        <v>0</v>
      </c>
      <c r="U987" s="47">
        <f t="shared" si="111"/>
        <v>756.66510000000005</v>
      </c>
    </row>
    <row r="988" spans="1:21" x14ac:dyDescent="0.3">
      <c r="A988" s="41" t="str">
        <f t="shared" si="105"/>
        <v>PUNIOU</v>
      </c>
      <c r="B988" s="43">
        <v>45654</v>
      </c>
      <c r="C988" s="10" t="s">
        <v>1030</v>
      </c>
      <c r="D988" s="10" t="s">
        <v>10</v>
      </c>
      <c r="E988" s="10" t="s">
        <v>2</v>
      </c>
      <c r="F988" s="10" t="s">
        <v>4</v>
      </c>
      <c r="G988" s="10" t="s">
        <v>5</v>
      </c>
      <c r="H988" s="10" t="s">
        <v>43</v>
      </c>
      <c r="I988" s="45">
        <v>4423</v>
      </c>
      <c r="J988" s="11">
        <v>0</v>
      </c>
      <c r="K988" s="45">
        <f t="shared" si="106"/>
        <v>4423</v>
      </c>
      <c r="L988" s="10">
        <v>41</v>
      </c>
      <c r="M988" s="10">
        <v>2.9</v>
      </c>
      <c r="N988" s="10" t="b">
        <v>0</v>
      </c>
      <c r="O988" s="41"/>
      <c r="P988" s="45">
        <f t="shared" si="107"/>
        <v>1857.6599999999999</v>
      </c>
      <c r="Q988" s="45">
        <f t="shared" si="108"/>
        <v>2565.34</v>
      </c>
      <c r="R988" s="45">
        <v>0</v>
      </c>
      <c r="S988" s="45">
        <f t="shared" si="109"/>
        <v>0</v>
      </c>
      <c r="T988" s="45">
        <f t="shared" si="110"/>
        <v>0</v>
      </c>
      <c r="U988" s="47">
        <f t="shared" si="111"/>
        <v>2565.34</v>
      </c>
    </row>
    <row r="989" spans="1:21" x14ac:dyDescent="0.3">
      <c r="A989" s="41" t="str">
        <f t="shared" si="105"/>
        <v>PZARSH</v>
      </c>
      <c r="B989" s="43">
        <v>45655</v>
      </c>
      <c r="C989" s="10" t="s">
        <v>1031</v>
      </c>
      <c r="D989" s="10" t="s">
        <v>3</v>
      </c>
      <c r="E989" s="10" t="s">
        <v>18</v>
      </c>
      <c r="F989" s="10" t="s">
        <v>4</v>
      </c>
      <c r="G989" s="10" t="s">
        <v>27</v>
      </c>
      <c r="H989" s="10" t="s">
        <v>28</v>
      </c>
      <c r="I989" s="45">
        <v>3811</v>
      </c>
      <c r="J989" s="11">
        <v>0</v>
      </c>
      <c r="K989" s="45">
        <f t="shared" si="106"/>
        <v>3811</v>
      </c>
      <c r="L989" s="10">
        <v>36</v>
      </c>
      <c r="M989" s="10"/>
      <c r="N989" s="10" t="b">
        <v>0</v>
      </c>
      <c r="O989" s="41"/>
      <c r="P989" s="45">
        <f t="shared" si="107"/>
        <v>1600.62</v>
      </c>
      <c r="Q989" s="45">
        <f t="shared" si="108"/>
        <v>2210.38</v>
      </c>
      <c r="R989" s="45">
        <v>0</v>
      </c>
      <c r="S989" s="45">
        <f t="shared" si="109"/>
        <v>0</v>
      </c>
      <c r="T989" s="45">
        <f t="shared" si="110"/>
        <v>0</v>
      </c>
      <c r="U989" s="47">
        <f t="shared" si="111"/>
        <v>2210.38</v>
      </c>
    </row>
    <row r="990" spans="1:21" x14ac:dyDescent="0.3">
      <c r="A990" s="41" t="str">
        <f t="shared" si="105"/>
        <v>PGAPSH</v>
      </c>
      <c r="B990" s="43">
        <v>45655</v>
      </c>
      <c r="C990" s="10" t="s">
        <v>1032</v>
      </c>
      <c r="D990" s="10" t="s">
        <v>53</v>
      </c>
      <c r="E990" s="10" t="s">
        <v>18</v>
      </c>
      <c r="F990" s="10" t="s">
        <v>54</v>
      </c>
      <c r="G990" s="10" t="s">
        <v>38</v>
      </c>
      <c r="H990" s="10" t="s">
        <v>16</v>
      </c>
      <c r="I990" s="45">
        <v>3727</v>
      </c>
      <c r="J990" s="11">
        <v>0</v>
      </c>
      <c r="K990" s="45">
        <f t="shared" si="106"/>
        <v>3727</v>
      </c>
      <c r="L990" s="10">
        <v>45</v>
      </c>
      <c r="M990" s="10">
        <v>1.8</v>
      </c>
      <c r="N990" s="10" t="b">
        <v>1</v>
      </c>
      <c r="O990" s="41" t="s">
        <v>50</v>
      </c>
      <c r="P990" s="45">
        <f t="shared" si="107"/>
        <v>1565.34</v>
      </c>
      <c r="Q990" s="45">
        <f t="shared" si="108"/>
        <v>2161.66</v>
      </c>
      <c r="R990" s="45">
        <v>150</v>
      </c>
      <c r="S990" s="45">
        <f t="shared" si="109"/>
        <v>372.70000000000005</v>
      </c>
      <c r="T990" s="45">
        <f t="shared" si="110"/>
        <v>3727</v>
      </c>
      <c r="U990" s="47">
        <f t="shared" si="111"/>
        <v>-2088.04</v>
      </c>
    </row>
    <row r="991" spans="1:21" x14ac:dyDescent="0.3">
      <c r="A991" s="41" t="str">
        <f t="shared" si="105"/>
        <v>PZAROU</v>
      </c>
      <c r="B991" s="43">
        <v>45655</v>
      </c>
      <c r="C991" s="10" t="s">
        <v>1033</v>
      </c>
      <c r="D991" s="10" t="s">
        <v>3</v>
      </c>
      <c r="E991" s="10" t="s">
        <v>2</v>
      </c>
      <c r="F991" s="10" t="s">
        <v>4</v>
      </c>
      <c r="G991" s="10" t="s">
        <v>27</v>
      </c>
      <c r="H991" s="10" t="s">
        <v>6</v>
      </c>
      <c r="I991" s="45">
        <v>4324</v>
      </c>
      <c r="J991" s="11">
        <v>0</v>
      </c>
      <c r="K991" s="45">
        <f t="shared" si="106"/>
        <v>4324</v>
      </c>
      <c r="L991" s="10">
        <v>16</v>
      </c>
      <c r="M991" s="10">
        <v>1.2</v>
      </c>
      <c r="N991" s="10" t="b">
        <v>0</v>
      </c>
      <c r="O991" s="41"/>
      <c r="P991" s="45">
        <f t="shared" si="107"/>
        <v>1816.08</v>
      </c>
      <c r="Q991" s="45">
        <f t="shared" si="108"/>
        <v>2507.92</v>
      </c>
      <c r="R991" s="45">
        <v>0</v>
      </c>
      <c r="S991" s="45">
        <f t="shared" si="109"/>
        <v>0</v>
      </c>
      <c r="T991" s="45">
        <f t="shared" si="110"/>
        <v>0</v>
      </c>
      <c r="U991" s="47">
        <f t="shared" si="111"/>
        <v>2507.92</v>
      </c>
    </row>
    <row r="992" spans="1:21" x14ac:dyDescent="0.3">
      <c r="A992" s="41" t="str">
        <f t="shared" si="105"/>
        <v>PANNAC</v>
      </c>
      <c r="B992" s="43">
        <v>45655</v>
      </c>
      <c r="C992" s="10" t="s">
        <v>1034</v>
      </c>
      <c r="D992" s="10" t="s">
        <v>42</v>
      </c>
      <c r="E992" s="10" t="s">
        <v>15</v>
      </c>
      <c r="F992" s="10" t="s">
        <v>4</v>
      </c>
      <c r="G992" s="10" t="s">
        <v>7</v>
      </c>
      <c r="H992" s="10" t="s">
        <v>58</v>
      </c>
      <c r="I992" s="45">
        <v>339</v>
      </c>
      <c r="J992" s="11">
        <v>0</v>
      </c>
      <c r="K992" s="45">
        <f t="shared" si="106"/>
        <v>339</v>
      </c>
      <c r="L992" s="10">
        <v>24</v>
      </c>
      <c r="M992" s="10">
        <v>3</v>
      </c>
      <c r="N992" s="10" t="b">
        <v>0</v>
      </c>
      <c r="O992" s="41"/>
      <c r="P992" s="45">
        <f t="shared" si="107"/>
        <v>142.38</v>
      </c>
      <c r="Q992" s="45">
        <f t="shared" si="108"/>
        <v>196.62</v>
      </c>
      <c r="R992" s="45">
        <v>0</v>
      </c>
      <c r="S992" s="45">
        <f t="shared" si="109"/>
        <v>0</v>
      </c>
      <c r="T992" s="45">
        <f t="shared" si="110"/>
        <v>0</v>
      </c>
      <c r="U992" s="47">
        <f t="shared" si="111"/>
        <v>196.62</v>
      </c>
    </row>
    <row r="993" spans="1:21" x14ac:dyDescent="0.3">
      <c r="A993" s="41" t="str">
        <f t="shared" si="105"/>
        <v>PUNIAC</v>
      </c>
      <c r="B993" s="43">
        <v>45656</v>
      </c>
      <c r="C993" s="10" t="s">
        <v>1035</v>
      </c>
      <c r="D993" s="10" t="s">
        <v>10</v>
      </c>
      <c r="E993" s="10" t="s">
        <v>15</v>
      </c>
      <c r="F993" s="10" t="s">
        <v>54</v>
      </c>
      <c r="G993" s="10" t="s">
        <v>7</v>
      </c>
      <c r="H993" s="10" t="s">
        <v>32</v>
      </c>
      <c r="I993" s="45">
        <v>472</v>
      </c>
      <c r="J993" s="11">
        <v>0</v>
      </c>
      <c r="K993" s="45">
        <f t="shared" si="106"/>
        <v>472</v>
      </c>
      <c r="L993" s="10">
        <v>29</v>
      </c>
      <c r="M993" s="10">
        <v>1.3</v>
      </c>
      <c r="N993" s="10" t="b">
        <v>0</v>
      </c>
      <c r="O993" s="41"/>
      <c r="P993" s="45">
        <f t="shared" si="107"/>
        <v>198.23999999999998</v>
      </c>
      <c r="Q993" s="45">
        <f t="shared" si="108"/>
        <v>273.76</v>
      </c>
      <c r="R993" s="45">
        <v>0</v>
      </c>
      <c r="S993" s="45">
        <f t="shared" si="109"/>
        <v>0</v>
      </c>
      <c r="T993" s="45">
        <f t="shared" si="110"/>
        <v>0</v>
      </c>
      <c r="U993" s="47">
        <f t="shared" si="111"/>
        <v>273.76</v>
      </c>
    </row>
    <row r="994" spans="1:21" x14ac:dyDescent="0.3">
      <c r="A994" s="41" t="str">
        <f t="shared" si="105"/>
        <v>PGAPSH</v>
      </c>
      <c r="B994" s="43">
        <v>45656</v>
      </c>
      <c r="C994" s="10" t="s">
        <v>1036</v>
      </c>
      <c r="D994" s="10" t="s">
        <v>53</v>
      </c>
      <c r="E994" s="10" t="s">
        <v>18</v>
      </c>
      <c r="F994" s="10" t="s">
        <v>23</v>
      </c>
      <c r="G994" s="10" t="s">
        <v>27</v>
      </c>
      <c r="H994" s="10" t="s">
        <v>28</v>
      </c>
      <c r="I994" s="45">
        <v>3222</v>
      </c>
      <c r="J994" s="11">
        <v>0.20699999999999999</v>
      </c>
      <c r="K994" s="45">
        <f t="shared" si="106"/>
        <v>2555.0460000000003</v>
      </c>
      <c r="L994" s="10">
        <v>28</v>
      </c>
      <c r="M994" s="10">
        <v>2</v>
      </c>
      <c r="N994" s="10" t="b">
        <v>0</v>
      </c>
      <c r="O994" s="41"/>
      <c r="P994" s="45">
        <f t="shared" si="107"/>
        <v>1073.11932</v>
      </c>
      <c r="Q994" s="45">
        <f t="shared" si="108"/>
        <v>1481.9266800000003</v>
      </c>
      <c r="R994" s="45">
        <v>0</v>
      </c>
      <c r="S994" s="45">
        <f t="shared" si="109"/>
        <v>0</v>
      </c>
      <c r="T994" s="45">
        <f t="shared" si="110"/>
        <v>0</v>
      </c>
      <c r="U994" s="47">
        <f t="shared" si="111"/>
        <v>1481.9266800000003</v>
      </c>
    </row>
    <row r="995" spans="1:21" x14ac:dyDescent="0.3">
      <c r="A995" s="41" t="str">
        <f t="shared" si="105"/>
        <v>PANNBO</v>
      </c>
      <c r="B995" s="43">
        <v>45656</v>
      </c>
      <c r="C995" s="10" t="s">
        <v>1037</v>
      </c>
      <c r="D995" s="10" t="s">
        <v>42</v>
      </c>
      <c r="E995" s="10" t="s">
        <v>26</v>
      </c>
      <c r="F995" s="10" t="s">
        <v>23</v>
      </c>
      <c r="G995" s="10" t="s">
        <v>7</v>
      </c>
      <c r="H995" s="10" t="s">
        <v>47</v>
      </c>
      <c r="I995" s="45">
        <v>2894</v>
      </c>
      <c r="J995" s="11">
        <v>0</v>
      </c>
      <c r="K995" s="45">
        <f t="shared" si="106"/>
        <v>2894</v>
      </c>
      <c r="L995" s="10">
        <v>47</v>
      </c>
      <c r="M995" s="10">
        <v>4.5999999999999996</v>
      </c>
      <c r="N995" s="10" t="b">
        <v>0</v>
      </c>
      <c r="O995" s="41"/>
      <c r="P995" s="45">
        <f t="shared" si="107"/>
        <v>1215.48</v>
      </c>
      <c r="Q995" s="45">
        <f t="shared" si="108"/>
        <v>1678.52</v>
      </c>
      <c r="R995" s="45">
        <v>0</v>
      </c>
      <c r="S995" s="45">
        <f t="shared" si="109"/>
        <v>0</v>
      </c>
      <c r="T995" s="45">
        <f t="shared" si="110"/>
        <v>0</v>
      </c>
      <c r="U995" s="47">
        <f t="shared" si="111"/>
        <v>1678.52</v>
      </c>
    </row>
    <row r="996" spans="1:21" x14ac:dyDescent="0.3">
      <c r="A996" s="41" t="str">
        <f t="shared" si="105"/>
        <v>PGAPSH</v>
      </c>
      <c r="B996" s="43">
        <v>45656</v>
      </c>
      <c r="C996" s="10" t="s">
        <v>1038</v>
      </c>
      <c r="D996" s="10" t="s">
        <v>53</v>
      </c>
      <c r="E996" s="10" t="s">
        <v>18</v>
      </c>
      <c r="F996" s="10" t="s">
        <v>4</v>
      </c>
      <c r="G996" s="10" t="s">
        <v>49</v>
      </c>
      <c r="H996" s="10" t="s">
        <v>58</v>
      </c>
      <c r="I996" s="45">
        <v>3326</v>
      </c>
      <c r="J996" s="11">
        <v>0</v>
      </c>
      <c r="K996" s="45">
        <f t="shared" si="106"/>
        <v>3326</v>
      </c>
      <c r="L996" s="10">
        <v>16</v>
      </c>
      <c r="M996" s="10">
        <v>3.9</v>
      </c>
      <c r="N996" s="10" t="b">
        <v>0</v>
      </c>
      <c r="O996" s="41"/>
      <c r="P996" s="45">
        <f t="shared" si="107"/>
        <v>1396.9199999999998</v>
      </c>
      <c r="Q996" s="45">
        <f t="shared" si="108"/>
        <v>1929.0800000000002</v>
      </c>
      <c r="R996" s="45">
        <v>0</v>
      </c>
      <c r="S996" s="45">
        <f t="shared" si="109"/>
        <v>0</v>
      </c>
      <c r="T996" s="45">
        <f t="shared" si="110"/>
        <v>0</v>
      </c>
      <c r="U996" s="47">
        <f t="shared" si="111"/>
        <v>1929.0800000000002</v>
      </c>
    </row>
    <row r="997" spans="1:21" x14ac:dyDescent="0.3">
      <c r="A997" s="41" t="str">
        <f t="shared" si="105"/>
        <v>PANNDR</v>
      </c>
      <c r="B997" s="43">
        <v>45657</v>
      </c>
      <c r="C997" s="10" t="s">
        <v>1039</v>
      </c>
      <c r="D997" s="10" t="s">
        <v>42</v>
      </c>
      <c r="E997" s="10" t="s">
        <v>30</v>
      </c>
      <c r="F997" s="10" t="s">
        <v>11</v>
      </c>
      <c r="G997" s="10" t="s">
        <v>5</v>
      </c>
      <c r="H997" s="10" t="s">
        <v>56</v>
      </c>
      <c r="I997" s="45">
        <v>2449</v>
      </c>
      <c r="J997" s="11">
        <v>0</v>
      </c>
      <c r="K997" s="45">
        <f t="shared" si="106"/>
        <v>2449</v>
      </c>
      <c r="L997" s="10">
        <v>29</v>
      </c>
      <c r="M997" s="10"/>
      <c r="N997" s="10" t="b">
        <v>0</v>
      </c>
      <c r="O997" s="41"/>
      <c r="P997" s="45">
        <f t="shared" si="107"/>
        <v>1028.58</v>
      </c>
      <c r="Q997" s="45">
        <f t="shared" si="108"/>
        <v>1420.42</v>
      </c>
      <c r="R997" s="45">
        <v>0</v>
      </c>
      <c r="S997" s="45">
        <f t="shared" si="109"/>
        <v>0</v>
      </c>
      <c r="T997" s="45">
        <f t="shared" si="110"/>
        <v>0</v>
      </c>
      <c r="U997" s="47">
        <f t="shared" si="111"/>
        <v>1420.42</v>
      </c>
    </row>
    <row r="998" spans="1:21" x14ac:dyDescent="0.3">
      <c r="A998" s="41" t="str">
        <f t="shared" si="105"/>
        <v>PZARTO</v>
      </c>
      <c r="B998" s="43">
        <v>45657</v>
      </c>
      <c r="C998" s="10" t="s">
        <v>1040</v>
      </c>
      <c r="D998" s="10" t="s">
        <v>3</v>
      </c>
      <c r="E998" s="10" t="s">
        <v>9</v>
      </c>
      <c r="F998" s="10" t="s">
        <v>54</v>
      </c>
      <c r="G998" s="10" t="s">
        <v>27</v>
      </c>
      <c r="H998" s="10" t="s">
        <v>47</v>
      </c>
      <c r="I998" s="45">
        <v>1510</v>
      </c>
      <c r="J998" s="11">
        <v>0</v>
      </c>
      <c r="K998" s="45">
        <f t="shared" si="106"/>
        <v>1510</v>
      </c>
      <c r="L998" s="10">
        <v>34</v>
      </c>
      <c r="M998" s="10"/>
      <c r="N998" s="10" t="b">
        <v>0</v>
      </c>
      <c r="O998" s="41"/>
      <c r="P998" s="45">
        <f t="shared" si="107"/>
        <v>634.19999999999993</v>
      </c>
      <c r="Q998" s="45">
        <f t="shared" si="108"/>
        <v>875.80000000000007</v>
      </c>
      <c r="R998" s="45">
        <v>0</v>
      </c>
      <c r="S998" s="45">
        <f t="shared" si="109"/>
        <v>0</v>
      </c>
      <c r="T998" s="45">
        <f t="shared" si="110"/>
        <v>0</v>
      </c>
      <c r="U998" s="47">
        <f t="shared" si="111"/>
        <v>875.80000000000007</v>
      </c>
    </row>
    <row r="999" spans="1:21" x14ac:dyDescent="0.3">
      <c r="A999" s="41" t="str">
        <f t="shared" si="105"/>
        <v>PANNOU</v>
      </c>
      <c r="B999" s="43">
        <v>45657</v>
      </c>
      <c r="C999" s="10" t="s">
        <v>1041</v>
      </c>
      <c r="D999" s="10" t="s">
        <v>42</v>
      </c>
      <c r="E999" s="10" t="s">
        <v>2</v>
      </c>
      <c r="F999" s="10" t="s">
        <v>54</v>
      </c>
      <c r="G999" s="10" t="s">
        <v>5</v>
      </c>
      <c r="H999" s="10" t="s">
        <v>35</v>
      </c>
      <c r="I999" s="45">
        <v>3953</v>
      </c>
      <c r="J999" s="11">
        <v>9.5000000000000001E-2</v>
      </c>
      <c r="K999" s="45">
        <f t="shared" si="106"/>
        <v>3577.4650000000001</v>
      </c>
      <c r="L999" s="10">
        <v>17</v>
      </c>
      <c r="M999" s="10">
        <v>4</v>
      </c>
      <c r="N999" s="10" t="b">
        <v>0</v>
      </c>
      <c r="O999" s="41"/>
      <c r="P999" s="45">
        <f t="shared" si="107"/>
        <v>1502.5353</v>
      </c>
      <c r="Q999" s="45">
        <f t="shared" si="108"/>
        <v>2074.9297000000001</v>
      </c>
      <c r="R999" s="45">
        <v>0</v>
      </c>
      <c r="S999" s="45">
        <f t="shared" si="109"/>
        <v>0</v>
      </c>
      <c r="T999" s="45">
        <f t="shared" si="110"/>
        <v>0</v>
      </c>
      <c r="U999" s="47">
        <f t="shared" si="111"/>
        <v>2074.9297000000001</v>
      </c>
    </row>
    <row r="1000" spans="1:21" x14ac:dyDescent="0.3">
      <c r="A1000" s="41" t="str">
        <f t="shared" si="105"/>
        <v>PBANDR</v>
      </c>
      <c r="B1000" s="43">
        <v>45657</v>
      </c>
      <c r="C1000" s="10" t="s">
        <v>1042</v>
      </c>
      <c r="D1000" s="10" t="s">
        <v>21</v>
      </c>
      <c r="E1000" s="10" t="s">
        <v>30</v>
      </c>
      <c r="F1000" s="10" t="s">
        <v>4</v>
      </c>
      <c r="G1000" s="10" t="s">
        <v>46</v>
      </c>
      <c r="H1000" s="10" t="s">
        <v>88</v>
      </c>
      <c r="I1000" s="45">
        <v>1952</v>
      </c>
      <c r="J1000" s="11">
        <v>0.03</v>
      </c>
      <c r="K1000" s="45">
        <f t="shared" si="106"/>
        <v>1893.44</v>
      </c>
      <c r="L1000" s="10">
        <v>16</v>
      </c>
      <c r="M1000" s="10"/>
      <c r="N1000" s="10" t="b">
        <v>0</v>
      </c>
      <c r="O1000" s="41"/>
      <c r="P1000" s="45">
        <f t="shared" si="107"/>
        <v>795.24479999999994</v>
      </c>
      <c r="Q1000" s="45">
        <f t="shared" si="108"/>
        <v>1098.1952000000001</v>
      </c>
      <c r="R1000" s="45">
        <v>0</v>
      </c>
      <c r="S1000" s="45">
        <f t="shared" si="109"/>
        <v>0</v>
      </c>
      <c r="T1000" s="45">
        <f t="shared" si="110"/>
        <v>0</v>
      </c>
      <c r="U1000" s="47">
        <f t="shared" si="111"/>
        <v>1098.1952000000001</v>
      </c>
    </row>
    <row r="1001" spans="1:21" x14ac:dyDescent="0.3">
      <c r="A1001" s="41" t="str">
        <f t="shared" si="105"/>
        <v>PGAPDR</v>
      </c>
      <c r="B1001" s="43">
        <v>45658</v>
      </c>
      <c r="C1001" s="10" t="s">
        <v>1043</v>
      </c>
      <c r="D1001" s="10" t="s">
        <v>53</v>
      </c>
      <c r="E1001" s="10" t="s">
        <v>30</v>
      </c>
      <c r="F1001" s="10" t="s">
        <v>23</v>
      </c>
      <c r="G1001" s="10" t="s">
        <v>7</v>
      </c>
      <c r="H1001" s="10" t="s">
        <v>6</v>
      </c>
      <c r="I1001" s="45">
        <v>2679</v>
      </c>
      <c r="J1001" s="11">
        <v>0.28300000000000003</v>
      </c>
      <c r="K1001" s="45">
        <f t="shared" si="106"/>
        <v>1920.8429999999998</v>
      </c>
      <c r="L1001" s="10">
        <v>41</v>
      </c>
      <c r="M1001" s="10"/>
      <c r="N1001" s="10" t="b">
        <v>0</v>
      </c>
      <c r="O1001" s="41"/>
      <c r="P1001" s="45">
        <f t="shared" si="107"/>
        <v>806.75405999999987</v>
      </c>
      <c r="Q1001" s="45">
        <f t="shared" si="108"/>
        <v>1114.0889400000001</v>
      </c>
      <c r="R1001" s="45">
        <v>0</v>
      </c>
      <c r="S1001" s="45">
        <f t="shared" si="109"/>
        <v>0</v>
      </c>
      <c r="T1001" s="45">
        <f t="shared" si="110"/>
        <v>0</v>
      </c>
      <c r="U1001" s="47">
        <f t="shared" si="111"/>
        <v>1114.0889400000001</v>
      </c>
    </row>
    <row r="1002" spans="1:21" x14ac:dyDescent="0.3">
      <c r="A1002" s="41" t="str">
        <f t="shared" si="105"/>
        <v>PMANDR</v>
      </c>
      <c r="B1002" s="43">
        <v>45658</v>
      </c>
      <c r="C1002" s="10" t="s">
        <v>1044</v>
      </c>
      <c r="D1002" s="10" t="s">
        <v>31</v>
      </c>
      <c r="E1002" s="10" t="s">
        <v>30</v>
      </c>
      <c r="F1002" s="10" t="s">
        <v>23</v>
      </c>
      <c r="G1002" s="10" t="s">
        <v>46</v>
      </c>
      <c r="H1002" s="10" t="s">
        <v>32</v>
      </c>
      <c r="I1002" s="45">
        <v>1865</v>
      </c>
      <c r="J1002" s="11">
        <v>0.47700000000000004</v>
      </c>
      <c r="K1002" s="45">
        <f t="shared" si="106"/>
        <v>975.39499999999987</v>
      </c>
      <c r="L1002" s="10">
        <v>7</v>
      </c>
      <c r="M1002" s="10"/>
      <c r="N1002" s="10" t="b">
        <v>0</v>
      </c>
      <c r="O1002" s="41"/>
      <c r="P1002" s="45">
        <f t="shared" si="107"/>
        <v>409.66589999999991</v>
      </c>
      <c r="Q1002" s="45">
        <f t="shared" si="108"/>
        <v>565.72910000000002</v>
      </c>
      <c r="R1002" s="45">
        <v>0</v>
      </c>
      <c r="S1002" s="45">
        <f t="shared" si="109"/>
        <v>0</v>
      </c>
      <c r="T1002" s="45">
        <f t="shared" si="110"/>
        <v>0</v>
      </c>
      <c r="U1002" s="47">
        <f t="shared" si="111"/>
        <v>565.72910000000002</v>
      </c>
    </row>
    <row r="1003" spans="1:21" x14ac:dyDescent="0.3">
      <c r="A1003" s="41" t="str">
        <f t="shared" si="105"/>
        <v>PFORTO</v>
      </c>
      <c r="B1003" s="43">
        <v>45658</v>
      </c>
      <c r="C1003" s="10" t="s">
        <v>1045</v>
      </c>
      <c r="D1003" s="10" t="s">
        <v>65</v>
      </c>
      <c r="E1003" s="10" t="s">
        <v>9</v>
      </c>
      <c r="F1003" s="10" t="s">
        <v>4</v>
      </c>
      <c r="G1003" s="10" t="s">
        <v>12</v>
      </c>
      <c r="H1003" s="10" t="s">
        <v>47</v>
      </c>
      <c r="I1003" s="45">
        <v>1507</v>
      </c>
      <c r="J1003" s="11">
        <v>0</v>
      </c>
      <c r="K1003" s="45">
        <f t="shared" si="106"/>
        <v>1507</v>
      </c>
      <c r="L1003" s="10">
        <v>50</v>
      </c>
      <c r="M1003" s="10"/>
      <c r="N1003" s="10" t="b">
        <v>1</v>
      </c>
      <c r="O1003" s="41" t="s">
        <v>33</v>
      </c>
      <c r="P1003" s="45">
        <f t="shared" si="107"/>
        <v>632.93999999999994</v>
      </c>
      <c r="Q1003" s="45">
        <f t="shared" si="108"/>
        <v>874.06000000000006</v>
      </c>
      <c r="R1003" s="45">
        <v>150</v>
      </c>
      <c r="S1003" s="45">
        <f t="shared" si="109"/>
        <v>150.70000000000002</v>
      </c>
      <c r="T1003" s="45">
        <f t="shared" si="110"/>
        <v>1507</v>
      </c>
      <c r="U1003" s="47">
        <f t="shared" si="111"/>
        <v>-933.64</v>
      </c>
    </row>
    <row r="1004" spans="1:21" x14ac:dyDescent="0.3">
      <c r="A1004" s="41" t="str">
        <f t="shared" si="105"/>
        <v>PZARAC</v>
      </c>
      <c r="B1004" s="43">
        <v>45658</v>
      </c>
      <c r="C1004" s="10" t="s">
        <v>1046</v>
      </c>
      <c r="D1004" s="10" t="s">
        <v>3</v>
      </c>
      <c r="E1004" s="10" t="s">
        <v>15</v>
      </c>
      <c r="F1004" s="10" t="s">
        <v>23</v>
      </c>
      <c r="G1004" s="10" t="s">
        <v>7</v>
      </c>
      <c r="H1004" s="10" t="s">
        <v>88</v>
      </c>
      <c r="I1004" s="45">
        <v>230</v>
      </c>
      <c r="J1004" s="11">
        <v>0.38299999999999995</v>
      </c>
      <c r="K1004" s="45">
        <f t="shared" si="106"/>
        <v>141.91</v>
      </c>
      <c r="L1004" s="10">
        <v>14</v>
      </c>
      <c r="M1004" s="10">
        <v>1.1000000000000001</v>
      </c>
      <c r="N1004" s="10" t="b">
        <v>0</v>
      </c>
      <c r="O1004" s="41"/>
      <c r="P1004" s="45">
        <f t="shared" si="107"/>
        <v>59.602199999999996</v>
      </c>
      <c r="Q1004" s="45">
        <f t="shared" si="108"/>
        <v>82.3078</v>
      </c>
      <c r="R1004" s="45">
        <v>0</v>
      </c>
      <c r="S1004" s="45">
        <f t="shared" si="109"/>
        <v>0</v>
      </c>
      <c r="T1004" s="45">
        <f t="shared" si="110"/>
        <v>0</v>
      </c>
      <c r="U1004" s="47">
        <f t="shared" si="111"/>
        <v>82.3078</v>
      </c>
    </row>
    <row r="1005" spans="1:21" x14ac:dyDescent="0.3">
      <c r="A1005" s="41" t="str">
        <f t="shared" si="105"/>
        <v>PMANOU</v>
      </c>
      <c r="B1005" s="43">
        <v>45659</v>
      </c>
      <c r="C1005" s="10" t="s">
        <v>1047</v>
      </c>
      <c r="D1005" s="10" t="s">
        <v>31</v>
      </c>
      <c r="E1005" s="10" t="s">
        <v>2</v>
      </c>
      <c r="F1005" s="10" t="s">
        <v>4</v>
      </c>
      <c r="G1005" s="10" t="s">
        <v>12</v>
      </c>
      <c r="H1005" s="10" t="s">
        <v>56</v>
      </c>
      <c r="I1005" s="45">
        <v>4094</v>
      </c>
      <c r="J1005" s="11">
        <v>0.28999999999999998</v>
      </c>
      <c r="K1005" s="45">
        <f t="shared" si="106"/>
        <v>2906.74</v>
      </c>
      <c r="L1005" s="10">
        <v>32</v>
      </c>
      <c r="M1005" s="10">
        <v>2.8</v>
      </c>
      <c r="N1005" s="10" t="b">
        <v>0</v>
      </c>
      <c r="O1005" s="41"/>
      <c r="P1005" s="45">
        <f t="shared" si="107"/>
        <v>1220.8308</v>
      </c>
      <c r="Q1005" s="45">
        <f t="shared" si="108"/>
        <v>1685.9091999999998</v>
      </c>
      <c r="R1005" s="45">
        <v>0</v>
      </c>
      <c r="S1005" s="45">
        <f t="shared" si="109"/>
        <v>0</v>
      </c>
      <c r="T1005" s="45">
        <f t="shared" si="110"/>
        <v>0</v>
      </c>
      <c r="U1005" s="47">
        <f t="shared" si="111"/>
        <v>1685.9091999999998</v>
      </c>
    </row>
    <row r="1006" spans="1:21" x14ac:dyDescent="0.3">
      <c r="A1006" s="41" t="str">
        <f t="shared" si="105"/>
        <v>PGAPAC</v>
      </c>
      <c r="B1006" s="43">
        <v>45659</v>
      </c>
      <c r="C1006" s="10" t="s">
        <v>1048</v>
      </c>
      <c r="D1006" s="10" t="s">
        <v>53</v>
      </c>
      <c r="E1006" s="10" t="s">
        <v>15</v>
      </c>
      <c r="F1006" s="10" t="s">
        <v>4</v>
      </c>
      <c r="G1006" s="10" t="s">
        <v>7</v>
      </c>
      <c r="H1006" s="10" t="s">
        <v>6</v>
      </c>
      <c r="I1006" s="45">
        <v>334</v>
      </c>
      <c r="J1006" s="11">
        <v>0</v>
      </c>
      <c r="K1006" s="45">
        <f t="shared" si="106"/>
        <v>334</v>
      </c>
      <c r="L1006" s="10">
        <v>31</v>
      </c>
      <c r="M1006" s="10">
        <v>2</v>
      </c>
      <c r="N1006" s="10" t="b">
        <v>0</v>
      </c>
      <c r="O1006" s="41"/>
      <c r="P1006" s="45">
        <f t="shared" si="107"/>
        <v>140.28</v>
      </c>
      <c r="Q1006" s="45">
        <f t="shared" si="108"/>
        <v>193.72</v>
      </c>
      <c r="R1006" s="45">
        <v>0</v>
      </c>
      <c r="S1006" s="45">
        <f t="shared" si="109"/>
        <v>0</v>
      </c>
      <c r="T1006" s="45">
        <f t="shared" si="110"/>
        <v>0</v>
      </c>
      <c r="U1006" s="47">
        <f t="shared" si="111"/>
        <v>193.72</v>
      </c>
    </row>
    <row r="1007" spans="1:21" x14ac:dyDescent="0.3">
      <c r="A1007" s="41" t="str">
        <f t="shared" si="105"/>
        <v>PGAPAC</v>
      </c>
      <c r="B1007" s="43">
        <v>45659</v>
      </c>
      <c r="C1007" s="10" t="s">
        <v>1049</v>
      </c>
      <c r="D1007" s="10" t="s">
        <v>53</v>
      </c>
      <c r="E1007" s="10" t="s">
        <v>15</v>
      </c>
      <c r="F1007" s="10" t="s">
        <v>54</v>
      </c>
      <c r="G1007" s="10" t="s">
        <v>7</v>
      </c>
      <c r="H1007" s="10" t="s">
        <v>13</v>
      </c>
      <c r="I1007" s="45">
        <v>218</v>
      </c>
      <c r="J1007" s="11">
        <v>0</v>
      </c>
      <c r="K1007" s="45">
        <f t="shared" si="106"/>
        <v>218</v>
      </c>
      <c r="L1007" s="10">
        <v>39</v>
      </c>
      <c r="M1007" s="10">
        <v>4.8</v>
      </c>
      <c r="N1007" s="10" t="b">
        <v>1</v>
      </c>
      <c r="O1007" s="41" t="s">
        <v>309</v>
      </c>
      <c r="P1007" s="45">
        <f t="shared" si="107"/>
        <v>91.56</v>
      </c>
      <c r="Q1007" s="45">
        <f t="shared" si="108"/>
        <v>126.44</v>
      </c>
      <c r="R1007" s="45">
        <v>150</v>
      </c>
      <c r="S1007" s="45">
        <f t="shared" si="109"/>
        <v>21.8</v>
      </c>
      <c r="T1007" s="45">
        <f t="shared" si="110"/>
        <v>218</v>
      </c>
      <c r="U1007" s="47">
        <f t="shared" si="111"/>
        <v>-263.36</v>
      </c>
    </row>
    <row r="1008" spans="1:21" x14ac:dyDescent="0.3">
      <c r="A1008" s="41" t="str">
        <f t="shared" si="105"/>
        <v>PZARAC</v>
      </c>
      <c r="B1008" s="43">
        <v>45660</v>
      </c>
      <c r="C1008" s="10" t="s">
        <v>1050</v>
      </c>
      <c r="D1008" s="10" t="s">
        <v>3</v>
      </c>
      <c r="E1008" s="10" t="s">
        <v>15</v>
      </c>
      <c r="F1008" s="10" t="s">
        <v>23</v>
      </c>
      <c r="G1008" s="10" t="s">
        <v>7</v>
      </c>
      <c r="H1008" s="10" t="s">
        <v>58</v>
      </c>
      <c r="I1008" s="45">
        <v>298</v>
      </c>
      <c r="J1008" s="11">
        <v>0.34600000000000003</v>
      </c>
      <c r="K1008" s="45">
        <f t="shared" si="106"/>
        <v>194.89199999999997</v>
      </c>
      <c r="L1008" s="10">
        <v>45</v>
      </c>
      <c r="M1008" s="10">
        <v>2.1</v>
      </c>
      <c r="N1008" s="10" t="b">
        <v>0</v>
      </c>
      <c r="O1008" s="41"/>
      <c r="P1008" s="45">
        <f t="shared" si="107"/>
        <v>81.854639999999989</v>
      </c>
      <c r="Q1008" s="45">
        <f t="shared" si="108"/>
        <v>113.03735999999998</v>
      </c>
      <c r="R1008" s="45">
        <v>0</v>
      </c>
      <c r="S1008" s="45">
        <f t="shared" si="109"/>
        <v>0</v>
      </c>
      <c r="T1008" s="45">
        <f t="shared" si="110"/>
        <v>0</v>
      </c>
      <c r="U1008" s="47">
        <f t="shared" si="111"/>
        <v>113.03735999999998</v>
      </c>
    </row>
    <row r="1009" spans="1:21" x14ac:dyDescent="0.3">
      <c r="A1009" s="41" t="str">
        <f t="shared" si="105"/>
        <v>PFORAC</v>
      </c>
      <c r="B1009" s="43">
        <v>45660</v>
      </c>
      <c r="C1009" s="10" t="s">
        <v>1051</v>
      </c>
      <c r="D1009" s="10" t="s">
        <v>65</v>
      </c>
      <c r="E1009" s="10" t="s">
        <v>15</v>
      </c>
      <c r="F1009" s="10" t="s">
        <v>23</v>
      </c>
      <c r="G1009" s="10" t="s">
        <v>7</v>
      </c>
      <c r="H1009" s="10" t="s">
        <v>58</v>
      </c>
      <c r="I1009" s="45">
        <v>357</v>
      </c>
      <c r="J1009" s="11">
        <v>0.25900000000000001</v>
      </c>
      <c r="K1009" s="45">
        <f t="shared" si="106"/>
        <v>264.53699999999998</v>
      </c>
      <c r="L1009" s="10">
        <v>31</v>
      </c>
      <c r="M1009" s="10">
        <v>1.9</v>
      </c>
      <c r="N1009" s="10" t="b">
        <v>0</v>
      </c>
      <c r="O1009" s="41"/>
      <c r="P1009" s="45">
        <f t="shared" si="107"/>
        <v>111.10553999999999</v>
      </c>
      <c r="Q1009" s="45">
        <f t="shared" si="108"/>
        <v>153.43145999999999</v>
      </c>
      <c r="R1009" s="45">
        <v>0</v>
      </c>
      <c r="S1009" s="45">
        <f t="shared" si="109"/>
        <v>0</v>
      </c>
      <c r="T1009" s="45">
        <f t="shared" si="110"/>
        <v>0</v>
      </c>
      <c r="U1009" s="47">
        <f t="shared" si="111"/>
        <v>153.43145999999999</v>
      </c>
    </row>
    <row r="1010" spans="1:21" x14ac:dyDescent="0.3">
      <c r="A1010" s="41" t="str">
        <f t="shared" si="105"/>
        <v>PGAPBO</v>
      </c>
      <c r="B1010" s="43">
        <v>45660</v>
      </c>
      <c r="C1010" s="10" t="s">
        <v>1052</v>
      </c>
      <c r="D1010" s="10" t="s">
        <v>53</v>
      </c>
      <c r="E1010" s="10" t="s">
        <v>26</v>
      </c>
      <c r="F1010" s="10" t="s">
        <v>23</v>
      </c>
      <c r="G1010" s="10" t="s">
        <v>46</v>
      </c>
      <c r="H1010" s="10" t="s">
        <v>16</v>
      </c>
      <c r="I1010" s="45">
        <v>2119</v>
      </c>
      <c r="J1010" s="11">
        <v>0.24199999999999999</v>
      </c>
      <c r="K1010" s="45">
        <f t="shared" si="106"/>
        <v>1606.202</v>
      </c>
      <c r="L1010" s="10">
        <v>8</v>
      </c>
      <c r="M1010" s="10">
        <v>3.2</v>
      </c>
      <c r="N1010" s="10" t="b">
        <v>0</v>
      </c>
      <c r="O1010" s="41"/>
      <c r="P1010" s="45">
        <f t="shared" si="107"/>
        <v>674.60483999999997</v>
      </c>
      <c r="Q1010" s="45">
        <f t="shared" si="108"/>
        <v>931.59716000000003</v>
      </c>
      <c r="R1010" s="45">
        <v>0</v>
      </c>
      <c r="S1010" s="45">
        <f t="shared" si="109"/>
        <v>0</v>
      </c>
      <c r="T1010" s="45">
        <f t="shared" si="110"/>
        <v>0</v>
      </c>
      <c r="U1010" s="47">
        <f t="shared" si="111"/>
        <v>931.59716000000003</v>
      </c>
    </row>
    <row r="1011" spans="1:21" x14ac:dyDescent="0.3">
      <c r="A1011" s="41" t="str">
        <f t="shared" si="105"/>
        <v>PMANDR</v>
      </c>
      <c r="B1011" s="43">
        <v>45660</v>
      </c>
      <c r="C1011" s="10" t="s">
        <v>1053</v>
      </c>
      <c r="D1011" s="10" t="s">
        <v>31</v>
      </c>
      <c r="E1011" s="10" t="s">
        <v>30</v>
      </c>
      <c r="F1011" s="10" t="s">
        <v>23</v>
      </c>
      <c r="G1011" s="10" t="s">
        <v>38</v>
      </c>
      <c r="H1011" s="10" t="s">
        <v>13</v>
      </c>
      <c r="I1011" s="45">
        <v>2017</v>
      </c>
      <c r="J1011" s="11">
        <v>0</v>
      </c>
      <c r="K1011" s="45">
        <f t="shared" si="106"/>
        <v>2017</v>
      </c>
      <c r="L1011" s="10">
        <v>21</v>
      </c>
      <c r="M1011" s="10"/>
      <c r="N1011" s="10" t="b">
        <v>0</v>
      </c>
      <c r="O1011" s="41"/>
      <c r="P1011" s="45">
        <f t="shared" si="107"/>
        <v>847.14</v>
      </c>
      <c r="Q1011" s="45">
        <f t="shared" si="108"/>
        <v>1169.8600000000001</v>
      </c>
      <c r="R1011" s="45">
        <v>0</v>
      </c>
      <c r="S1011" s="45">
        <f t="shared" si="109"/>
        <v>0</v>
      </c>
      <c r="T1011" s="45">
        <f t="shared" si="110"/>
        <v>0</v>
      </c>
      <c r="U1011" s="47">
        <f t="shared" si="111"/>
        <v>1169.8600000000001</v>
      </c>
    </row>
    <row r="1012" spans="1:21" x14ac:dyDescent="0.3">
      <c r="A1012" s="41" t="str">
        <f t="shared" si="105"/>
        <v>PZARDR</v>
      </c>
      <c r="B1012" s="43">
        <v>45661</v>
      </c>
      <c r="C1012" s="10" t="s">
        <v>1054</v>
      </c>
      <c r="D1012" s="10" t="s">
        <v>3</v>
      </c>
      <c r="E1012" s="10" t="s">
        <v>30</v>
      </c>
      <c r="F1012" s="10" t="s">
        <v>4</v>
      </c>
      <c r="G1012" s="10" t="s">
        <v>12</v>
      </c>
      <c r="H1012" s="10" t="s">
        <v>6</v>
      </c>
      <c r="I1012" s="45">
        <v>2669</v>
      </c>
      <c r="J1012" s="11">
        <v>0</v>
      </c>
      <c r="K1012" s="45">
        <f t="shared" si="106"/>
        <v>2669</v>
      </c>
      <c r="L1012" s="10">
        <v>36</v>
      </c>
      <c r="M1012" s="10">
        <v>2.1</v>
      </c>
      <c r="N1012" s="10" t="b">
        <v>0</v>
      </c>
      <c r="O1012" s="41"/>
      <c r="P1012" s="45">
        <f t="shared" si="107"/>
        <v>1120.98</v>
      </c>
      <c r="Q1012" s="45">
        <f t="shared" si="108"/>
        <v>1548.02</v>
      </c>
      <c r="R1012" s="45">
        <v>0</v>
      </c>
      <c r="S1012" s="45">
        <f t="shared" si="109"/>
        <v>0</v>
      </c>
      <c r="T1012" s="45">
        <f t="shared" si="110"/>
        <v>0</v>
      </c>
      <c r="U1012" s="47">
        <f t="shared" si="111"/>
        <v>1548.02</v>
      </c>
    </row>
    <row r="1013" spans="1:21" x14ac:dyDescent="0.3">
      <c r="A1013" s="41" t="str">
        <f t="shared" si="105"/>
        <v>PZARTO</v>
      </c>
      <c r="B1013" s="43">
        <v>45661</v>
      </c>
      <c r="C1013" s="10" t="s">
        <v>1055</v>
      </c>
      <c r="D1013" s="10" t="s">
        <v>3</v>
      </c>
      <c r="E1013" s="10" t="s">
        <v>9</v>
      </c>
      <c r="F1013" s="10" t="s">
        <v>54</v>
      </c>
      <c r="G1013" s="10" t="s">
        <v>27</v>
      </c>
      <c r="H1013" s="10" t="s">
        <v>13</v>
      </c>
      <c r="I1013" s="45">
        <v>1059</v>
      </c>
      <c r="J1013" s="11">
        <v>0.57399999999999995</v>
      </c>
      <c r="K1013" s="45">
        <f t="shared" si="106"/>
        <v>451.13400000000007</v>
      </c>
      <c r="L1013" s="10">
        <v>46</v>
      </c>
      <c r="M1013" s="10">
        <v>3.1</v>
      </c>
      <c r="N1013" s="10" t="b">
        <v>1</v>
      </c>
      <c r="O1013" s="41" t="s">
        <v>50</v>
      </c>
      <c r="P1013" s="45">
        <f t="shared" si="107"/>
        <v>189.47628000000003</v>
      </c>
      <c r="Q1013" s="45">
        <f t="shared" si="108"/>
        <v>261.65772000000004</v>
      </c>
      <c r="R1013" s="45">
        <v>150</v>
      </c>
      <c r="S1013" s="45">
        <f t="shared" si="109"/>
        <v>45.113400000000013</v>
      </c>
      <c r="T1013" s="45">
        <f t="shared" si="110"/>
        <v>451.13400000000007</v>
      </c>
      <c r="U1013" s="47">
        <f t="shared" si="111"/>
        <v>-384.58968000000004</v>
      </c>
    </row>
    <row r="1014" spans="1:21" x14ac:dyDescent="0.3">
      <c r="A1014" s="41" t="str">
        <f t="shared" si="105"/>
        <v>PH&amp;MOU</v>
      </c>
      <c r="B1014" s="43">
        <v>45661</v>
      </c>
      <c r="C1014" s="10" t="s">
        <v>1056</v>
      </c>
      <c r="D1014" s="10" t="s">
        <v>37</v>
      </c>
      <c r="E1014" s="10" t="s">
        <v>2</v>
      </c>
      <c r="F1014" s="10" t="s">
        <v>11</v>
      </c>
      <c r="G1014" s="10" t="s">
        <v>38</v>
      </c>
      <c r="H1014" s="10" t="s">
        <v>35</v>
      </c>
      <c r="I1014" s="45">
        <v>3731</v>
      </c>
      <c r="J1014" s="11">
        <v>0</v>
      </c>
      <c r="K1014" s="45">
        <f t="shared" si="106"/>
        <v>3731</v>
      </c>
      <c r="L1014" s="10">
        <v>31</v>
      </c>
      <c r="M1014" s="10">
        <v>2.9</v>
      </c>
      <c r="N1014" s="10" t="b">
        <v>0</v>
      </c>
      <c r="O1014" s="41"/>
      <c r="P1014" s="45">
        <f t="shared" si="107"/>
        <v>1567.02</v>
      </c>
      <c r="Q1014" s="45">
        <f t="shared" si="108"/>
        <v>2163.98</v>
      </c>
      <c r="R1014" s="45">
        <v>0</v>
      </c>
      <c r="S1014" s="45">
        <f t="shared" si="109"/>
        <v>0</v>
      </c>
      <c r="T1014" s="45">
        <f t="shared" si="110"/>
        <v>0</v>
      </c>
      <c r="U1014" s="47">
        <f t="shared" si="111"/>
        <v>2163.98</v>
      </c>
    </row>
    <row r="1015" spans="1:21" x14ac:dyDescent="0.3">
      <c r="A1015" s="41" t="str">
        <f t="shared" si="105"/>
        <v>PMANSH</v>
      </c>
      <c r="B1015" s="43">
        <v>45661</v>
      </c>
      <c r="C1015" s="10" t="s">
        <v>1057</v>
      </c>
      <c r="D1015" s="10" t="s">
        <v>31</v>
      </c>
      <c r="E1015" s="10" t="s">
        <v>18</v>
      </c>
      <c r="F1015" s="10" t="s">
        <v>11</v>
      </c>
      <c r="G1015" s="10" t="s">
        <v>5</v>
      </c>
      <c r="H1015" s="10" t="s">
        <v>58</v>
      </c>
      <c r="I1015" s="45">
        <v>4496</v>
      </c>
      <c r="J1015" s="11">
        <v>0</v>
      </c>
      <c r="K1015" s="45">
        <f t="shared" si="106"/>
        <v>4496</v>
      </c>
      <c r="L1015" s="10">
        <v>43</v>
      </c>
      <c r="M1015" s="10">
        <v>2.8</v>
      </c>
      <c r="N1015" s="10" t="b">
        <v>0</v>
      </c>
      <c r="O1015" s="41"/>
      <c r="P1015" s="45">
        <f t="shared" si="107"/>
        <v>1888.32</v>
      </c>
      <c r="Q1015" s="45">
        <f t="shared" si="108"/>
        <v>2607.6800000000003</v>
      </c>
      <c r="R1015" s="45">
        <v>0</v>
      </c>
      <c r="S1015" s="45">
        <f t="shared" si="109"/>
        <v>0</v>
      </c>
      <c r="T1015" s="45">
        <f t="shared" si="110"/>
        <v>0</v>
      </c>
      <c r="U1015" s="47">
        <f t="shared" si="111"/>
        <v>2607.6800000000003</v>
      </c>
    </row>
    <row r="1016" spans="1:21" x14ac:dyDescent="0.3">
      <c r="A1016" s="41" t="str">
        <f t="shared" si="105"/>
        <v>PANNBO</v>
      </c>
      <c r="B1016" s="43">
        <v>45661</v>
      </c>
      <c r="C1016" s="10" t="s">
        <v>1058</v>
      </c>
      <c r="D1016" s="10" t="s">
        <v>42</v>
      </c>
      <c r="E1016" s="10" t="s">
        <v>26</v>
      </c>
      <c r="F1016" s="10" t="s">
        <v>4</v>
      </c>
      <c r="G1016" s="10" t="s">
        <v>38</v>
      </c>
      <c r="H1016" s="10" t="s">
        <v>88</v>
      </c>
      <c r="I1016" s="45">
        <v>2861</v>
      </c>
      <c r="J1016" s="11">
        <v>0.156</v>
      </c>
      <c r="K1016" s="45">
        <f t="shared" si="106"/>
        <v>2414.6839999999997</v>
      </c>
      <c r="L1016" s="10">
        <v>31</v>
      </c>
      <c r="M1016" s="10">
        <v>1.7</v>
      </c>
      <c r="N1016" s="10" t="b">
        <v>0</v>
      </c>
      <c r="O1016" s="41"/>
      <c r="P1016" s="45">
        <f t="shared" si="107"/>
        <v>1014.1672799999999</v>
      </c>
      <c r="Q1016" s="45">
        <f t="shared" si="108"/>
        <v>1400.5167199999999</v>
      </c>
      <c r="R1016" s="45">
        <v>0</v>
      </c>
      <c r="S1016" s="45">
        <f t="shared" si="109"/>
        <v>0</v>
      </c>
      <c r="T1016" s="45">
        <f t="shared" si="110"/>
        <v>0</v>
      </c>
      <c r="U1016" s="47">
        <f t="shared" si="111"/>
        <v>1400.5167199999999</v>
      </c>
    </row>
    <row r="1017" spans="1:21" x14ac:dyDescent="0.3">
      <c r="A1017" s="41" t="str">
        <f t="shared" si="105"/>
        <v>PZAROU</v>
      </c>
      <c r="B1017" s="43">
        <v>45662</v>
      </c>
      <c r="C1017" s="10" t="s">
        <v>1059</v>
      </c>
      <c r="D1017" s="10" t="s">
        <v>3</v>
      </c>
      <c r="E1017" s="10" t="s">
        <v>2</v>
      </c>
      <c r="F1017" s="10" t="s">
        <v>11</v>
      </c>
      <c r="G1017" s="10" t="s">
        <v>27</v>
      </c>
      <c r="H1017" s="10" t="s">
        <v>28</v>
      </c>
      <c r="I1017" s="45">
        <v>3628</v>
      </c>
      <c r="J1017" s="11">
        <v>0.47499999999999998</v>
      </c>
      <c r="K1017" s="45">
        <f t="shared" si="106"/>
        <v>1904.7</v>
      </c>
      <c r="L1017" s="10">
        <v>21</v>
      </c>
      <c r="M1017" s="10"/>
      <c r="N1017" s="10" t="b">
        <v>0</v>
      </c>
      <c r="O1017" s="41"/>
      <c r="P1017" s="45">
        <f t="shared" si="107"/>
        <v>799.97399999999993</v>
      </c>
      <c r="Q1017" s="45">
        <f t="shared" si="108"/>
        <v>1104.7260000000001</v>
      </c>
      <c r="R1017" s="45">
        <v>0</v>
      </c>
      <c r="S1017" s="45">
        <f t="shared" si="109"/>
        <v>0</v>
      </c>
      <c r="T1017" s="45">
        <f t="shared" si="110"/>
        <v>0</v>
      </c>
      <c r="U1017" s="47">
        <f t="shared" si="111"/>
        <v>1104.7260000000001</v>
      </c>
    </row>
    <row r="1018" spans="1:21" x14ac:dyDescent="0.3">
      <c r="A1018" s="41" t="str">
        <f t="shared" si="105"/>
        <v>PGAPDR</v>
      </c>
      <c r="B1018" s="43">
        <v>45662</v>
      </c>
      <c r="C1018" s="10" t="s">
        <v>1060</v>
      </c>
      <c r="D1018" s="10" t="s">
        <v>53</v>
      </c>
      <c r="E1018" s="10" t="s">
        <v>30</v>
      </c>
      <c r="F1018" s="10" t="s">
        <v>11</v>
      </c>
      <c r="G1018" s="10" t="s">
        <v>12</v>
      </c>
      <c r="H1018" s="10" t="s">
        <v>16</v>
      </c>
      <c r="I1018" s="45">
        <v>2531</v>
      </c>
      <c r="J1018" s="11">
        <v>0</v>
      </c>
      <c r="K1018" s="45">
        <f t="shared" si="106"/>
        <v>2531</v>
      </c>
      <c r="L1018" s="10">
        <v>27</v>
      </c>
      <c r="M1018" s="10">
        <v>3.3</v>
      </c>
      <c r="N1018" s="10" t="b">
        <v>0</v>
      </c>
      <c r="O1018" s="41"/>
      <c r="P1018" s="45">
        <f t="shared" si="107"/>
        <v>1063.02</v>
      </c>
      <c r="Q1018" s="45">
        <f t="shared" si="108"/>
        <v>1467.98</v>
      </c>
      <c r="R1018" s="45">
        <v>0</v>
      </c>
      <c r="S1018" s="45">
        <f t="shared" si="109"/>
        <v>0</v>
      </c>
      <c r="T1018" s="45">
        <f t="shared" si="110"/>
        <v>0</v>
      </c>
      <c r="U1018" s="47">
        <f t="shared" si="111"/>
        <v>1467.98</v>
      </c>
    </row>
    <row r="1019" spans="1:21" x14ac:dyDescent="0.3">
      <c r="A1019" s="41" t="str">
        <f t="shared" si="105"/>
        <v>PFORTO</v>
      </c>
      <c r="B1019" s="43">
        <v>45662</v>
      </c>
      <c r="C1019" s="10" t="s">
        <v>1061</v>
      </c>
      <c r="D1019" s="10" t="s">
        <v>65</v>
      </c>
      <c r="E1019" s="10" t="s">
        <v>9</v>
      </c>
      <c r="F1019" s="10" t="s">
        <v>54</v>
      </c>
      <c r="G1019" s="10" t="s">
        <v>38</v>
      </c>
      <c r="H1019" s="10" t="s">
        <v>32</v>
      </c>
      <c r="I1019" s="45">
        <v>988</v>
      </c>
      <c r="J1019" s="11">
        <v>0.121</v>
      </c>
      <c r="K1019" s="45">
        <f t="shared" si="106"/>
        <v>868.452</v>
      </c>
      <c r="L1019" s="10">
        <v>43</v>
      </c>
      <c r="M1019" s="10">
        <v>3.2</v>
      </c>
      <c r="N1019" s="10" t="b">
        <v>0</v>
      </c>
      <c r="O1019" s="41"/>
      <c r="P1019" s="45">
        <f t="shared" si="107"/>
        <v>364.74984000000001</v>
      </c>
      <c r="Q1019" s="45">
        <f t="shared" si="108"/>
        <v>503.70215999999999</v>
      </c>
      <c r="R1019" s="45">
        <v>0</v>
      </c>
      <c r="S1019" s="45">
        <f t="shared" si="109"/>
        <v>0</v>
      </c>
      <c r="T1019" s="45">
        <f t="shared" si="110"/>
        <v>0</v>
      </c>
      <c r="U1019" s="47">
        <f t="shared" si="111"/>
        <v>503.70215999999999</v>
      </c>
    </row>
    <row r="1020" spans="1:21" x14ac:dyDescent="0.3">
      <c r="A1020" s="41" t="str">
        <f t="shared" si="105"/>
        <v>PMANTO</v>
      </c>
      <c r="B1020" s="43">
        <v>45663</v>
      </c>
      <c r="C1020" s="10" t="s">
        <v>1062</v>
      </c>
      <c r="D1020" s="10" t="s">
        <v>31</v>
      </c>
      <c r="E1020" s="10" t="s">
        <v>9</v>
      </c>
      <c r="F1020" s="10" t="s">
        <v>54</v>
      </c>
      <c r="G1020" s="10" t="s">
        <v>38</v>
      </c>
      <c r="H1020" s="10" t="s">
        <v>58</v>
      </c>
      <c r="I1020" s="45">
        <v>1253</v>
      </c>
      <c r="J1020" s="11">
        <v>0</v>
      </c>
      <c r="K1020" s="45">
        <f t="shared" si="106"/>
        <v>1253</v>
      </c>
      <c r="L1020" s="10">
        <v>24</v>
      </c>
      <c r="M1020" s="10"/>
      <c r="N1020" s="10" t="b">
        <v>0</v>
      </c>
      <c r="O1020" s="41"/>
      <c r="P1020" s="45">
        <f t="shared" si="107"/>
        <v>526.26</v>
      </c>
      <c r="Q1020" s="45">
        <f t="shared" si="108"/>
        <v>726.74</v>
      </c>
      <c r="R1020" s="45">
        <v>0</v>
      </c>
      <c r="S1020" s="45">
        <f t="shared" si="109"/>
        <v>0</v>
      </c>
      <c r="T1020" s="45">
        <f t="shared" si="110"/>
        <v>0</v>
      </c>
      <c r="U1020" s="47">
        <f t="shared" si="111"/>
        <v>726.74</v>
      </c>
    </row>
    <row r="1021" spans="1:21" x14ac:dyDescent="0.3">
      <c r="A1021" s="41" t="str">
        <f t="shared" si="105"/>
        <v>PFORSH</v>
      </c>
      <c r="B1021" s="43">
        <v>45663</v>
      </c>
      <c r="C1021" s="10" t="s">
        <v>1063</v>
      </c>
      <c r="D1021" s="10" t="s">
        <v>65</v>
      </c>
      <c r="E1021" s="10" t="s">
        <v>18</v>
      </c>
      <c r="F1021" s="10" t="s">
        <v>23</v>
      </c>
      <c r="G1021" s="10" t="s">
        <v>49</v>
      </c>
      <c r="H1021" s="10" t="s">
        <v>56</v>
      </c>
      <c r="I1021" s="45">
        <v>3942</v>
      </c>
      <c r="J1021" s="11">
        <v>0</v>
      </c>
      <c r="K1021" s="45">
        <f t="shared" si="106"/>
        <v>3942</v>
      </c>
      <c r="L1021" s="10">
        <v>43</v>
      </c>
      <c r="M1021" s="10">
        <v>1.9</v>
      </c>
      <c r="N1021" s="10" t="b">
        <v>1</v>
      </c>
      <c r="O1021" s="41" t="s">
        <v>50</v>
      </c>
      <c r="P1021" s="45">
        <f t="shared" si="107"/>
        <v>1655.6399999999999</v>
      </c>
      <c r="Q1021" s="45">
        <f t="shared" si="108"/>
        <v>2286.36</v>
      </c>
      <c r="R1021" s="45">
        <v>150</v>
      </c>
      <c r="S1021" s="45">
        <f t="shared" si="109"/>
        <v>394.20000000000005</v>
      </c>
      <c r="T1021" s="45">
        <f t="shared" si="110"/>
        <v>3942</v>
      </c>
      <c r="U1021" s="47">
        <f t="shared" si="111"/>
        <v>-2199.84</v>
      </c>
    </row>
    <row r="1022" spans="1:21" x14ac:dyDescent="0.3">
      <c r="A1022" s="41" t="str">
        <f t="shared" si="105"/>
        <v>PANNTO</v>
      </c>
      <c r="B1022" s="43">
        <v>45663</v>
      </c>
      <c r="C1022" s="10" t="s">
        <v>1064</v>
      </c>
      <c r="D1022" s="10" t="s">
        <v>42</v>
      </c>
      <c r="E1022" s="10" t="s">
        <v>9</v>
      </c>
      <c r="F1022" s="10" t="s">
        <v>54</v>
      </c>
      <c r="G1022" s="10" t="s">
        <v>27</v>
      </c>
      <c r="H1022" s="10" t="s">
        <v>16</v>
      </c>
      <c r="I1022" s="45">
        <v>1606</v>
      </c>
      <c r="J1022" s="11">
        <v>0</v>
      </c>
      <c r="K1022" s="45">
        <f t="shared" si="106"/>
        <v>1606</v>
      </c>
      <c r="L1022" s="10">
        <v>35</v>
      </c>
      <c r="M1022" s="10">
        <v>3</v>
      </c>
      <c r="N1022" s="10" t="b">
        <v>0</v>
      </c>
      <c r="O1022" s="41"/>
      <c r="P1022" s="45">
        <f t="shared" si="107"/>
        <v>674.52</v>
      </c>
      <c r="Q1022" s="45">
        <f t="shared" si="108"/>
        <v>931.48</v>
      </c>
      <c r="R1022" s="45">
        <v>0</v>
      </c>
      <c r="S1022" s="45">
        <f t="shared" si="109"/>
        <v>0</v>
      </c>
      <c r="T1022" s="45">
        <f t="shared" si="110"/>
        <v>0</v>
      </c>
      <c r="U1022" s="47">
        <f t="shared" si="111"/>
        <v>931.48</v>
      </c>
    </row>
    <row r="1023" spans="1:21" x14ac:dyDescent="0.3">
      <c r="A1023" s="41" t="str">
        <f t="shared" si="105"/>
        <v>PUNIAC</v>
      </c>
      <c r="B1023" s="43">
        <v>45663</v>
      </c>
      <c r="C1023" s="10" t="s">
        <v>1065</v>
      </c>
      <c r="D1023" s="10" t="s">
        <v>10</v>
      </c>
      <c r="E1023" s="10" t="s">
        <v>15</v>
      </c>
      <c r="F1023" s="10" t="s">
        <v>54</v>
      </c>
      <c r="G1023" s="10" t="s">
        <v>7</v>
      </c>
      <c r="H1023" s="10" t="s">
        <v>6</v>
      </c>
      <c r="I1023" s="45">
        <v>290</v>
      </c>
      <c r="J1023" s="11">
        <v>0</v>
      </c>
      <c r="K1023" s="45">
        <f t="shared" si="106"/>
        <v>290</v>
      </c>
      <c r="L1023" s="10">
        <v>4</v>
      </c>
      <c r="M1023" s="10">
        <v>3.9</v>
      </c>
      <c r="N1023" s="10" t="b">
        <v>1</v>
      </c>
      <c r="O1023" s="41" t="s">
        <v>44</v>
      </c>
      <c r="P1023" s="45">
        <f t="shared" si="107"/>
        <v>121.8</v>
      </c>
      <c r="Q1023" s="45">
        <f t="shared" si="108"/>
        <v>168.2</v>
      </c>
      <c r="R1023" s="45">
        <v>150</v>
      </c>
      <c r="S1023" s="45">
        <f t="shared" si="109"/>
        <v>29</v>
      </c>
      <c r="T1023" s="45">
        <f t="shared" si="110"/>
        <v>290</v>
      </c>
      <c r="U1023" s="47">
        <f t="shared" si="111"/>
        <v>-300.8</v>
      </c>
    </row>
    <row r="1024" spans="1:21" x14ac:dyDescent="0.3">
      <c r="A1024" s="41" t="str">
        <f t="shared" si="105"/>
        <v>PMANTO</v>
      </c>
      <c r="B1024" s="43">
        <v>45664</v>
      </c>
      <c r="C1024" s="10" t="s">
        <v>1066</v>
      </c>
      <c r="D1024" s="10" t="s">
        <v>31</v>
      </c>
      <c r="E1024" s="10" t="s">
        <v>9</v>
      </c>
      <c r="F1024" s="10" t="s">
        <v>23</v>
      </c>
      <c r="G1024" s="10" t="s">
        <v>7</v>
      </c>
      <c r="H1024" s="10" t="s">
        <v>28</v>
      </c>
      <c r="I1024" s="45">
        <v>1664</v>
      </c>
      <c r="J1024" s="11">
        <v>0</v>
      </c>
      <c r="K1024" s="45">
        <f t="shared" si="106"/>
        <v>1664</v>
      </c>
      <c r="L1024" s="10">
        <v>14</v>
      </c>
      <c r="M1024" s="10">
        <v>3.2</v>
      </c>
      <c r="N1024" s="10" t="b">
        <v>0</v>
      </c>
      <c r="O1024" s="41"/>
      <c r="P1024" s="45">
        <f t="shared" si="107"/>
        <v>698.88</v>
      </c>
      <c r="Q1024" s="45">
        <f t="shared" si="108"/>
        <v>965.12</v>
      </c>
      <c r="R1024" s="45">
        <v>0</v>
      </c>
      <c r="S1024" s="45">
        <f t="shared" si="109"/>
        <v>0</v>
      </c>
      <c r="T1024" s="45">
        <f t="shared" si="110"/>
        <v>0</v>
      </c>
      <c r="U1024" s="47">
        <f t="shared" si="111"/>
        <v>965.12</v>
      </c>
    </row>
    <row r="1025" spans="1:21" x14ac:dyDescent="0.3">
      <c r="A1025" s="41" t="str">
        <f t="shared" si="105"/>
        <v>PBANTO</v>
      </c>
      <c r="B1025" s="43">
        <v>45664</v>
      </c>
      <c r="C1025" s="10" t="s">
        <v>1067</v>
      </c>
      <c r="D1025" s="10" t="s">
        <v>21</v>
      </c>
      <c r="E1025" s="10" t="s">
        <v>9</v>
      </c>
      <c r="F1025" s="10" t="s">
        <v>4</v>
      </c>
      <c r="G1025" s="10" t="s">
        <v>27</v>
      </c>
      <c r="H1025" s="10" t="s">
        <v>88</v>
      </c>
      <c r="I1025" s="45">
        <v>1592</v>
      </c>
      <c r="J1025" s="11">
        <v>0</v>
      </c>
      <c r="K1025" s="45">
        <f t="shared" si="106"/>
        <v>1592</v>
      </c>
      <c r="L1025" s="10">
        <v>6</v>
      </c>
      <c r="M1025" s="10">
        <v>4.5999999999999996</v>
      </c>
      <c r="N1025" s="10" t="b">
        <v>0</v>
      </c>
      <c r="O1025" s="41"/>
      <c r="P1025" s="45">
        <f t="shared" si="107"/>
        <v>668.64</v>
      </c>
      <c r="Q1025" s="45">
        <f t="shared" si="108"/>
        <v>923.36</v>
      </c>
      <c r="R1025" s="45">
        <v>0</v>
      </c>
      <c r="S1025" s="45">
        <f t="shared" si="109"/>
        <v>0</v>
      </c>
      <c r="T1025" s="45">
        <f t="shared" si="110"/>
        <v>0</v>
      </c>
      <c r="U1025" s="47">
        <f t="shared" si="111"/>
        <v>923.36</v>
      </c>
    </row>
    <row r="1026" spans="1:21" x14ac:dyDescent="0.3">
      <c r="A1026" s="41" t="str">
        <f t="shared" ref="A1026:A1089" si="112">UPPER("P"&amp;LEFT(D1026,3)&amp;LEFT(E1026,2))</f>
        <v>PANNBO</v>
      </c>
      <c r="B1026" s="43">
        <v>45664</v>
      </c>
      <c r="C1026" s="10" t="s">
        <v>1068</v>
      </c>
      <c r="D1026" s="10" t="s">
        <v>42</v>
      </c>
      <c r="E1026" s="10" t="s">
        <v>26</v>
      </c>
      <c r="F1026" s="10" t="s">
        <v>4</v>
      </c>
      <c r="G1026" s="10" t="s">
        <v>12</v>
      </c>
      <c r="H1026" s="10" t="s">
        <v>32</v>
      </c>
      <c r="I1026" s="45">
        <v>2325</v>
      </c>
      <c r="J1026" s="11">
        <v>0.38600000000000001</v>
      </c>
      <c r="K1026" s="45">
        <f t="shared" si="106"/>
        <v>1427.55</v>
      </c>
      <c r="L1026" s="10">
        <v>14</v>
      </c>
      <c r="M1026" s="10">
        <v>4</v>
      </c>
      <c r="N1026" s="10" t="b">
        <v>0</v>
      </c>
      <c r="O1026" s="41"/>
      <c r="P1026" s="45">
        <f t="shared" si="107"/>
        <v>599.57099999999991</v>
      </c>
      <c r="Q1026" s="45">
        <f t="shared" si="108"/>
        <v>827.97900000000004</v>
      </c>
      <c r="R1026" s="45">
        <v>0</v>
      </c>
      <c r="S1026" s="45">
        <f t="shared" si="109"/>
        <v>0</v>
      </c>
      <c r="T1026" s="45">
        <f t="shared" si="110"/>
        <v>0</v>
      </c>
      <c r="U1026" s="47">
        <f t="shared" si="111"/>
        <v>827.97900000000004</v>
      </c>
    </row>
    <row r="1027" spans="1:21" x14ac:dyDescent="0.3">
      <c r="A1027" s="41" t="str">
        <f t="shared" si="112"/>
        <v>PGAPSH</v>
      </c>
      <c r="B1027" s="43">
        <v>45664</v>
      </c>
      <c r="C1027" s="10" t="s">
        <v>1069</v>
      </c>
      <c r="D1027" s="10" t="s">
        <v>53</v>
      </c>
      <c r="E1027" s="10" t="s">
        <v>18</v>
      </c>
      <c r="F1027" s="10" t="s">
        <v>4</v>
      </c>
      <c r="G1027" s="10" t="s">
        <v>38</v>
      </c>
      <c r="H1027" s="10" t="s">
        <v>56</v>
      </c>
      <c r="I1027" s="45">
        <v>3692</v>
      </c>
      <c r="J1027" s="11">
        <v>0.32200000000000001</v>
      </c>
      <c r="K1027" s="45">
        <f t="shared" ref="K1027:K1090" si="113">I1027*(1-J1027)</f>
        <v>2503.1759999999999</v>
      </c>
      <c r="L1027" s="10">
        <v>5</v>
      </c>
      <c r="M1027" s="10">
        <v>2</v>
      </c>
      <c r="N1027" s="10" t="b">
        <v>1</v>
      </c>
      <c r="O1027" s="41" t="s">
        <v>33</v>
      </c>
      <c r="P1027" s="45">
        <f t="shared" ref="P1027:P1090" si="114">K1027*0.42</f>
        <v>1051.33392</v>
      </c>
      <c r="Q1027" s="45">
        <f t="shared" ref="Q1027:Q1090" si="115">K1027-P1027</f>
        <v>1451.8420799999999</v>
      </c>
      <c r="R1027" s="45">
        <v>150</v>
      </c>
      <c r="S1027" s="45">
        <f t="shared" ref="S1027:S1090" si="116">IF(N1027=TRUE,K1027*0.1,0)</f>
        <v>250.3176</v>
      </c>
      <c r="T1027" s="45">
        <f t="shared" ref="T1027:T1090" si="117">IF(N1027=TRUE,K1027,0)</f>
        <v>2503.1759999999999</v>
      </c>
      <c r="U1027" s="47">
        <f t="shared" ref="U1027:U1090" si="118">Q1027-R1027-S1027-T1027</f>
        <v>-1451.6515200000001</v>
      </c>
    </row>
    <row r="1028" spans="1:21" x14ac:dyDescent="0.3">
      <c r="A1028" s="41" t="str">
        <f t="shared" si="112"/>
        <v>PGAPOU</v>
      </c>
      <c r="B1028" s="43">
        <v>45665</v>
      </c>
      <c r="C1028" s="10" t="s">
        <v>1070</v>
      </c>
      <c r="D1028" s="10" t="s">
        <v>53</v>
      </c>
      <c r="E1028" s="10" t="s">
        <v>2</v>
      </c>
      <c r="F1028" s="10" t="s">
        <v>23</v>
      </c>
      <c r="G1028" s="10" t="s">
        <v>12</v>
      </c>
      <c r="H1028" s="10" t="s">
        <v>58</v>
      </c>
      <c r="I1028" s="45">
        <v>3229</v>
      </c>
      <c r="J1028" s="11">
        <v>0</v>
      </c>
      <c r="K1028" s="45">
        <f t="shared" si="113"/>
        <v>3229</v>
      </c>
      <c r="L1028" s="10">
        <v>29</v>
      </c>
      <c r="M1028" s="10">
        <v>4.2</v>
      </c>
      <c r="N1028" s="10" t="b">
        <v>1</v>
      </c>
      <c r="O1028" s="41" t="s">
        <v>44</v>
      </c>
      <c r="P1028" s="45">
        <f t="shared" si="114"/>
        <v>1356.1799999999998</v>
      </c>
      <c r="Q1028" s="45">
        <f t="shared" si="115"/>
        <v>1872.8200000000002</v>
      </c>
      <c r="R1028" s="45">
        <v>150</v>
      </c>
      <c r="S1028" s="45">
        <f t="shared" si="116"/>
        <v>322.90000000000003</v>
      </c>
      <c r="T1028" s="45">
        <f t="shared" si="117"/>
        <v>3229</v>
      </c>
      <c r="U1028" s="47">
        <f t="shared" si="118"/>
        <v>-1829.08</v>
      </c>
    </row>
    <row r="1029" spans="1:21" x14ac:dyDescent="0.3">
      <c r="A1029" s="41" t="str">
        <f t="shared" si="112"/>
        <v>PH&amp;MOU</v>
      </c>
      <c r="B1029" s="43">
        <v>45665</v>
      </c>
      <c r="C1029" s="10" t="s">
        <v>1071</v>
      </c>
      <c r="D1029" s="10" t="s">
        <v>37</v>
      </c>
      <c r="E1029" s="10" t="s">
        <v>2</v>
      </c>
      <c r="F1029" s="10" t="s">
        <v>4</v>
      </c>
      <c r="G1029" s="10" t="s">
        <v>5</v>
      </c>
      <c r="H1029" s="10" t="s">
        <v>28</v>
      </c>
      <c r="I1029" s="45">
        <v>3301</v>
      </c>
      <c r="J1029" s="11">
        <v>0</v>
      </c>
      <c r="K1029" s="45">
        <f t="shared" si="113"/>
        <v>3301</v>
      </c>
      <c r="L1029" s="10">
        <v>24</v>
      </c>
      <c r="M1029" s="10">
        <v>2.4</v>
      </c>
      <c r="N1029" s="10" t="b">
        <v>1</v>
      </c>
      <c r="O1029" s="41" t="s">
        <v>50</v>
      </c>
      <c r="P1029" s="45">
        <f t="shared" si="114"/>
        <v>1386.4199999999998</v>
      </c>
      <c r="Q1029" s="45">
        <f t="shared" si="115"/>
        <v>1914.5800000000002</v>
      </c>
      <c r="R1029" s="45">
        <v>150</v>
      </c>
      <c r="S1029" s="45">
        <f t="shared" si="116"/>
        <v>330.1</v>
      </c>
      <c r="T1029" s="45">
        <f t="shared" si="117"/>
        <v>3301</v>
      </c>
      <c r="U1029" s="47">
        <f t="shared" si="118"/>
        <v>-1866.52</v>
      </c>
    </row>
    <row r="1030" spans="1:21" x14ac:dyDescent="0.3">
      <c r="A1030" s="41" t="str">
        <f t="shared" si="112"/>
        <v>PFORTO</v>
      </c>
      <c r="B1030" s="43">
        <v>45665</v>
      </c>
      <c r="C1030" s="10" t="s">
        <v>1072</v>
      </c>
      <c r="D1030" s="10" t="s">
        <v>65</v>
      </c>
      <c r="E1030" s="10" t="s">
        <v>9</v>
      </c>
      <c r="F1030" s="10" t="s">
        <v>54</v>
      </c>
      <c r="G1030" s="10" t="s">
        <v>38</v>
      </c>
      <c r="H1030" s="10" t="s">
        <v>7</v>
      </c>
      <c r="I1030" s="45">
        <v>1521</v>
      </c>
      <c r="J1030" s="11">
        <v>0.55399999999999994</v>
      </c>
      <c r="K1030" s="45">
        <f t="shared" si="113"/>
        <v>678.3660000000001</v>
      </c>
      <c r="L1030" s="10">
        <v>2</v>
      </c>
      <c r="M1030" s="10">
        <v>2.5</v>
      </c>
      <c r="N1030" s="10" t="b">
        <v>1</v>
      </c>
      <c r="O1030" s="41" t="s">
        <v>33</v>
      </c>
      <c r="P1030" s="45">
        <f t="shared" si="114"/>
        <v>284.91372000000001</v>
      </c>
      <c r="Q1030" s="45">
        <f t="shared" si="115"/>
        <v>393.45228000000009</v>
      </c>
      <c r="R1030" s="45">
        <v>150</v>
      </c>
      <c r="S1030" s="45">
        <f t="shared" si="116"/>
        <v>67.836600000000018</v>
      </c>
      <c r="T1030" s="45">
        <f t="shared" si="117"/>
        <v>678.3660000000001</v>
      </c>
      <c r="U1030" s="47">
        <f t="shared" si="118"/>
        <v>-502.75032000000004</v>
      </c>
    </row>
    <row r="1031" spans="1:21" x14ac:dyDescent="0.3">
      <c r="A1031" s="41" t="str">
        <f t="shared" si="112"/>
        <v>PH&amp;MTO</v>
      </c>
      <c r="B1031" s="43">
        <v>45665</v>
      </c>
      <c r="C1031" s="10" t="s">
        <v>1073</v>
      </c>
      <c r="D1031" s="10" t="s">
        <v>37</v>
      </c>
      <c r="E1031" s="10" t="s">
        <v>9</v>
      </c>
      <c r="F1031" s="10" t="s">
        <v>23</v>
      </c>
      <c r="G1031" s="10" t="s">
        <v>49</v>
      </c>
      <c r="H1031" s="10" t="s">
        <v>28</v>
      </c>
      <c r="I1031" s="45">
        <v>1608</v>
      </c>
      <c r="J1031" s="11">
        <v>0.41299999999999998</v>
      </c>
      <c r="K1031" s="45">
        <f t="shared" si="113"/>
        <v>943.89599999999996</v>
      </c>
      <c r="L1031" s="10">
        <v>50</v>
      </c>
      <c r="M1031" s="10"/>
      <c r="N1031" s="10" t="b">
        <v>0</v>
      </c>
      <c r="O1031" s="41"/>
      <c r="P1031" s="45">
        <f t="shared" si="114"/>
        <v>396.43631999999997</v>
      </c>
      <c r="Q1031" s="45">
        <f t="shared" si="115"/>
        <v>547.45967999999993</v>
      </c>
      <c r="R1031" s="45">
        <v>0</v>
      </c>
      <c r="S1031" s="45">
        <f t="shared" si="116"/>
        <v>0</v>
      </c>
      <c r="T1031" s="45">
        <f t="shared" si="117"/>
        <v>0</v>
      </c>
      <c r="U1031" s="47">
        <f t="shared" si="118"/>
        <v>547.45967999999993</v>
      </c>
    </row>
    <row r="1032" spans="1:21" x14ac:dyDescent="0.3">
      <c r="A1032" s="41" t="str">
        <f t="shared" si="112"/>
        <v>PANNDR</v>
      </c>
      <c r="B1032" s="43">
        <v>45665</v>
      </c>
      <c r="C1032" s="10" t="s">
        <v>1074</v>
      </c>
      <c r="D1032" s="10" t="s">
        <v>42</v>
      </c>
      <c r="E1032" s="10" t="s">
        <v>30</v>
      </c>
      <c r="F1032" s="10" t="s">
        <v>54</v>
      </c>
      <c r="G1032" s="10" t="s">
        <v>27</v>
      </c>
      <c r="H1032" s="10" t="s">
        <v>35</v>
      </c>
      <c r="I1032" s="45">
        <v>2186</v>
      </c>
      <c r="J1032" s="11">
        <v>0</v>
      </c>
      <c r="K1032" s="45">
        <f t="shared" si="113"/>
        <v>2186</v>
      </c>
      <c r="L1032" s="10">
        <v>10</v>
      </c>
      <c r="M1032" s="10">
        <v>4.3</v>
      </c>
      <c r="N1032" s="10" t="b">
        <v>0</v>
      </c>
      <c r="O1032" s="41"/>
      <c r="P1032" s="45">
        <f t="shared" si="114"/>
        <v>918.12</v>
      </c>
      <c r="Q1032" s="45">
        <f t="shared" si="115"/>
        <v>1267.8800000000001</v>
      </c>
      <c r="R1032" s="45">
        <v>0</v>
      </c>
      <c r="S1032" s="45">
        <f t="shared" si="116"/>
        <v>0</v>
      </c>
      <c r="T1032" s="45">
        <f t="shared" si="117"/>
        <v>0</v>
      </c>
      <c r="U1032" s="47">
        <f t="shared" si="118"/>
        <v>1267.8800000000001</v>
      </c>
    </row>
    <row r="1033" spans="1:21" x14ac:dyDescent="0.3">
      <c r="A1033" s="41" t="str">
        <f t="shared" si="112"/>
        <v>PBANDR</v>
      </c>
      <c r="B1033" s="43">
        <v>45666</v>
      </c>
      <c r="C1033" s="10" t="s">
        <v>1075</v>
      </c>
      <c r="D1033" s="10" t="s">
        <v>21</v>
      </c>
      <c r="E1033" s="10" t="s">
        <v>30</v>
      </c>
      <c r="F1033" s="10" t="s">
        <v>54</v>
      </c>
      <c r="G1033" s="10" t="s">
        <v>5</v>
      </c>
      <c r="H1033" s="10" t="s">
        <v>32</v>
      </c>
      <c r="I1033" s="45">
        <v>1848</v>
      </c>
      <c r="J1033" s="11">
        <v>0</v>
      </c>
      <c r="K1033" s="45">
        <f t="shared" si="113"/>
        <v>1848</v>
      </c>
      <c r="L1033" s="10">
        <v>25</v>
      </c>
      <c r="M1033" s="10">
        <v>1.5</v>
      </c>
      <c r="N1033" s="10" t="b">
        <v>0</v>
      </c>
      <c r="O1033" s="41"/>
      <c r="P1033" s="45">
        <f t="shared" si="114"/>
        <v>776.16</v>
      </c>
      <c r="Q1033" s="45">
        <f t="shared" si="115"/>
        <v>1071.8400000000001</v>
      </c>
      <c r="R1033" s="45">
        <v>0</v>
      </c>
      <c r="S1033" s="45">
        <f t="shared" si="116"/>
        <v>0</v>
      </c>
      <c r="T1033" s="45">
        <f t="shared" si="117"/>
        <v>0</v>
      </c>
      <c r="U1033" s="47">
        <f t="shared" si="118"/>
        <v>1071.8400000000001</v>
      </c>
    </row>
    <row r="1034" spans="1:21" x14ac:dyDescent="0.3">
      <c r="A1034" s="41" t="str">
        <f t="shared" si="112"/>
        <v>PH&amp;MDR</v>
      </c>
      <c r="B1034" s="43">
        <v>45666</v>
      </c>
      <c r="C1034" s="10" t="s">
        <v>1076</v>
      </c>
      <c r="D1034" s="10" t="s">
        <v>37</v>
      </c>
      <c r="E1034" s="10" t="s">
        <v>30</v>
      </c>
      <c r="F1034" s="10" t="s">
        <v>23</v>
      </c>
      <c r="G1034" s="10" t="s">
        <v>46</v>
      </c>
      <c r="H1034" s="10" t="s">
        <v>47</v>
      </c>
      <c r="I1034" s="45">
        <v>2383</v>
      </c>
      <c r="J1034" s="11">
        <v>0</v>
      </c>
      <c r="K1034" s="45">
        <f t="shared" si="113"/>
        <v>2383</v>
      </c>
      <c r="L1034" s="10">
        <v>40</v>
      </c>
      <c r="M1034" s="10">
        <v>2.7</v>
      </c>
      <c r="N1034" s="10" t="b">
        <v>0</v>
      </c>
      <c r="O1034" s="41"/>
      <c r="P1034" s="45">
        <f t="shared" si="114"/>
        <v>1000.86</v>
      </c>
      <c r="Q1034" s="45">
        <f t="shared" si="115"/>
        <v>1382.1399999999999</v>
      </c>
      <c r="R1034" s="45">
        <v>0</v>
      </c>
      <c r="S1034" s="45">
        <f t="shared" si="116"/>
        <v>0</v>
      </c>
      <c r="T1034" s="45">
        <f t="shared" si="117"/>
        <v>0</v>
      </c>
      <c r="U1034" s="47">
        <f t="shared" si="118"/>
        <v>1382.1399999999999</v>
      </c>
    </row>
    <row r="1035" spans="1:21" x14ac:dyDescent="0.3">
      <c r="A1035" s="41" t="str">
        <f t="shared" si="112"/>
        <v>PBANTO</v>
      </c>
      <c r="B1035" s="43">
        <v>45666</v>
      </c>
      <c r="C1035" s="10" t="s">
        <v>1077</v>
      </c>
      <c r="D1035" s="10" t="s">
        <v>21</v>
      </c>
      <c r="E1035" s="10" t="s">
        <v>9</v>
      </c>
      <c r="F1035" s="10" t="s">
        <v>54</v>
      </c>
      <c r="G1035" s="10" t="s">
        <v>38</v>
      </c>
      <c r="H1035" s="10" t="s">
        <v>88</v>
      </c>
      <c r="I1035" s="45">
        <v>954</v>
      </c>
      <c r="J1035" s="11">
        <v>0.40399999999999997</v>
      </c>
      <c r="K1035" s="45">
        <f t="shared" si="113"/>
        <v>568.58400000000006</v>
      </c>
      <c r="L1035" s="10">
        <v>26</v>
      </c>
      <c r="M1035" s="10">
        <v>4.4000000000000004</v>
      </c>
      <c r="N1035" s="10" t="b">
        <v>0</v>
      </c>
      <c r="O1035" s="41"/>
      <c r="P1035" s="45">
        <f t="shared" si="114"/>
        <v>238.80528000000001</v>
      </c>
      <c r="Q1035" s="45">
        <f t="shared" si="115"/>
        <v>329.77872000000002</v>
      </c>
      <c r="R1035" s="45">
        <v>0</v>
      </c>
      <c r="S1035" s="45">
        <f t="shared" si="116"/>
        <v>0</v>
      </c>
      <c r="T1035" s="45">
        <f t="shared" si="117"/>
        <v>0</v>
      </c>
      <c r="U1035" s="47">
        <f t="shared" si="118"/>
        <v>329.77872000000002</v>
      </c>
    </row>
    <row r="1036" spans="1:21" x14ac:dyDescent="0.3">
      <c r="A1036" s="41" t="str">
        <f t="shared" si="112"/>
        <v>PFOROU</v>
      </c>
      <c r="B1036" s="43">
        <v>45667</v>
      </c>
      <c r="C1036" s="10" t="s">
        <v>1078</v>
      </c>
      <c r="D1036" s="10" t="s">
        <v>65</v>
      </c>
      <c r="E1036" s="10" t="s">
        <v>2</v>
      </c>
      <c r="F1036" s="10" t="s">
        <v>4</v>
      </c>
      <c r="G1036" s="10" t="s">
        <v>12</v>
      </c>
      <c r="H1036" s="10" t="s">
        <v>56</v>
      </c>
      <c r="I1036" s="45">
        <v>3139</v>
      </c>
      <c r="J1036" s="11">
        <v>0.22600000000000001</v>
      </c>
      <c r="K1036" s="45">
        <f t="shared" si="113"/>
        <v>2429.5860000000002</v>
      </c>
      <c r="L1036" s="10">
        <v>33</v>
      </c>
      <c r="M1036" s="10">
        <v>1.4</v>
      </c>
      <c r="N1036" s="10" t="b">
        <v>0</v>
      </c>
      <c r="O1036" s="41"/>
      <c r="P1036" s="45">
        <f t="shared" si="114"/>
        <v>1020.4261200000001</v>
      </c>
      <c r="Q1036" s="45">
        <f t="shared" si="115"/>
        <v>1409.1598800000002</v>
      </c>
      <c r="R1036" s="45">
        <v>0</v>
      </c>
      <c r="S1036" s="45">
        <f t="shared" si="116"/>
        <v>0</v>
      </c>
      <c r="T1036" s="45">
        <f t="shared" si="117"/>
        <v>0</v>
      </c>
      <c r="U1036" s="47">
        <f t="shared" si="118"/>
        <v>1409.1598800000002</v>
      </c>
    </row>
    <row r="1037" spans="1:21" x14ac:dyDescent="0.3">
      <c r="A1037" s="41" t="str">
        <f t="shared" si="112"/>
        <v>PZARTO</v>
      </c>
      <c r="B1037" s="43">
        <v>45667</v>
      </c>
      <c r="C1037" s="10" t="s">
        <v>1079</v>
      </c>
      <c r="D1037" s="10" t="s">
        <v>3</v>
      </c>
      <c r="E1037" s="10" t="s">
        <v>9</v>
      </c>
      <c r="F1037" s="10" t="s">
        <v>4</v>
      </c>
      <c r="G1037" s="10" t="s">
        <v>38</v>
      </c>
      <c r="H1037" s="10" t="s">
        <v>28</v>
      </c>
      <c r="I1037" s="45">
        <v>1567</v>
      </c>
      <c r="J1037" s="11">
        <v>0</v>
      </c>
      <c r="K1037" s="45">
        <f t="shared" si="113"/>
        <v>1567</v>
      </c>
      <c r="L1037" s="10">
        <v>23</v>
      </c>
      <c r="M1037" s="10">
        <v>1.6</v>
      </c>
      <c r="N1037" s="10" t="b">
        <v>0</v>
      </c>
      <c r="O1037" s="41"/>
      <c r="P1037" s="45">
        <f t="shared" si="114"/>
        <v>658.14</v>
      </c>
      <c r="Q1037" s="45">
        <f t="shared" si="115"/>
        <v>908.86</v>
      </c>
      <c r="R1037" s="45">
        <v>0</v>
      </c>
      <c r="S1037" s="45">
        <f t="shared" si="116"/>
        <v>0</v>
      </c>
      <c r="T1037" s="45">
        <f t="shared" si="117"/>
        <v>0</v>
      </c>
      <c r="U1037" s="47">
        <f t="shared" si="118"/>
        <v>908.86</v>
      </c>
    </row>
    <row r="1038" spans="1:21" x14ac:dyDescent="0.3">
      <c r="A1038" s="41" t="str">
        <f t="shared" si="112"/>
        <v>PGAPTO</v>
      </c>
      <c r="B1038" s="43">
        <v>45667</v>
      </c>
      <c r="C1038" s="10" t="s">
        <v>1080</v>
      </c>
      <c r="D1038" s="10" t="s">
        <v>53</v>
      </c>
      <c r="E1038" s="10" t="s">
        <v>9</v>
      </c>
      <c r="F1038" s="10" t="s">
        <v>54</v>
      </c>
      <c r="G1038" s="10" t="s">
        <v>38</v>
      </c>
      <c r="H1038" s="10" t="s">
        <v>47</v>
      </c>
      <c r="I1038" s="45">
        <v>1617</v>
      </c>
      <c r="J1038" s="11">
        <v>0</v>
      </c>
      <c r="K1038" s="45">
        <f t="shared" si="113"/>
        <v>1617</v>
      </c>
      <c r="L1038" s="10">
        <v>36</v>
      </c>
      <c r="M1038" s="10"/>
      <c r="N1038" s="10" t="b">
        <v>0</v>
      </c>
      <c r="O1038" s="41"/>
      <c r="P1038" s="45">
        <f t="shared" si="114"/>
        <v>679.14</v>
      </c>
      <c r="Q1038" s="45">
        <f t="shared" si="115"/>
        <v>937.86</v>
      </c>
      <c r="R1038" s="45">
        <v>0</v>
      </c>
      <c r="S1038" s="45">
        <f t="shared" si="116"/>
        <v>0</v>
      </c>
      <c r="T1038" s="45">
        <f t="shared" si="117"/>
        <v>0</v>
      </c>
      <c r="U1038" s="47">
        <f t="shared" si="118"/>
        <v>937.86</v>
      </c>
    </row>
    <row r="1039" spans="1:21" x14ac:dyDescent="0.3">
      <c r="A1039" s="41" t="str">
        <f t="shared" si="112"/>
        <v>PH&amp;MAC</v>
      </c>
      <c r="B1039" s="43">
        <v>45667</v>
      </c>
      <c r="C1039" s="10" t="s">
        <v>1081</v>
      </c>
      <c r="D1039" s="10" t="s">
        <v>37</v>
      </c>
      <c r="E1039" s="10" t="s">
        <v>15</v>
      </c>
      <c r="F1039" s="10" t="s">
        <v>54</v>
      </c>
      <c r="G1039" s="10" t="s">
        <v>7</v>
      </c>
      <c r="H1039" s="10" t="s">
        <v>28</v>
      </c>
      <c r="I1039" s="45">
        <v>414</v>
      </c>
      <c r="J1039" s="11">
        <v>8.1000000000000003E-2</v>
      </c>
      <c r="K1039" s="45">
        <f t="shared" si="113"/>
        <v>380.46600000000001</v>
      </c>
      <c r="L1039" s="10">
        <v>28</v>
      </c>
      <c r="M1039" s="10">
        <v>4</v>
      </c>
      <c r="N1039" s="10" t="b">
        <v>0</v>
      </c>
      <c r="O1039" s="41"/>
      <c r="P1039" s="45">
        <f t="shared" si="114"/>
        <v>159.79571999999999</v>
      </c>
      <c r="Q1039" s="45">
        <f t="shared" si="115"/>
        <v>220.67028000000002</v>
      </c>
      <c r="R1039" s="45">
        <v>0</v>
      </c>
      <c r="S1039" s="45">
        <f t="shared" si="116"/>
        <v>0</v>
      </c>
      <c r="T1039" s="45">
        <f t="shared" si="117"/>
        <v>0</v>
      </c>
      <c r="U1039" s="47">
        <f t="shared" si="118"/>
        <v>220.67028000000002</v>
      </c>
    </row>
    <row r="1040" spans="1:21" x14ac:dyDescent="0.3">
      <c r="A1040" s="41" t="str">
        <f t="shared" si="112"/>
        <v>PMANTO</v>
      </c>
      <c r="B1040" s="43">
        <v>45668</v>
      </c>
      <c r="C1040" s="10" t="s">
        <v>1082</v>
      </c>
      <c r="D1040" s="10" t="s">
        <v>31</v>
      </c>
      <c r="E1040" s="10" t="s">
        <v>9</v>
      </c>
      <c r="F1040" s="10" t="s">
        <v>23</v>
      </c>
      <c r="G1040" s="10" t="s">
        <v>38</v>
      </c>
      <c r="H1040" s="10" t="s">
        <v>16</v>
      </c>
      <c r="I1040" s="45">
        <v>1354</v>
      </c>
      <c r="J1040" s="11">
        <v>0</v>
      </c>
      <c r="K1040" s="45">
        <f t="shared" si="113"/>
        <v>1354</v>
      </c>
      <c r="L1040" s="10">
        <v>20</v>
      </c>
      <c r="M1040" s="10">
        <v>2.1</v>
      </c>
      <c r="N1040" s="10" t="b">
        <v>1</v>
      </c>
      <c r="O1040" s="41" t="s">
        <v>33</v>
      </c>
      <c r="P1040" s="45">
        <f t="shared" si="114"/>
        <v>568.67999999999995</v>
      </c>
      <c r="Q1040" s="45">
        <f t="shared" si="115"/>
        <v>785.32</v>
      </c>
      <c r="R1040" s="45">
        <v>150</v>
      </c>
      <c r="S1040" s="45">
        <f t="shared" si="116"/>
        <v>135.4</v>
      </c>
      <c r="T1040" s="45">
        <f t="shared" si="117"/>
        <v>1354</v>
      </c>
      <c r="U1040" s="47">
        <f t="shared" si="118"/>
        <v>-854.07999999999993</v>
      </c>
    </row>
    <row r="1041" spans="1:21" x14ac:dyDescent="0.3">
      <c r="A1041" s="41" t="str">
        <f t="shared" si="112"/>
        <v>PFOROU</v>
      </c>
      <c r="B1041" s="43">
        <v>45668</v>
      </c>
      <c r="C1041" s="10" t="s">
        <v>1083</v>
      </c>
      <c r="D1041" s="10" t="s">
        <v>65</v>
      </c>
      <c r="E1041" s="10" t="s">
        <v>2</v>
      </c>
      <c r="F1041" s="10" t="s">
        <v>23</v>
      </c>
      <c r="G1041" s="10" t="s">
        <v>38</v>
      </c>
      <c r="H1041" s="10" t="s">
        <v>58</v>
      </c>
      <c r="I1041" s="45">
        <v>3616</v>
      </c>
      <c r="J1041" s="11">
        <v>0.16500000000000001</v>
      </c>
      <c r="K1041" s="45">
        <f t="shared" si="113"/>
        <v>3019.3599999999997</v>
      </c>
      <c r="L1041" s="10">
        <v>17</v>
      </c>
      <c r="M1041" s="10">
        <v>4.5999999999999996</v>
      </c>
      <c r="N1041" s="10" t="b">
        <v>0</v>
      </c>
      <c r="O1041" s="41"/>
      <c r="P1041" s="45">
        <f t="shared" si="114"/>
        <v>1268.1311999999998</v>
      </c>
      <c r="Q1041" s="45">
        <f t="shared" si="115"/>
        <v>1751.2287999999999</v>
      </c>
      <c r="R1041" s="45">
        <v>0</v>
      </c>
      <c r="S1041" s="45">
        <f t="shared" si="116"/>
        <v>0</v>
      </c>
      <c r="T1041" s="45">
        <f t="shared" si="117"/>
        <v>0</v>
      </c>
      <c r="U1041" s="47">
        <f t="shared" si="118"/>
        <v>1751.2287999999999</v>
      </c>
    </row>
    <row r="1042" spans="1:21" x14ac:dyDescent="0.3">
      <c r="A1042" s="41" t="str">
        <f t="shared" si="112"/>
        <v>PGAPTO</v>
      </c>
      <c r="B1042" s="43">
        <v>45668</v>
      </c>
      <c r="C1042" s="10" t="s">
        <v>1084</v>
      </c>
      <c r="D1042" s="10" t="s">
        <v>53</v>
      </c>
      <c r="E1042" s="10" t="s">
        <v>9</v>
      </c>
      <c r="F1042" s="10" t="s">
        <v>23</v>
      </c>
      <c r="G1042" s="10" t="s">
        <v>46</v>
      </c>
      <c r="H1042" s="10" t="s">
        <v>56</v>
      </c>
      <c r="I1042" s="45">
        <v>997</v>
      </c>
      <c r="J1042" s="11">
        <v>0</v>
      </c>
      <c r="K1042" s="45">
        <f t="shared" si="113"/>
        <v>997</v>
      </c>
      <c r="L1042" s="10">
        <v>39</v>
      </c>
      <c r="M1042" s="10">
        <v>1.2</v>
      </c>
      <c r="N1042" s="10" t="b">
        <v>1</v>
      </c>
      <c r="O1042" s="41" t="s">
        <v>33</v>
      </c>
      <c r="P1042" s="45">
        <f t="shared" si="114"/>
        <v>418.74</v>
      </c>
      <c r="Q1042" s="45">
        <f t="shared" si="115"/>
        <v>578.26</v>
      </c>
      <c r="R1042" s="45">
        <v>150</v>
      </c>
      <c r="S1042" s="45">
        <f t="shared" si="116"/>
        <v>99.7</v>
      </c>
      <c r="T1042" s="45">
        <f t="shared" si="117"/>
        <v>997</v>
      </c>
      <c r="U1042" s="47">
        <f t="shared" si="118"/>
        <v>-668.44</v>
      </c>
    </row>
    <row r="1043" spans="1:21" x14ac:dyDescent="0.3">
      <c r="A1043" s="41" t="str">
        <f t="shared" si="112"/>
        <v>PGAPAC</v>
      </c>
      <c r="B1043" s="43">
        <v>45668</v>
      </c>
      <c r="C1043" s="10" t="s">
        <v>1085</v>
      </c>
      <c r="D1043" s="10" t="s">
        <v>53</v>
      </c>
      <c r="E1043" s="10" t="s">
        <v>15</v>
      </c>
      <c r="F1043" s="10" t="s">
        <v>4</v>
      </c>
      <c r="G1043" s="10" t="s">
        <v>7</v>
      </c>
      <c r="H1043" s="10" t="s">
        <v>43</v>
      </c>
      <c r="I1043" s="45">
        <v>414</v>
      </c>
      <c r="J1043" s="11">
        <v>0.29199999999999998</v>
      </c>
      <c r="K1043" s="45">
        <f t="shared" si="113"/>
        <v>293.11199999999997</v>
      </c>
      <c r="L1043" s="10">
        <v>33</v>
      </c>
      <c r="M1043" s="10">
        <v>4.4000000000000004</v>
      </c>
      <c r="N1043" s="10" t="b">
        <v>0</v>
      </c>
      <c r="O1043" s="41"/>
      <c r="P1043" s="45">
        <f t="shared" si="114"/>
        <v>123.10703999999998</v>
      </c>
      <c r="Q1043" s="45">
        <f t="shared" si="115"/>
        <v>170.00495999999998</v>
      </c>
      <c r="R1043" s="45">
        <v>0</v>
      </c>
      <c r="S1043" s="45">
        <f t="shared" si="116"/>
        <v>0</v>
      </c>
      <c r="T1043" s="45">
        <f t="shared" si="117"/>
        <v>0</v>
      </c>
      <c r="U1043" s="47">
        <f t="shared" si="118"/>
        <v>170.00495999999998</v>
      </c>
    </row>
    <row r="1044" spans="1:21" x14ac:dyDescent="0.3">
      <c r="A1044" s="41" t="str">
        <f t="shared" si="112"/>
        <v>PZARBO</v>
      </c>
      <c r="B1044" s="43">
        <v>45669</v>
      </c>
      <c r="C1044" s="10" t="s">
        <v>1086</v>
      </c>
      <c r="D1044" s="10" t="s">
        <v>3</v>
      </c>
      <c r="E1044" s="10" t="s">
        <v>26</v>
      </c>
      <c r="F1044" s="10" t="s">
        <v>54</v>
      </c>
      <c r="G1044" s="10" t="s">
        <v>5</v>
      </c>
      <c r="H1044" s="10" t="s">
        <v>16</v>
      </c>
      <c r="I1044" s="45">
        <v>2902</v>
      </c>
      <c r="J1044" s="11">
        <v>0</v>
      </c>
      <c r="K1044" s="45">
        <f t="shared" si="113"/>
        <v>2902</v>
      </c>
      <c r="L1044" s="10">
        <v>41</v>
      </c>
      <c r="M1044" s="10">
        <v>3.3</v>
      </c>
      <c r="N1044" s="10" t="b">
        <v>1</v>
      </c>
      <c r="O1044" s="41" t="s">
        <v>44</v>
      </c>
      <c r="P1044" s="45">
        <f t="shared" si="114"/>
        <v>1218.8399999999999</v>
      </c>
      <c r="Q1044" s="45">
        <f t="shared" si="115"/>
        <v>1683.16</v>
      </c>
      <c r="R1044" s="45">
        <v>150</v>
      </c>
      <c r="S1044" s="45">
        <f t="shared" si="116"/>
        <v>290.2</v>
      </c>
      <c r="T1044" s="45">
        <f t="shared" si="117"/>
        <v>2902</v>
      </c>
      <c r="U1044" s="47">
        <f t="shared" si="118"/>
        <v>-1659.04</v>
      </c>
    </row>
    <row r="1045" spans="1:21" x14ac:dyDescent="0.3">
      <c r="A1045" s="41" t="str">
        <f t="shared" si="112"/>
        <v>PH&amp;MAC</v>
      </c>
      <c r="B1045" s="43">
        <v>45669</v>
      </c>
      <c r="C1045" s="10" t="s">
        <v>1087</v>
      </c>
      <c r="D1045" s="10" t="s">
        <v>37</v>
      </c>
      <c r="E1045" s="10" t="s">
        <v>15</v>
      </c>
      <c r="F1045" s="10" t="s">
        <v>4</v>
      </c>
      <c r="G1045" s="10" t="s">
        <v>7</v>
      </c>
      <c r="H1045" s="10" t="s">
        <v>56</v>
      </c>
      <c r="I1045" s="45">
        <v>478</v>
      </c>
      <c r="J1045" s="11">
        <v>0</v>
      </c>
      <c r="K1045" s="45">
        <f t="shared" si="113"/>
        <v>478</v>
      </c>
      <c r="L1045" s="10">
        <v>7</v>
      </c>
      <c r="M1045" s="10">
        <v>3.3</v>
      </c>
      <c r="N1045" s="10" t="b">
        <v>1</v>
      </c>
      <c r="O1045" s="41" t="s">
        <v>44</v>
      </c>
      <c r="P1045" s="45">
        <f t="shared" si="114"/>
        <v>200.76</v>
      </c>
      <c r="Q1045" s="45">
        <f t="shared" si="115"/>
        <v>277.24</v>
      </c>
      <c r="R1045" s="45">
        <v>150</v>
      </c>
      <c r="S1045" s="45">
        <f t="shared" si="116"/>
        <v>47.800000000000004</v>
      </c>
      <c r="T1045" s="45">
        <f t="shared" si="117"/>
        <v>478</v>
      </c>
      <c r="U1045" s="47">
        <f t="shared" si="118"/>
        <v>-398.56</v>
      </c>
    </row>
    <row r="1046" spans="1:21" x14ac:dyDescent="0.3">
      <c r="A1046" s="41" t="str">
        <f t="shared" si="112"/>
        <v>PBANBO</v>
      </c>
      <c r="B1046" s="43">
        <v>45669</v>
      </c>
      <c r="C1046" s="10" t="s">
        <v>1088</v>
      </c>
      <c r="D1046" s="10" t="s">
        <v>21</v>
      </c>
      <c r="E1046" s="10" t="s">
        <v>26</v>
      </c>
      <c r="F1046" s="10" t="s">
        <v>54</v>
      </c>
      <c r="G1046" s="10" t="s">
        <v>27</v>
      </c>
      <c r="H1046" s="10" t="s">
        <v>16</v>
      </c>
      <c r="I1046" s="45">
        <v>2457</v>
      </c>
      <c r="J1046" s="11">
        <v>0.56299999999999994</v>
      </c>
      <c r="K1046" s="45">
        <f t="shared" si="113"/>
        <v>1073.7090000000001</v>
      </c>
      <c r="L1046" s="10">
        <v>36</v>
      </c>
      <c r="M1046" s="10">
        <v>1.1000000000000001</v>
      </c>
      <c r="N1046" s="10" t="b">
        <v>1</v>
      </c>
      <c r="O1046" s="41" t="s">
        <v>33</v>
      </c>
      <c r="P1046" s="45">
        <f t="shared" si="114"/>
        <v>450.95778000000001</v>
      </c>
      <c r="Q1046" s="45">
        <f t="shared" si="115"/>
        <v>622.7512200000001</v>
      </c>
      <c r="R1046" s="45">
        <v>150</v>
      </c>
      <c r="S1046" s="45">
        <f t="shared" si="116"/>
        <v>107.37090000000001</v>
      </c>
      <c r="T1046" s="45">
        <f t="shared" si="117"/>
        <v>1073.7090000000001</v>
      </c>
      <c r="U1046" s="47">
        <f t="shared" si="118"/>
        <v>-708.32867999999996</v>
      </c>
    </row>
    <row r="1047" spans="1:21" x14ac:dyDescent="0.3">
      <c r="A1047" s="41" t="str">
        <f t="shared" si="112"/>
        <v>PBANTO</v>
      </c>
      <c r="B1047" s="43">
        <v>45669</v>
      </c>
      <c r="C1047" s="10" t="s">
        <v>1089</v>
      </c>
      <c r="D1047" s="10" t="s">
        <v>21</v>
      </c>
      <c r="E1047" s="10" t="s">
        <v>9</v>
      </c>
      <c r="F1047" s="10" t="s">
        <v>23</v>
      </c>
      <c r="G1047" s="10" t="s">
        <v>46</v>
      </c>
      <c r="H1047" s="10" t="s">
        <v>16</v>
      </c>
      <c r="I1047" s="45">
        <v>1478</v>
      </c>
      <c r="J1047" s="11">
        <v>0.11199999999999999</v>
      </c>
      <c r="K1047" s="45">
        <f t="shared" si="113"/>
        <v>1312.4639999999999</v>
      </c>
      <c r="L1047" s="10">
        <v>46</v>
      </c>
      <c r="M1047" s="10">
        <v>3.4</v>
      </c>
      <c r="N1047" s="10" t="b">
        <v>1</v>
      </c>
      <c r="O1047" s="41" t="s">
        <v>33</v>
      </c>
      <c r="P1047" s="45">
        <f t="shared" si="114"/>
        <v>551.23487999999998</v>
      </c>
      <c r="Q1047" s="45">
        <f t="shared" si="115"/>
        <v>761.22911999999997</v>
      </c>
      <c r="R1047" s="45">
        <v>150</v>
      </c>
      <c r="S1047" s="45">
        <f t="shared" si="116"/>
        <v>131.24639999999999</v>
      </c>
      <c r="T1047" s="45">
        <f t="shared" si="117"/>
        <v>1312.4639999999999</v>
      </c>
      <c r="U1047" s="47">
        <f t="shared" si="118"/>
        <v>-832.48127999999997</v>
      </c>
    </row>
    <row r="1048" spans="1:21" x14ac:dyDescent="0.3">
      <c r="A1048" s="41" t="str">
        <f t="shared" si="112"/>
        <v>PANNOU</v>
      </c>
      <c r="B1048" s="43">
        <v>45670</v>
      </c>
      <c r="C1048" s="10" t="s">
        <v>1090</v>
      </c>
      <c r="D1048" s="10" t="s">
        <v>42</v>
      </c>
      <c r="E1048" s="10" t="s">
        <v>2</v>
      </c>
      <c r="F1048" s="10" t="s">
        <v>54</v>
      </c>
      <c r="G1048" s="10" t="s">
        <v>49</v>
      </c>
      <c r="H1048" s="10" t="s">
        <v>16</v>
      </c>
      <c r="I1048" s="45">
        <v>4263</v>
      </c>
      <c r="J1048" s="11">
        <v>0</v>
      </c>
      <c r="K1048" s="45">
        <f t="shared" si="113"/>
        <v>4263</v>
      </c>
      <c r="L1048" s="10">
        <v>11</v>
      </c>
      <c r="M1048" s="10">
        <v>4.7</v>
      </c>
      <c r="N1048" s="10" t="b">
        <v>1</v>
      </c>
      <c r="O1048" s="41" t="s">
        <v>33</v>
      </c>
      <c r="P1048" s="45">
        <f t="shared" si="114"/>
        <v>1790.46</v>
      </c>
      <c r="Q1048" s="45">
        <f t="shared" si="115"/>
        <v>2472.54</v>
      </c>
      <c r="R1048" s="45">
        <v>150</v>
      </c>
      <c r="S1048" s="45">
        <f t="shared" si="116"/>
        <v>426.3</v>
      </c>
      <c r="T1048" s="45">
        <f t="shared" si="117"/>
        <v>4263</v>
      </c>
      <c r="U1048" s="47">
        <f t="shared" si="118"/>
        <v>-2366.7600000000002</v>
      </c>
    </row>
    <row r="1049" spans="1:21" x14ac:dyDescent="0.3">
      <c r="A1049" s="41" t="str">
        <f t="shared" si="112"/>
        <v>PUNITO</v>
      </c>
      <c r="B1049" s="43">
        <v>45670</v>
      </c>
      <c r="C1049" s="10" t="s">
        <v>1091</v>
      </c>
      <c r="D1049" s="10" t="s">
        <v>10</v>
      </c>
      <c r="E1049" s="10" t="s">
        <v>9</v>
      </c>
      <c r="F1049" s="10" t="s">
        <v>4</v>
      </c>
      <c r="G1049" s="10" t="s">
        <v>46</v>
      </c>
      <c r="H1049" s="10" t="s">
        <v>6</v>
      </c>
      <c r="I1049" s="45">
        <v>937</v>
      </c>
      <c r="J1049" s="11">
        <v>0</v>
      </c>
      <c r="K1049" s="45">
        <f t="shared" si="113"/>
        <v>937</v>
      </c>
      <c r="L1049" s="10">
        <v>29</v>
      </c>
      <c r="M1049" s="10">
        <v>3.7</v>
      </c>
      <c r="N1049" s="10" t="b">
        <v>0</v>
      </c>
      <c r="O1049" s="41"/>
      <c r="P1049" s="45">
        <f t="shared" si="114"/>
        <v>393.53999999999996</v>
      </c>
      <c r="Q1049" s="45">
        <f t="shared" si="115"/>
        <v>543.46</v>
      </c>
      <c r="R1049" s="45">
        <v>0</v>
      </c>
      <c r="S1049" s="45">
        <f t="shared" si="116"/>
        <v>0</v>
      </c>
      <c r="T1049" s="45">
        <f t="shared" si="117"/>
        <v>0</v>
      </c>
      <c r="U1049" s="47">
        <f t="shared" si="118"/>
        <v>543.46</v>
      </c>
    </row>
    <row r="1050" spans="1:21" x14ac:dyDescent="0.3">
      <c r="A1050" s="41" t="str">
        <f t="shared" si="112"/>
        <v>PGAPTO</v>
      </c>
      <c r="B1050" s="43">
        <v>45670</v>
      </c>
      <c r="C1050" s="10" t="s">
        <v>1092</v>
      </c>
      <c r="D1050" s="10" t="s">
        <v>53</v>
      </c>
      <c r="E1050" s="10" t="s">
        <v>9</v>
      </c>
      <c r="F1050" s="10" t="s">
        <v>11</v>
      </c>
      <c r="G1050" s="10" t="s">
        <v>5</v>
      </c>
      <c r="H1050" s="10" t="s">
        <v>28</v>
      </c>
      <c r="I1050" s="45">
        <v>1049</v>
      </c>
      <c r="J1050" s="11">
        <v>0</v>
      </c>
      <c r="K1050" s="45">
        <f t="shared" si="113"/>
        <v>1049</v>
      </c>
      <c r="L1050" s="10">
        <v>18</v>
      </c>
      <c r="M1050" s="10">
        <v>4.3</v>
      </c>
      <c r="N1050" s="10" t="b">
        <v>1</v>
      </c>
      <c r="O1050" s="41" t="s">
        <v>19</v>
      </c>
      <c r="P1050" s="45">
        <f t="shared" si="114"/>
        <v>440.58</v>
      </c>
      <c r="Q1050" s="45">
        <f t="shared" si="115"/>
        <v>608.42000000000007</v>
      </c>
      <c r="R1050" s="45">
        <v>150</v>
      </c>
      <c r="S1050" s="45">
        <f t="shared" si="116"/>
        <v>104.9</v>
      </c>
      <c r="T1050" s="45">
        <f t="shared" si="117"/>
        <v>1049</v>
      </c>
      <c r="U1050" s="47">
        <f t="shared" si="118"/>
        <v>-695.4799999999999</v>
      </c>
    </row>
    <row r="1051" spans="1:21" x14ac:dyDescent="0.3">
      <c r="A1051" s="41" t="str">
        <f t="shared" si="112"/>
        <v>PBANDR</v>
      </c>
      <c r="B1051" s="43">
        <v>45671</v>
      </c>
      <c r="C1051" s="10" t="s">
        <v>1093</v>
      </c>
      <c r="D1051" s="10" t="s">
        <v>21</v>
      </c>
      <c r="E1051" s="10" t="s">
        <v>30</v>
      </c>
      <c r="F1051" s="10" t="s">
        <v>54</v>
      </c>
      <c r="G1051" s="10" t="s">
        <v>5</v>
      </c>
      <c r="H1051" s="10" t="s">
        <v>43</v>
      </c>
      <c r="I1051" s="45">
        <v>2814</v>
      </c>
      <c r="J1051" s="11">
        <v>0</v>
      </c>
      <c r="K1051" s="45">
        <f t="shared" si="113"/>
        <v>2814</v>
      </c>
      <c r="L1051" s="10">
        <v>46</v>
      </c>
      <c r="M1051" s="10">
        <v>3.7</v>
      </c>
      <c r="N1051" s="10" t="b">
        <v>0</v>
      </c>
      <c r="O1051" s="41"/>
      <c r="P1051" s="45">
        <f t="shared" si="114"/>
        <v>1181.8799999999999</v>
      </c>
      <c r="Q1051" s="45">
        <f t="shared" si="115"/>
        <v>1632.1200000000001</v>
      </c>
      <c r="R1051" s="45">
        <v>0</v>
      </c>
      <c r="S1051" s="45">
        <f t="shared" si="116"/>
        <v>0</v>
      </c>
      <c r="T1051" s="45">
        <f t="shared" si="117"/>
        <v>0</v>
      </c>
      <c r="U1051" s="47">
        <f t="shared" si="118"/>
        <v>1632.1200000000001</v>
      </c>
    </row>
    <row r="1052" spans="1:21" x14ac:dyDescent="0.3">
      <c r="A1052" s="41" t="str">
        <f t="shared" si="112"/>
        <v>PFORDR</v>
      </c>
      <c r="B1052" s="43">
        <v>45671</v>
      </c>
      <c r="C1052" s="10" t="s">
        <v>1094</v>
      </c>
      <c r="D1052" s="10" t="s">
        <v>65</v>
      </c>
      <c r="E1052" s="10" t="s">
        <v>30</v>
      </c>
      <c r="F1052" s="10" t="s">
        <v>4</v>
      </c>
      <c r="G1052" s="10" t="s">
        <v>27</v>
      </c>
      <c r="H1052" s="10" t="s">
        <v>7</v>
      </c>
      <c r="I1052" s="45">
        <v>1908</v>
      </c>
      <c r="J1052" s="11">
        <v>0</v>
      </c>
      <c r="K1052" s="45">
        <f t="shared" si="113"/>
        <v>1908</v>
      </c>
      <c r="L1052" s="10">
        <v>34</v>
      </c>
      <c r="M1052" s="10"/>
      <c r="N1052" s="10" t="b">
        <v>0</v>
      </c>
      <c r="O1052" s="41"/>
      <c r="P1052" s="45">
        <f t="shared" si="114"/>
        <v>801.36</v>
      </c>
      <c r="Q1052" s="45">
        <f t="shared" si="115"/>
        <v>1106.6399999999999</v>
      </c>
      <c r="R1052" s="45">
        <v>0</v>
      </c>
      <c r="S1052" s="45">
        <f t="shared" si="116"/>
        <v>0</v>
      </c>
      <c r="T1052" s="45">
        <f t="shared" si="117"/>
        <v>0</v>
      </c>
      <c r="U1052" s="47">
        <f t="shared" si="118"/>
        <v>1106.6399999999999</v>
      </c>
    </row>
    <row r="1053" spans="1:21" x14ac:dyDescent="0.3">
      <c r="A1053" s="41" t="str">
        <f t="shared" si="112"/>
        <v>PFORDR</v>
      </c>
      <c r="B1053" s="43">
        <v>45671</v>
      </c>
      <c r="C1053" s="10" t="s">
        <v>1095</v>
      </c>
      <c r="D1053" s="10" t="s">
        <v>65</v>
      </c>
      <c r="E1053" s="10" t="s">
        <v>30</v>
      </c>
      <c r="F1053" s="10" t="s">
        <v>11</v>
      </c>
      <c r="G1053" s="10" t="s">
        <v>46</v>
      </c>
      <c r="H1053" s="10" t="s">
        <v>43</v>
      </c>
      <c r="I1053" s="45">
        <v>2886</v>
      </c>
      <c r="J1053" s="11">
        <v>0</v>
      </c>
      <c r="K1053" s="45">
        <f t="shared" si="113"/>
        <v>2886</v>
      </c>
      <c r="L1053" s="10">
        <v>48</v>
      </c>
      <c r="M1053" s="10">
        <v>3.8</v>
      </c>
      <c r="N1053" s="10" t="b">
        <v>1</v>
      </c>
      <c r="O1053" s="41" t="s">
        <v>50</v>
      </c>
      <c r="P1053" s="45">
        <f t="shared" si="114"/>
        <v>1212.1199999999999</v>
      </c>
      <c r="Q1053" s="45">
        <f t="shared" si="115"/>
        <v>1673.88</v>
      </c>
      <c r="R1053" s="45">
        <v>150</v>
      </c>
      <c r="S1053" s="45">
        <f t="shared" si="116"/>
        <v>288.60000000000002</v>
      </c>
      <c r="T1053" s="45">
        <f t="shared" si="117"/>
        <v>2886</v>
      </c>
      <c r="U1053" s="47">
        <f t="shared" si="118"/>
        <v>-1650.7199999999998</v>
      </c>
    </row>
    <row r="1054" spans="1:21" x14ac:dyDescent="0.3">
      <c r="A1054" s="41" t="str">
        <f t="shared" si="112"/>
        <v>PMANOU</v>
      </c>
      <c r="B1054" s="43">
        <v>45671</v>
      </c>
      <c r="C1054" s="10" t="s">
        <v>1096</v>
      </c>
      <c r="D1054" s="10" t="s">
        <v>31</v>
      </c>
      <c r="E1054" s="10" t="s">
        <v>2</v>
      </c>
      <c r="F1054" s="10" t="s">
        <v>23</v>
      </c>
      <c r="G1054" s="10" t="s">
        <v>12</v>
      </c>
      <c r="H1054" s="10" t="s">
        <v>35</v>
      </c>
      <c r="I1054" s="45">
        <v>4150</v>
      </c>
      <c r="J1054" s="11">
        <v>0</v>
      </c>
      <c r="K1054" s="45">
        <f t="shared" si="113"/>
        <v>4150</v>
      </c>
      <c r="L1054" s="10">
        <v>40</v>
      </c>
      <c r="M1054" s="10">
        <v>2.2000000000000002</v>
      </c>
      <c r="N1054" s="10" t="b">
        <v>1</v>
      </c>
      <c r="O1054" s="41" t="s">
        <v>44</v>
      </c>
      <c r="P1054" s="45">
        <f t="shared" si="114"/>
        <v>1743</v>
      </c>
      <c r="Q1054" s="45">
        <f t="shared" si="115"/>
        <v>2407</v>
      </c>
      <c r="R1054" s="45">
        <v>150</v>
      </c>
      <c r="S1054" s="45">
        <f t="shared" si="116"/>
        <v>415</v>
      </c>
      <c r="T1054" s="45">
        <f t="shared" si="117"/>
        <v>4150</v>
      </c>
      <c r="U1054" s="47">
        <f t="shared" si="118"/>
        <v>-2308</v>
      </c>
    </row>
    <row r="1055" spans="1:21" x14ac:dyDescent="0.3">
      <c r="A1055" s="41" t="str">
        <f t="shared" si="112"/>
        <v>PANNSH</v>
      </c>
      <c r="B1055" s="43">
        <v>45672</v>
      </c>
      <c r="C1055" s="10" t="s">
        <v>1097</v>
      </c>
      <c r="D1055" s="10" t="s">
        <v>42</v>
      </c>
      <c r="E1055" s="10" t="s">
        <v>18</v>
      </c>
      <c r="F1055" s="10" t="s">
        <v>4</v>
      </c>
      <c r="G1055" s="10" t="s">
        <v>49</v>
      </c>
      <c r="H1055" s="10" t="s">
        <v>16</v>
      </c>
      <c r="I1055" s="45">
        <v>3263</v>
      </c>
      <c r="J1055" s="11">
        <v>0.18100000000000002</v>
      </c>
      <c r="K1055" s="45">
        <f t="shared" si="113"/>
        <v>2672.3969999999999</v>
      </c>
      <c r="L1055" s="10">
        <v>4</v>
      </c>
      <c r="M1055" s="10">
        <v>4</v>
      </c>
      <c r="N1055" s="10" t="b">
        <v>1</v>
      </c>
      <c r="O1055" s="41" t="s">
        <v>50</v>
      </c>
      <c r="P1055" s="45">
        <f t="shared" si="114"/>
        <v>1122.4067399999999</v>
      </c>
      <c r="Q1055" s="45">
        <f t="shared" si="115"/>
        <v>1549.99026</v>
      </c>
      <c r="R1055" s="45">
        <v>150</v>
      </c>
      <c r="S1055" s="45">
        <f t="shared" si="116"/>
        <v>267.23970000000003</v>
      </c>
      <c r="T1055" s="45">
        <f t="shared" si="117"/>
        <v>2672.3969999999999</v>
      </c>
      <c r="U1055" s="47">
        <f t="shared" si="118"/>
        <v>-1539.64644</v>
      </c>
    </row>
    <row r="1056" spans="1:21" x14ac:dyDescent="0.3">
      <c r="A1056" s="41" t="str">
        <f t="shared" si="112"/>
        <v>PFOROU</v>
      </c>
      <c r="B1056" s="43">
        <v>45672</v>
      </c>
      <c r="C1056" s="10" t="s">
        <v>1098</v>
      </c>
      <c r="D1056" s="10" t="s">
        <v>65</v>
      </c>
      <c r="E1056" s="10" t="s">
        <v>2</v>
      </c>
      <c r="F1056" s="10" t="s">
        <v>54</v>
      </c>
      <c r="G1056" s="10" t="s">
        <v>49</v>
      </c>
      <c r="H1056" s="10" t="s">
        <v>13</v>
      </c>
      <c r="I1056" s="45">
        <v>3012</v>
      </c>
      <c r="J1056" s="11">
        <v>0</v>
      </c>
      <c r="K1056" s="45">
        <f t="shared" si="113"/>
        <v>3012</v>
      </c>
      <c r="L1056" s="10">
        <v>12</v>
      </c>
      <c r="M1056" s="10">
        <v>3.5</v>
      </c>
      <c r="N1056" s="10" t="b">
        <v>0</v>
      </c>
      <c r="O1056" s="41"/>
      <c r="P1056" s="45">
        <f t="shared" si="114"/>
        <v>1265.04</v>
      </c>
      <c r="Q1056" s="45">
        <f t="shared" si="115"/>
        <v>1746.96</v>
      </c>
      <c r="R1056" s="45">
        <v>0</v>
      </c>
      <c r="S1056" s="45">
        <f t="shared" si="116"/>
        <v>0</v>
      </c>
      <c r="T1056" s="45">
        <f t="shared" si="117"/>
        <v>0</v>
      </c>
      <c r="U1056" s="47">
        <f t="shared" si="118"/>
        <v>1746.96</v>
      </c>
    </row>
    <row r="1057" spans="1:21" x14ac:dyDescent="0.3">
      <c r="A1057" s="41" t="str">
        <f t="shared" si="112"/>
        <v>PZAROU</v>
      </c>
      <c r="B1057" s="43">
        <v>45672</v>
      </c>
      <c r="C1057" s="10" t="s">
        <v>1099</v>
      </c>
      <c r="D1057" s="10" t="s">
        <v>3</v>
      </c>
      <c r="E1057" s="10" t="s">
        <v>2</v>
      </c>
      <c r="F1057" s="10" t="s">
        <v>11</v>
      </c>
      <c r="G1057" s="10" t="s">
        <v>7</v>
      </c>
      <c r="H1057" s="10" t="s">
        <v>47</v>
      </c>
      <c r="I1057" s="45">
        <v>4461</v>
      </c>
      <c r="J1057" s="11">
        <v>0</v>
      </c>
      <c r="K1057" s="45">
        <f t="shared" si="113"/>
        <v>4461</v>
      </c>
      <c r="L1057" s="10">
        <v>36</v>
      </c>
      <c r="M1057" s="10"/>
      <c r="N1057" s="10" t="b">
        <v>1</v>
      </c>
      <c r="O1057" s="41" t="s">
        <v>33</v>
      </c>
      <c r="P1057" s="45">
        <f t="shared" si="114"/>
        <v>1873.62</v>
      </c>
      <c r="Q1057" s="45">
        <f t="shared" si="115"/>
        <v>2587.38</v>
      </c>
      <c r="R1057" s="45">
        <v>150</v>
      </c>
      <c r="S1057" s="45">
        <f t="shared" si="116"/>
        <v>446.1</v>
      </c>
      <c r="T1057" s="45">
        <f t="shared" si="117"/>
        <v>4461</v>
      </c>
      <c r="U1057" s="47">
        <f t="shared" si="118"/>
        <v>-2469.7199999999998</v>
      </c>
    </row>
    <row r="1058" spans="1:21" x14ac:dyDescent="0.3">
      <c r="A1058" s="41" t="str">
        <f t="shared" si="112"/>
        <v>PH&amp;MOU</v>
      </c>
      <c r="B1058" s="43">
        <v>45672</v>
      </c>
      <c r="C1058" s="10" t="s">
        <v>1100</v>
      </c>
      <c r="D1058" s="10" t="s">
        <v>37</v>
      </c>
      <c r="E1058" s="10" t="s">
        <v>2</v>
      </c>
      <c r="F1058" s="10" t="s">
        <v>23</v>
      </c>
      <c r="G1058" s="10" t="s">
        <v>38</v>
      </c>
      <c r="H1058" s="10" t="s">
        <v>56</v>
      </c>
      <c r="I1058" s="45">
        <v>3100</v>
      </c>
      <c r="J1058" s="11">
        <v>0</v>
      </c>
      <c r="K1058" s="45">
        <f t="shared" si="113"/>
        <v>3100</v>
      </c>
      <c r="L1058" s="10">
        <v>3</v>
      </c>
      <c r="M1058" s="10">
        <v>4.8</v>
      </c>
      <c r="N1058" s="10" t="b">
        <v>1</v>
      </c>
      <c r="O1058" s="41" t="s">
        <v>33</v>
      </c>
      <c r="P1058" s="45">
        <f t="shared" si="114"/>
        <v>1302</v>
      </c>
      <c r="Q1058" s="45">
        <f t="shared" si="115"/>
        <v>1798</v>
      </c>
      <c r="R1058" s="45">
        <v>150</v>
      </c>
      <c r="S1058" s="45">
        <f t="shared" si="116"/>
        <v>310</v>
      </c>
      <c r="T1058" s="45">
        <f t="shared" si="117"/>
        <v>3100</v>
      </c>
      <c r="U1058" s="47">
        <f t="shared" si="118"/>
        <v>-1762</v>
      </c>
    </row>
    <row r="1059" spans="1:21" x14ac:dyDescent="0.3">
      <c r="A1059" s="41" t="str">
        <f t="shared" si="112"/>
        <v>PUNIAC</v>
      </c>
      <c r="B1059" s="43">
        <v>45673</v>
      </c>
      <c r="C1059" s="10" t="s">
        <v>1101</v>
      </c>
      <c r="D1059" s="10" t="s">
        <v>10</v>
      </c>
      <c r="E1059" s="10" t="s">
        <v>15</v>
      </c>
      <c r="F1059" s="10" t="s">
        <v>23</v>
      </c>
      <c r="G1059" s="10" t="s">
        <v>7</v>
      </c>
      <c r="H1059" s="10" t="s">
        <v>13</v>
      </c>
      <c r="I1059" s="45">
        <v>150</v>
      </c>
      <c r="J1059" s="11">
        <v>1.1000000000000001E-2</v>
      </c>
      <c r="K1059" s="45">
        <f t="shared" si="113"/>
        <v>148.35</v>
      </c>
      <c r="L1059" s="10">
        <v>12</v>
      </c>
      <c r="M1059" s="10">
        <v>1.1000000000000001</v>
      </c>
      <c r="N1059" s="10" t="b">
        <v>0</v>
      </c>
      <c r="O1059" s="41"/>
      <c r="P1059" s="45">
        <f t="shared" si="114"/>
        <v>62.306999999999995</v>
      </c>
      <c r="Q1059" s="45">
        <f t="shared" si="115"/>
        <v>86.043000000000006</v>
      </c>
      <c r="R1059" s="45">
        <v>0</v>
      </c>
      <c r="S1059" s="45">
        <f t="shared" si="116"/>
        <v>0</v>
      </c>
      <c r="T1059" s="45">
        <f t="shared" si="117"/>
        <v>0</v>
      </c>
      <c r="U1059" s="47">
        <f t="shared" si="118"/>
        <v>86.043000000000006</v>
      </c>
    </row>
    <row r="1060" spans="1:21" x14ac:dyDescent="0.3">
      <c r="A1060" s="41" t="str">
        <f t="shared" si="112"/>
        <v>PGAPAC</v>
      </c>
      <c r="B1060" s="43">
        <v>45673</v>
      </c>
      <c r="C1060" s="10" t="s">
        <v>1102</v>
      </c>
      <c r="D1060" s="10" t="s">
        <v>53</v>
      </c>
      <c r="E1060" s="10" t="s">
        <v>15</v>
      </c>
      <c r="F1060" s="10" t="s">
        <v>54</v>
      </c>
      <c r="G1060" s="10" t="s">
        <v>7</v>
      </c>
      <c r="H1060" s="10" t="s">
        <v>88</v>
      </c>
      <c r="I1060" s="45">
        <v>280</v>
      </c>
      <c r="J1060" s="11">
        <v>0</v>
      </c>
      <c r="K1060" s="45">
        <f t="shared" si="113"/>
        <v>280</v>
      </c>
      <c r="L1060" s="10">
        <v>2</v>
      </c>
      <c r="M1060" s="10">
        <v>2.4</v>
      </c>
      <c r="N1060" s="10" t="b">
        <v>0</v>
      </c>
      <c r="O1060" s="41"/>
      <c r="P1060" s="45">
        <f t="shared" si="114"/>
        <v>117.6</v>
      </c>
      <c r="Q1060" s="45">
        <f t="shared" si="115"/>
        <v>162.4</v>
      </c>
      <c r="R1060" s="45">
        <v>0</v>
      </c>
      <c r="S1060" s="45">
        <f t="shared" si="116"/>
        <v>0</v>
      </c>
      <c r="T1060" s="45">
        <f t="shared" si="117"/>
        <v>0</v>
      </c>
      <c r="U1060" s="47">
        <f t="shared" si="118"/>
        <v>162.4</v>
      </c>
    </row>
    <row r="1061" spans="1:21" x14ac:dyDescent="0.3">
      <c r="A1061" s="41" t="str">
        <f t="shared" si="112"/>
        <v>PFORTO</v>
      </c>
      <c r="B1061" s="43">
        <v>45673</v>
      </c>
      <c r="C1061" s="10" t="s">
        <v>1103</v>
      </c>
      <c r="D1061" s="10" t="s">
        <v>65</v>
      </c>
      <c r="E1061" s="10" t="s">
        <v>9</v>
      </c>
      <c r="F1061" s="10" t="s">
        <v>54</v>
      </c>
      <c r="G1061" s="10" t="s">
        <v>12</v>
      </c>
      <c r="H1061" s="10" t="s">
        <v>58</v>
      </c>
      <c r="I1061" s="45">
        <v>1782</v>
      </c>
      <c r="J1061" s="11">
        <v>0.59499999999999997</v>
      </c>
      <c r="K1061" s="45">
        <f t="shared" si="113"/>
        <v>721.71</v>
      </c>
      <c r="L1061" s="10">
        <v>2</v>
      </c>
      <c r="M1061" s="10">
        <v>4.3</v>
      </c>
      <c r="N1061" s="10" t="b">
        <v>1</v>
      </c>
      <c r="O1061" s="41" t="s">
        <v>33</v>
      </c>
      <c r="P1061" s="45">
        <f t="shared" si="114"/>
        <v>303.1182</v>
      </c>
      <c r="Q1061" s="45">
        <f t="shared" si="115"/>
        <v>418.59180000000003</v>
      </c>
      <c r="R1061" s="45">
        <v>150</v>
      </c>
      <c r="S1061" s="45">
        <f t="shared" si="116"/>
        <v>72.171000000000006</v>
      </c>
      <c r="T1061" s="45">
        <f t="shared" si="117"/>
        <v>721.71</v>
      </c>
      <c r="U1061" s="47">
        <f t="shared" si="118"/>
        <v>-525.28919999999994</v>
      </c>
    </row>
    <row r="1062" spans="1:21" x14ac:dyDescent="0.3">
      <c r="A1062" s="41" t="str">
        <f t="shared" si="112"/>
        <v>PH&amp;MDR</v>
      </c>
      <c r="B1062" s="43">
        <v>45674</v>
      </c>
      <c r="C1062" s="10" t="s">
        <v>1104</v>
      </c>
      <c r="D1062" s="10" t="s">
        <v>37</v>
      </c>
      <c r="E1062" s="10" t="s">
        <v>30</v>
      </c>
      <c r="F1062" s="10" t="s">
        <v>54</v>
      </c>
      <c r="G1062" s="10" t="s">
        <v>46</v>
      </c>
      <c r="H1062" s="10" t="s">
        <v>16</v>
      </c>
      <c r="I1062" s="45">
        <v>2827</v>
      </c>
      <c r="J1062" s="11">
        <v>0</v>
      </c>
      <c r="K1062" s="45">
        <f t="shared" si="113"/>
        <v>2827</v>
      </c>
      <c r="L1062" s="10">
        <v>6</v>
      </c>
      <c r="M1062" s="10">
        <v>1.9</v>
      </c>
      <c r="N1062" s="10" t="b">
        <v>0</v>
      </c>
      <c r="O1062" s="41"/>
      <c r="P1062" s="45">
        <f t="shared" si="114"/>
        <v>1187.3399999999999</v>
      </c>
      <c r="Q1062" s="45">
        <f t="shared" si="115"/>
        <v>1639.66</v>
      </c>
      <c r="R1062" s="45">
        <v>0</v>
      </c>
      <c r="S1062" s="45">
        <f t="shared" si="116"/>
        <v>0</v>
      </c>
      <c r="T1062" s="45">
        <f t="shared" si="117"/>
        <v>0</v>
      </c>
      <c r="U1062" s="47">
        <f t="shared" si="118"/>
        <v>1639.66</v>
      </c>
    </row>
    <row r="1063" spans="1:21" x14ac:dyDescent="0.3">
      <c r="A1063" s="41" t="str">
        <f t="shared" si="112"/>
        <v>PH&amp;MBO</v>
      </c>
      <c r="B1063" s="43">
        <v>45674</v>
      </c>
      <c r="C1063" s="10" t="s">
        <v>1105</v>
      </c>
      <c r="D1063" s="10" t="s">
        <v>37</v>
      </c>
      <c r="E1063" s="10" t="s">
        <v>26</v>
      </c>
      <c r="F1063" s="10" t="s">
        <v>11</v>
      </c>
      <c r="G1063" s="10" t="s">
        <v>27</v>
      </c>
      <c r="H1063" s="10" t="s">
        <v>13</v>
      </c>
      <c r="I1063" s="45">
        <v>2892</v>
      </c>
      <c r="J1063" s="11">
        <v>0.57899999999999996</v>
      </c>
      <c r="K1063" s="45">
        <f t="shared" si="113"/>
        <v>1217.5320000000002</v>
      </c>
      <c r="L1063" s="10">
        <v>11</v>
      </c>
      <c r="M1063" s="10">
        <v>1.8</v>
      </c>
      <c r="N1063" s="10" t="b">
        <v>0</v>
      </c>
      <c r="O1063" s="41"/>
      <c r="P1063" s="45">
        <f t="shared" si="114"/>
        <v>511.36344000000003</v>
      </c>
      <c r="Q1063" s="45">
        <f t="shared" si="115"/>
        <v>706.16856000000007</v>
      </c>
      <c r="R1063" s="45">
        <v>0</v>
      </c>
      <c r="S1063" s="45">
        <f t="shared" si="116"/>
        <v>0</v>
      </c>
      <c r="T1063" s="45">
        <f t="shared" si="117"/>
        <v>0</v>
      </c>
      <c r="U1063" s="47">
        <f t="shared" si="118"/>
        <v>706.16856000000007</v>
      </c>
    </row>
    <row r="1064" spans="1:21" x14ac:dyDescent="0.3">
      <c r="A1064" s="41" t="str">
        <f t="shared" si="112"/>
        <v>PUNISH</v>
      </c>
      <c r="B1064" s="43">
        <v>45674</v>
      </c>
      <c r="C1064" s="10" t="s">
        <v>1106</v>
      </c>
      <c r="D1064" s="10" t="s">
        <v>10</v>
      </c>
      <c r="E1064" s="10" t="s">
        <v>18</v>
      </c>
      <c r="F1064" s="10" t="s">
        <v>11</v>
      </c>
      <c r="G1064" s="10" t="s">
        <v>46</v>
      </c>
      <c r="H1064" s="10" t="s">
        <v>35</v>
      </c>
      <c r="I1064" s="45">
        <v>3449</v>
      </c>
      <c r="J1064" s="11">
        <v>0.38100000000000001</v>
      </c>
      <c r="K1064" s="45">
        <f t="shared" si="113"/>
        <v>2134.931</v>
      </c>
      <c r="L1064" s="10">
        <v>36</v>
      </c>
      <c r="M1064" s="10">
        <v>1.1000000000000001</v>
      </c>
      <c r="N1064" s="10" t="b">
        <v>1</v>
      </c>
      <c r="O1064" s="41" t="s">
        <v>33</v>
      </c>
      <c r="P1064" s="45">
        <f t="shared" si="114"/>
        <v>896.67102</v>
      </c>
      <c r="Q1064" s="45">
        <f t="shared" si="115"/>
        <v>1238.25998</v>
      </c>
      <c r="R1064" s="45">
        <v>150</v>
      </c>
      <c r="S1064" s="45">
        <f t="shared" si="116"/>
        <v>213.49310000000003</v>
      </c>
      <c r="T1064" s="45">
        <f t="shared" si="117"/>
        <v>2134.931</v>
      </c>
      <c r="U1064" s="47">
        <f t="shared" si="118"/>
        <v>-1260.1641199999999</v>
      </c>
    </row>
    <row r="1065" spans="1:21" x14ac:dyDescent="0.3">
      <c r="A1065" s="41" t="str">
        <f t="shared" si="112"/>
        <v>PH&amp;MSH</v>
      </c>
      <c r="B1065" s="43">
        <v>45674</v>
      </c>
      <c r="C1065" s="10" t="s">
        <v>1107</v>
      </c>
      <c r="D1065" s="10" t="s">
        <v>37</v>
      </c>
      <c r="E1065" s="10" t="s">
        <v>18</v>
      </c>
      <c r="F1065" s="10" t="s">
        <v>4</v>
      </c>
      <c r="G1065" s="10" t="s">
        <v>5</v>
      </c>
      <c r="H1065" s="10" t="s">
        <v>6</v>
      </c>
      <c r="I1065" s="45">
        <v>3999</v>
      </c>
      <c r="J1065" s="11">
        <v>0.10099999999999999</v>
      </c>
      <c r="K1065" s="45">
        <f t="shared" si="113"/>
        <v>3595.1010000000001</v>
      </c>
      <c r="L1065" s="10">
        <v>32</v>
      </c>
      <c r="M1065" s="10">
        <v>2.9</v>
      </c>
      <c r="N1065" s="10" t="b">
        <v>1</v>
      </c>
      <c r="O1065" s="41" t="s">
        <v>44</v>
      </c>
      <c r="P1065" s="45">
        <f t="shared" si="114"/>
        <v>1509.9424200000001</v>
      </c>
      <c r="Q1065" s="45">
        <f t="shared" si="115"/>
        <v>2085.1585800000003</v>
      </c>
      <c r="R1065" s="45">
        <v>150</v>
      </c>
      <c r="S1065" s="45">
        <f t="shared" si="116"/>
        <v>359.51010000000002</v>
      </c>
      <c r="T1065" s="45">
        <f t="shared" si="117"/>
        <v>3595.1010000000001</v>
      </c>
      <c r="U1065" s="47">
        <f t="shared" si="118"/>
        <v>-2019.4525199999998</v>
      </c>
    </row>
    <row r="1066" spans="1:21" x14ac:dyDescent="0.3">
      <c r="A1066" s="41" t="str">
        <f t="shared" si="112"/>
        <v>PFORSH</v>
      </c>
      <c r="B1066" s="43">
        <v>45675</v>
      </c>
      <c r="C1066" s="10" t="s">
        <v>1108</v>
      </c>
      <c r="D1066" s="10" t="s">
        <v>65</v>
      </c>
      <c r="E1066" s="10" t="s">
        <v>18</v>
      </c>
      <c r="F1066" s="10" t="s">
        <v>54</v>
      </c>
      <c r="G1066" s="10" t="s">
        <v>7</v>
      </c>
      <c r="H1066" s="10" t="s">
        <v>88</v>
      </c>
      <c r="I1066" s="45">
        <v>3607</v>
      </c>
      <c r="J1066" s="11">
        <v>0.55500000000000005</v>
      </c>
      <c r="K1066" s="45">
        <f t="shared" si="113"/>
        <v>1605.1149999999998</v>
      </c>
      <c r="L1066" s="10">
        <v>46</v>
      </c>
      <c r="M1066" s="10">
        <v>4.2</v>
      </c>
      <c r="N1066" s="10" t="b">
        <v>0</v>
      </c>
      <c r="O1066" s="41"/>
      <c r="P1066" s="45">
        <f t="shared" si="114"/>
        <v>674.14829999999984</v>
      </c>
      <c r="Q1066" s="45">
        <f t="shared" si="115"/>
        <v>930.96669999999995</v>
      </c>
      <c r="R1066" s="45">
        <v>0</v>
      </c>
      <c r="S1066" s="45">
        <f t="shared" si="116"/>
        <v>0</v>
      </c>
      <c r="T1066" s="45">
        <f t="shared" si="117"/>
        <v>0</v>
      </c>
      <c r="U1066" s="47">
        <f t="shared" si="118"/>
        <v>930.96669999999995</v>
      </c>
    </row>
    <row r="1067" spans="1:21" x14ac:dyDescent="0.3">
      <c r="A1067" s="41" t="str">
        <f t="shared" si="112"/>
        <v>PANNTO</v>
      </c>
      <c r="B1067" s="43">
        <v>45675</v>
      </c>
      <c r="C1067" s="10" t="s">
        <v>1109</v>
      </c>
      <c r="D1067" s="10" t="s">
        <v>42</v>
      </c>
      <c r="E1067" s="10" t="s">
        <v>9</v>
      </c>
      <c r="F1067" s="10" t="s">
        <v>54</v>
      </c>
      <c r="G1067" s="10" t="s">
        <v>12</v>
      </c>
      <c r="H1067" s="10" t="s">
        <v>35</v>
      </c>
      <c r="I1067" s="45">
        <v>1484</v>
      </c>
      <c r="J1067" s="11">
        <v>0.49700000000000005</v>
      </c>
      <c r="K1067" s="45">
        <f t="shared" si="113"/>
        <v>746.45199999999988</v>
      </c>
      <c r="L1067" s="10">
        <v>33</v>
      </c>
      <c r="M1067" s="10"/>
      <c r="N1067" s="10" t="b">
        <v>0</v>
      </c>
      <c r="O1067" s="41"/>
      <c r="P1067" s="45">
        <f t="shared" si="114"/>
        <v>313.50983999999994</v>
      </c>
      <c r="Q1067" s="45">
        <f t="shared" si="115"/>
        <v>432.94215999999994</v>
      </c>
      <c r="R1067" s="45">
        <v>0</v>
      </c>
      <c r="S1067" s="45">
        <f t="shared" si="116"/>
        <v>0</v>
      </c>
      <c r="T1067" s="45">
        <f t="shared" si="117"/>
        <v>0</v>
      </c>
      <c r="U1067" s="47">
        <f t="shared" si="118"/>
        <v>432.94215999999994</v>
      </c>
    </row>
    <row r="1068" spans="1:21" x14ac:dyDescent="0.3">
      <c r="A1068" s="41" t="str">
        <f t="shared" si="112"/>
        <v>PANNDR</v>
      </c>
      <c r="B1068" s="43">
        <v>45675</v>
      </c>
      <c r="C1068" s="10" t="s">
        <v>1110</v>
      </c>
      <c r="D1068" s="10" t="s">
        <v>42</v>
      </c>
      <c r="E1068" s="10" t="s">
        <v>30</v>
      </c>
      <c r="F1068" s="10" t="s">
        <v>4</v>
      </c>
      <c r="G1068" s="10" t="s">
        <v>27</v>
      </c>
      <c r="H1068" s="10" t="s">
        <v>16</v>
      </c>
      <c r="I1068" s="45">
        <v>1831</v>
      </c>
      <c r="J1068" s="11">
        <v>0.55899999999999994</v>
      </c>
      <c r="K1068" s="45">
        <f t="shared" si="113"/>
        <v>807.47100000000012</v>
      </c>
      <c r="L1068" s="10">
        <v>19</v>
      </c>
      <c r="M1068" s="10">
        <v>4.4000000000000004</v>
      </c>
      <c r="N1068" s="10" t="b">
        <v>0</v>
      </c>
      <c r="O1068" s="41"/>
      <c r="P1068" s="45">
        <f t="shared" si="114"/>
        <v>339.13782000000003</v>
      </c>
      <c r="Q1068" s="45">
        <f t="shared" si="115"/>
        <v>468.33318000000008</v>
      </c>
      <c r="R1068" s="45">
        <v>0</v>
      </c>
      <c r="S1068" s="45">
        <f t="shared" si="116"/>
        <v>0</v>
      </c>
      <c r="T1068" s="45">
        <f t="shared" si="117"/>
        <v>0</v>
      </c>
      <c r="U1068" s="47">
        <f t="shared" si="118"/>
        <v>468.33318000000008</v>
      </c>
    </row>
    <row r="1069" spans="1:21" x14ac:dyDescent="0.3">
      <c r="A1069" s="41" t="str">
        <f t="shared" si="112"/>
        <v>PZARSH</v>
      </c>
      <c r="B1069" s="43">
        <v>45675</v>
      </c>
      <c r="C1069" s="10" t="s">
        <v>1111</v>
      </c>
      <c r="D1069" s="10" t="s">
        <v>3</v>
      </c>
      <c r="E1069" s="10" t="s">
        <v>18</v>
      </c>
      <c r="F1069" s="10" t="s">
        <v>4</v>
      </c>
      <c r="G1069" s="10" t="s">
        <v>5</v>
      </c>
      <c r="H1069" s="10" t="s">
        <v>32</v>
      </c>
      <c r="I1069" s="45">
        <v>3481</v>
      </c>
      <c r="J1069" s="11">
        <v>0</v>
      </c>
      <c r="K1069" s="45">
        <f t="shared" si="113"/>
        <v>3481</v>
      </c>
      <c r="L1069" s="10">
        <v>34</v>
      </c>
      <c r="M1069" s="10">
        <v>4</v>
      </c>
      <c r="N1069" s="10" t="b">
        <v>0</v>
      </c>
      <c r="O1069" s="41"/>
      <c r="P1069" s="45">
        <f t="shared" si="114"/>
        <v>1462.02</v>
      </c>
      <c r="Q1069" s="45">
        <f t="shared" si="115"/>
        <v>2018.98</v>
      </c>
      <c r="R1069" s="45">
        <v>0</v>
      </c>
      <c r="S1069" s="45">
        <f t="shared" si="116"/>
        <v>0</v>
      </c>
      <c r="T1069" s="45">
        <f t="shared" si="117"/>
        <v>0</v>
      </c>
      <c r="U1069" s="47">
        <f t="shared" si="118"/>
        <v>2018.98</v>
      </c>
    </row>
    <row r="1070" spans="1:21" x14ac:dyDescent="0.3">
      <c r="A1070" s="41" t="str">
        <f t="shared" si="112"/>
        <v>PBANTO</v>
      </c>
      <c r="B1070" s="43">
        <v>45676</v>
      </c>
      <c r="C1070" s="10" t="s">
        <v>1112</v>
      </c>
      <c r="D1070" s="10" t="s">
        <v>21</v>
      </c>
      <c r="E1070" s="10" t="s">
        <v>9</v>
      </c>
      <c r="F1070" s="10" t="s">
        <v>11</v>
      </c>
      <c r="G1070" s="10" t="s">
        <v>49</v>
      </c>
      <c r="H1070" s="10" t="s">
        <v>43</v>
      </c>
      <c r="I1070" s="45">
        <v>1380</v>
      </c>
      <c r="J1070" s="11">
        <v>0</v>
      </c>
      <c r="K1070" s="45">
        <f t="shared" si="113"/>
        <v>1380</v>
      </c>
      <c r="L1070" s="10">
        <v>3</v>
      </c>
      <c r="M1070" s="10"/>
      <c r="N1070" s="10" t="b">
        <v>1</v>
      </c>
      <c r="O1070" s="41" t="s">
        <v>33</v>
      </c>
      <c r="P1070" s="45">
        <f t="shared" si="114"/>
        <v>579.6</v>
      </c>
      <c r="Q1070" s="45">
        <f t="shared" si="115"/>
        <v>800.4</v>
      </c>
      <c r="R1070" s="45">
        <v>150</v>
      </c>
      <c r="S1070" s="45">
        <f t="shared" si="116"/>
        <v>138</v>
      </c>
      <c r="T1070" s="45">
        <f t="shared" si="117"/>
        <v>1380</v>
      </c>
      <c r="U1070" s="47">
        <f t="shared" si="118"/>
        <v>-867.6</v>
      </c>
    </row>
    <row r="1071" spans="1:21" x14ac:dyDescent="0.3">
      <c r="A1071" s="41" t="str">
        <f t="shared" si="112"/>
        <v>PMANTO</v>
      </c>
      <c r="B1071" s="43">
        <v>45676</v>
      </c>
      <c r="C1071" s="10" t="s">
        <v>1113</v>
      </c>
      <c r="D1071" s="10" t="s">
        <v>31</v>
      </c>
      <c r="E1071" s="10" t="s">
        <v>9</v>
      </c>
      <c r="F1071" s="10" t="s">
        <v>4</v>
      </c>
      <c r="G1071" s="10" t="s">
        <v>49</v>
      </c>
      <c r="H1071" s="10" t="s">
        <v>56</v>
      </c>
      <c r="I1071" s="45">
        <v>1052</v>
      </c>
      <c r="J1071" s="11">
        <v>0</v>
      </c>
      <c r="K1071" s="45">
        <f t="shared" si="113"/>
        <v>1052</v>
      </c>
      <c r="L1071" s="10">
        <v>29</v>
      </c>
      <c r="M1071" s="10"/>
      <c r="N1071" s="10" t="b">
        <v>0</v>
      </c>
      <c r="O1071" s="41"/>
      <c r="P1071" s="45">
        <f t="shared" si="114"/>
        <v>441.84</v>
      </c>
      <c r="Q1071" s="45">
        <f t="shared" si="115"/>
        <v>610.16000000000008</v>
      </c>
      <c r="R1071" s="45">
        <v>0</v>
      </c>
      <c r="S1071" s="45">
        <f t="shared" si="116"/>
        <v>0</v>
      </c>
      <c r="T1071" s="45">
        <f t="shared" si="117"/>
        <v>0</v>
      </c>
      <c r="U1071" s="47">
        <f t="shared" si="118"/>
        <v>610.16000000000008</v>
      </c>
    </row>
    <row r="1072" spans="1:21" x14ac:dyDescent="0.3">
      <c r="A1072" s="41" t="str">
        <f t="shared" si="112"/>
        <v>PBANDR</v>
      </c>
      <c r="B1072" s="43">
        <v>45676</v>
      </c>
      <c r="C1072" s="10" t="s">
        <v>1114</v>
      </c>
      <c r="D1072" s="10" t="s">
        <v>21</v>
      </c>
      <c r="E1072" s="10" t="s">
        <v>30</v>
      </c>
      <c r="F1072" s="10" t="s">
        <v>23</v>
      </c>
      <c r="G1072" s="10" t="s">
        <v>7</v>
      </c>
      <c r="H1072" s="10" t="s">
        <v>13</v>
      </c>
      <c r="I1072" s="45">
        <v>2336</v>
      </c>
      <c r="J1072" s="11">
        <v>0</v>
      </c>
      <c r="K1072" s="45">
        <f t="shared" si="113"/>
        <v>2336</v>
      </c>
      <c r="L1072" s="10">
        <v>5</v>
      </c>
      <c r="M1072" s="10">
        <v>4.2</v>
      </c>
      <c r="N1072" s="10" t="b">
        <v>0</v>
      </c>
      <c r="O1072" s="41"/>
      <c r="P1072" s="45">
        <f t="shared" si="114"/>
        <v>981.12</v>
      </c>
      <c r="Q1072" s="45">
        <f t="shared" si="115"/>
        <v>1354.88</v>
      </c>
      <c r="R1072" s="45">
        <v>0</v>
      </c>
      <c r="S1072" s="45">
        <f t="shared" si="116"/>
        <v>0</v>
      </c>
      <c r="T1072" s="45">
        <f t="shared" si="117"/>
        <v>0</v>
      </c>
      <c r="U1072" s="47">
        <f t="shared" si="118"/>
        <v>1354.88</v>
      </c>
    </row>
    <row r="1073" spans="1:21" x14ac:dyDescent="0.3">
      <c r="A1073" s="41" t="str">
        <f t="shared" si="112"/>
        <v>PZARBO</v>
      </c>
      <c r="B1073" s="43">
        <v>45676</v>
      </c>
      <c r="C1073" s="10" t="s">
        <v>1115</v>
      </c>
      <c r="D1073" s="10" t="s">
        <v>3</v>
      </c>
      <c r="E1073" s="10" t="s">
        <v>26</v>
      </c>
      <c r="F1073" s="10" t="s">
        <v>23</v>
      </c>
      <c r="G1073" s="10" t="s">
        <v>38</v>
      </c>
      <c r="H1073" s="10" t="s">
        <v>35</v>
      </c>
      <c r="I1073" s="45">
        <v>2696</v>
      </c>
      <c r="J1073" s="11">
        <v>7.5999999999999998E-2</v>
      </c>
      <c r="K1073" s="45">
        <f t="shared" si="113"/>
        <v>2491.1040000000003</v>
      </c>
      <c r="L1073" s="10">
        <v>20</v>
      </c>
      <c r="M1073" s="10">
        <v>3.7</v>
      </c>
      <c r="N1073" s="10" t="b">
        <v>0</v>
      </c>
      <c r="O1073" s="41"/>
      <c r="P1073" s="45">
        <f t="shared" si="114"/>
        <v>1046.26368</v>
      </c>
      <c r="Q1073" s="45">
        <f t="shared" si="115"/>
        <v>1444.8403200000002</v>
      </c>
      <c r="R1073" s="45">
        <v>0</v>
      </c>
      <c r="S1073" s="45">
        <f t="shared" si="116"/>
        <v>0</v>
      </c>
      <c r="T1073" s="45">
        <f t="shared" si="117"/>
        <v>0</v>
      </c>
      <c r="U1073" s="47">
        <f t="shared" si="118"/>
        <v>1444.8403200000002</v>
      </c>
    </row>
    <row r="1074" spans="1:21" x14ac:dyDescent="0.3">
      <c r="A1074" s="41" t="str">
        <f t="shared" si="112"/>
        <v>PFORBO</v>
      </c>
      <c r="B1074" s="43">
        <v>45677</v>
      </c>
      <c r="C1074" s="10" t="s">
        <v>1116</v>
      </c>
      <c r="D1074" s="10" t="s">
        <v>65</v>
      </c>
      <c r="E1074" s="10" t="s">
        <v>26</v>
      </c>
      <c r="F1074" s="10" t="s">
        <v>11</v>
      </c>
      <c r="G1074" s="10" t="s">
        <v>5</v>
      </c>
      <c r="H1074" s="10" t="s">
        <v>47</v>
      </c>
      <c r="I1074" s="45">
        <v>2325</v>
      </c>
      <c r="J1074" s="11">
        <v>0</v>
      </c>
      <c r="K1074" s="45">
        <f t="shared" si="113"/>
        <v>2325</v>
      </c>
      <c r="L1074" s="10">
        <v>37</v>
      </c>
      <c r="M1074" s="10">
        <v>5</v>
      </c>
      <c r="N1074" s="10" t="b">
        <v>1</v>
      </c>
      <c r="O1074" s="41" t="s">
        <v>44</v>
      </c>
      <c r="P1074" s="45">
        <f t="shared" si="114"/>
        <v>976.5</v>
      </c>
      <c r="Q1074" s="45">
        <f t="shared" si="115"/>
        <v>1348.5</v>
      </c>
      <c r="R1074" s="45">
        <v>150</v>
      </c>
      <c r="S1074" s="45">
        <f t="shared" si="116"/>
        <v>232.5</v>
      </c>
      <c r="T1074" s="45">
        <f t="shared" si="117"/>
        <v>2325</v>
      </c>
      <c r="U1074" s="47">
        <f t="shared" si="118"/>
        <v>-1359</v>
      </c>
    </row>
    <row r="1075" spans="1:21" x14ac:dyDescent="0.3">
      <c r="A1075" s="41" t="str">
        <f t="shared" si="112"/>
        <v>PANNOU</v>
      </c>
      <c r="B1075" s="43">
        <v>45677</v>
      </c>
      <c r="C1075" s="10" t="s">
        <v>1117</v>
      </c>
      <c r="D1075" s="10" t="s">
        <v>42</v>
      </c>
      <c r="E1075" s="10" t="s">
        <v>2</v>
      </c>
      <c r="F1075" s="10" t="s">
        <v>11</v>
      </c>
      <c r="G1075" s="10" t="s">
        <v>7</v>
      </c>
      <c r="H1075" s="10" t="s">
        <v>43</v>
      </c>
      <c r="I1075" s="45">
        <v>3345</v>
      </c>
      <c r="J1075" s="11">
        <v>0</v>
      </c>
      <c r="K1075" s="45">
        <f t="shared" si="113"/>
        <v>3345</v>
      </c>
      <c r="L1075" s="10">
        <v>17</v>
      </c>
      <c r="M1075" s="10">
        <v>3.3</v>
      </c>
      <c r="N1075" s="10" t="b">
        <v>0</v>
      </c>
      <c r="O1075" s="41"/>
      <c r="P1075" s="45">
        <f t="shared" si="114"/>
        <v>1404.8999999999999</v>
      </c>
      <c r="Q1075" s="45">
        <f t="shared" si="115"/>
        <v>1940.1000000000001</v>
      </c>
      <c r="R1075" s="45">
        <v>0</v>
      </c>
      <c r="S1075" s="45">
        <f t="shared" si="116"/>
        <v>0</v>
      </c>
      <c r="T1075" s="45">
        <f t="shared" si="117"/>
        <v>0</v>
      </c>
      <c r="U1075" s="47">
        <f t="shared" si="118"/>
        <v>1940.1000000000001</v>
      </c>
    </row>
    <row r="1076" spans="1:21" x14ac:dyDescent="0.3">
      <c r="A1076" s="41" t="str">
        <f t="shared" si="112"/>
        <v>PGAPSH</v>
      </c>
      <c r="B1076" s="43">
        <v>45677</v>
      </c>
      <c r="C1076" s="10" t="s">
        <v>1118</v>
      </c>
      <c r="D1076" s="10" t="s">
        <v>53</v>
      </c>
      <c r="E1076" s="10" t="s">
        <v>18</v>
      </c>
      <c r="F1076" s="10" t="s">
        <v>23</v>
      </c>
      <c r="G1076" s="10" t="s">
        <v>5</v>
      </c>
      <c r="H1076" s="10" t="s">
        <v>7</v>
      </c>
      <c r="I1076" s="45">
        <v>3939</v>
      </c>
      <c r="J1076" s="11">
        <v>0.14699999999999999</v>
      </c>
      <c r="K1076" s="45">
        <f t="shared" si="113"/>
        <v>3359.9670000000001</v>
      </c>
      <c r="L1076" s="10">
        <v>47</v>
      </c>
      <c r="M1076" s="10">
        <v>2.9</v>
      </c>
      <c r="N1076" s="10" t="b">
        <v>1</v>
      </c>
      <c r="O1076" s="41" t="s">
        <v>33</v>
      </c>
      <c r="P1076" s="45">
        <f t="shared" si="114"/>
        <v>1411.18614</v>
      </c>
      <c r="Q1076" s="45">
        <f t="shared" si="115"/>
        <v>1948.7808600000001</v>
      </c>
      <c r="R1076" s="45">
        <v>150</v>
      </c>
      <c r="S1076" s="45">
        <f t="shared" si="116"/>
        <v>335.99670000000003</v>
      </c>
      <c r="T1076" s="45">
        <f t="shared" si="117"/>
        <v>3359.9670000000001</v>
      </c>
      <c r="U1076" s="47">
        <f t="shared" si="118"/>
        <v>-1897.1828399999999</v>
      </c>
    </row>
    <row r="1077" spans="1:21" x14ac:dyDescent="0.3">
      <c r="A1077" s="41" t="str">
        <f t="shared" si="112"/>
        <v>PUNIAC</v>
      </c>
      <c r="B1077" s="43">
        <v>45678</v>
      </c>
      <c r="C1077" s="10" t="s">
        <v>1119</v>
      </c>
      <c r="D1077" s="10" t="s">
        <v>10</v>
      </c>
      <c r="E1077" s="10" t="s">
        <v>15</v>
      </c>
      <c r="F1077" s="10" t="s">
        <v>11</v>
      </c>
      <c r="G1077" s="10" t="s">
        <v>7</v>
      </c>
      <c r="H1077" s="10" t="s">
        <v>16</v>
      </c>
      <c r="I1077" s="45">
        <v>310</v>
      </c>
      <c r="J1077" s="11">
        <v>0</v>
      </c>
      <c r="K1077" s="45">
        <f t="shared" si="113"/>
        <v>310</v>
      </c>
      <c r="L1077" s="10">
        <v>34</v>
      </c>
      <c r="M1077" s="10">
        <v>4.8</v>
      </c>
      <c r="N1077" s="10" t="b">
        <v>0</v>
      </c>
      <c r="O1077" s="41"/>
      <c r="P1077" s="45">
        <f t="shared" si="114"/>
        <v>130.19999999999999</v>
      </c>
      <c r="Q1077" s="45">
        <f t="shared" si="115"/>
        <v>179.8</v>
      </c>
      <c r="R1077" s="45">
        <v>0</v>
      </c>
      <c r="S1077" s="45">
        <f t="shared" si="116"/>
        <v>0</v>
      </c>
      <c r="T1077" s="45">
        <f t="shared" si="117"/>
        <v>0</v>
      </c>
      <c r="U1077" s="47">
        <f t="shared" si="118"/>
        <v>179.8</v>
      </c>
    </row>
    <row r="1078" spans="1:21" x14ac:dyDescent="0.3">
      <c r="A1078" s="41" t="str">
        <f t="shared" si="112"/>
        <v>PUNITO</v>
      </c>
      <c r="B1078" s="43">
        <v>45678</v>
      </c>
      <c r="C1078" s="10" t="s">
        <v>1120</v>
      </c>
      <c r="D1078" s="10" t="s">
        <v>10</v>
      </c>
      <c r="E1078" s="10" t="s">
        <v>9</v>
      </c>
      <c r="F1078" s="10" t="s">
        <v>23</v>
      </c>
      <c r="G1078" s="10" t="s">
        <v>12</v>
      </c>
      <c r="H1078" s="10" t="s">
        <v>47</v>
      </c>
      <c r="I1078" s="45">
        <v>1098</v>
      </c>
      <c r="J1078" s="11">
        <v>3.3000000000000002E-2</v>
      </c>
      <c r="K1078" s="45">
        <f t="shared" si="113"/>
        <v>1061.7660000000001</v>
      </c>
      <c r="L1078" s="10">
        <v>5</v>
      </c>
      <c r="M1078" s="10">
        <v>2.9</v>
      </c>
      <c r="N1078" s="10" t="b">
        <v>0</v>
      </c>
      <c r="O1078" s="41"/>
      <c r="P1078" s="45">
        <f t="shared" si="114"/>
        <v>445.94172000000003</v>
      </c>
      <c r="Q1078" s="45">
        <f t="shared" si="115"/>
        <v>615.82428000000004</v>
      </c>
      <c r="R1078" s="45">
        <v>0</v>
      </c>
      <c r="S1078" s="45">
        <f t="shared" si="116"/>
        <v>0</v>
      </c>
      <c r="T1078" s="45">
        <f t="shared" si="117"/>
        <v>0</v>
      </c>
      <c r="U1078" s="47">
        <f t="shared" si="118"/>
        <v>615.82428000000004</v>
      </c>
    </row>
    <row r="1079" spans="1:21" x14ac:dyDescent="0.3">
      <c r="A1079" s="41" t="str">
        <f t="shared" si="112"/>
        <v>PFORSH</v>
      </c>
      <c r="B1079" s="43">
        <v>45678</v>
      </c>
      <c r="C1079" s="10" t="s">
        <v>1121</v>
      </c>
      <c r="D1079" s="10" t="s">
        <v>65</v>
      </c>
      <c r="E1079" s="10" t="s">
        <v>18</v>
      </c>
      <c r="F1079" s="10" t="s">
        <v>4</v>
      </c>
      <c r="G1079" s="10" t="s">
        <v>5</v>
      </c>
      <c r="H1079" s="10" t="s">
        <v>58</v>
      </c>
      <c r="I1079" s="45">
        <v>3808</v>
      </c>
      <c r="J1079" s="11">
        <v>0.47</v>
      </c>
      <c r="K1079" s="45">
        <f t="shared" si="113"/>
        <v>2018.24</v>
      </c>
      <c r="L1079" s="10">
        <v>6</v>
      </c>
      <c r="M1079" s="10">
        <v>3.4</v>
      </c>
      <c r="N1079" s="10" t="b">
        <v>0</v>
      </c>
      <c r="O1079" s="41"/>
      <c r="P1079" s="45">
        <f t="shared" si="114"/>
        <v>847.66079999999999</v>
      </c>
      <c r="Q1079" s="45">
        <f t="shared" si="115"/>
        <v>1170.5792000000001</v>
      </c>
      <c r="R1079" s="45">
        <v>0</v>
      </c>
      <c r="S1079" s="45">
        <f t="shared" si="116"/>
        <v>0</v>
      </c>
      <c r="T1079" s="45">
        <f t="shared" si="117"/>
        <v>0</v>
      </c>
      <c r="U1079" s="47">
        <f t="shared" si="118"/>
        <v>1170.5792000000001</v>
      </c>
    </row>
    <row r="1080" spans="1:21" x14ac:dyDescent="0.3">
      <c r="A1080" s="41" t="str">
        <f t="shared" si="112"/>
        <v>PMANDR</v>
      </c>
      <c r="B1080" s="43">
        <v>45678</v>
      </c>
      <c r="C1080" s="10" t="s">
        <v>1122</v>
      </c>
      <c r="D1080" s="10" t="s">
        <v>31</v>
      </c>
      <c r="E1080" s="10" t="s">
        <v>30</v>
      </c>
      <c r="F1080" s="10" t="s">
        <v>23</v>
      </c>
      <c r="G1080" s="10" t="s">
        <v>12</v>
      </c>
      <c r="H1080" s="10" t="s">
        <v>13</v>
      </c>
      <c r="I1080" s="45">
        <v>2102</v>
      </c>
      <c r="J1080" s="11">
        <v>0</v>
      </c>
      <c r="K1080" s="45">
        <f t="shared" si="113"/>
        <v>2102</v>
      </c>
      <c r="L1080" s="10">
        <v>34</v>
      </c>
      <c r="M1080" s="10">
        <v>3.4</v>
      </c>
      <c r="N1080" s="10" t="b">
        <v>1</v>
      </c>
      <c r="O1080" s="41" t="s">
        <v>309</v>
      </c>
      <c r="P1080" s="45">
        <f t="shared" si="114"/>
        <v>882.83999999999992</v>
      </c>
      <c r="Q1080" s="45">
        <f t="shared" si="115"/>
        <v>1219.1600000000001</v>
      </c>
      <c r="R1080" s="45">
        <v>150</v>
      </c>
      <c r="S1080" s="45">
        <f t="shared" si="116"/>
        <v>210.20000000000002</v>
      </c>
      <c r="T1080" s="45">
        <f t="shared" si="117"/>
        <v>2102</v>
      </c>
      <c r="U1080" s="47">
        <f t="shared" si="118"/>
        <v>-1243.04</v>
      </c>
    </row>
    <row r="1081" spans="1:21" x14ac:dyDescent="0.3">
      <c r="A1081" s="41" t="str">
        <f t="shared" si="112"/>
        <v>PGAPBO</v>
      </c>
      <c r="B1081" s="43">
        <v>45679</v>
      </c>
      <c r="C1081" s="10" t="s">
        <v>1123</v>
      </c>
      <c r="D1081" s="10" t="s">
        <v>53</v>
      </c>
      <c r="E1081" s="10" t="s">
        <v>26</v>
      </c>
      <c r="F1081" s="10" t="s">
        <v>23</v>
      </c>
      <c r="G1081" s="10" t="s">
        <v>38</v>
      </c>
      <c r="H1081" s="10" t="s">
        <v>56</v>
      </c>
      <c r="I1081" s="45">
        <v>2736</v>
      </c>
      <c r="J1081" s="11">
        <v>0.54200000000000004</v>
      </c>
      <c r="K1081" s="45">
        <f t="shared" si="113"/>
        <v>1253.088</v>
      </c>
      <c r="L1081" s="10">
        <v>4</v>
      </c>
      <c r="M1081" s="10">
        <v>4.9000000000000004</v>
      </c>
      <c r="N1081" s="10" t="b">
        <v>0</v>
      </c>
      <c r="O1081" s="41"/>
      <c r="P1081" s="45">
        <f t="shared" si="114"/>
        <v>526.29696000000001</v>
      </c>
      <c r="Q1081" s="45">
        <f t="shared" si="115"/>
        <v>726.79103999999995</v>
      </c>
      <c r="R1081" s="45">
        <v>0</v>
      </c>
      <c r="S1081" s="45">
        <f t="shared" si="116"/>
        <v>0</v>
      </c>
      <c r="T1081" s="45">
        <f t="shared" si="117"/>
        <v>0</v>
      </c>
      <c r="U1081" s="47">
        <f t="shared" si="118"/>
        <v>726.79103999999995</v>
      </c>
    </row>
    <row r="1082" spans="1:21" x14ac:dyDescent="0.3">
      <c r="A1082" s="41" t="str">
        <f t="shared" si="112"/>
        <v>PUNIDR</v>
      </c>
      <c r="B1082" s="43">
        <v>45679</v>
      </c>
      <c r="C1082" s="10" t="s">
        <v>1124</v>
      </c>
      <c r="D1082" s="10" t="s">
        <v>10</v>
      </c>
      <c r="E1082" s="10" t="s">
        <v>30</v>
      </c>
      <c r="F1082" s="10" t="s">
        <v>54</v>
      </c>
      <c r="G1082" s="10" t="s">
        <v>46</v>
      </c>
      <c r="H1082" s="10" t="s">
        <v>43</v>
      </c>
      <c r="I1082" s="45">
        <v>2438</v>
      </c>
      <c r="J1082" s="11">
        <v>0</v>
      </c>
      <c r="K1082" s="45">
        <f t="shared" si="113"/>
        <v>2438</v>
      </c>
      <c r="L1082" s="10">
        <v>48</v>
      </c>
      <c r="M1082" s="10">
        <v>4.0999999999999996</v>
      </c>
      <c r="N1082" s="10" t="b">
        <v>1</v>
      </c>
      <c r="O1082" s="41" t="s">
        <v>50</v>
      </c>
      <c r="P1082" s="45">
        <f t="shared" si="114"/>
        <v>1023.9599999999999</v>
      </c>
      <c r="Q1082" s="45">
        <f t="shared" si="115"/>
        <v>1414.04</v>
      </c>
      <c r="R1082" s="45">
        <v>150</v>
      </c>
      <c r="S1082" s="45">
        <f t="shared" si="116"/>
        <v>243.8</v>
      </c>
      <c r="T1082" s="45">
        <f t="shared" si="117"/>
        <v>2438</v>
      </c>
      <c r="U1082" s="47">
        <f t="shared" si="118"/>
        <v>-1417.76</v>
      </c>
    </row>
    <row r="1083" spans="1:21" x14ac:dyDescent="0.3">
      <c r="A1083" s="41" t="str">
        <f t="shared" si="112"/>
        <v>PFOROU</v>
      </c>
      <c r="B1083" s="43">
        <v>45679</v>
      </c>
      <c r="C1083" s="10" t="s">
        <v>1125</v>
      </c>
      <c r="D1083" s="10" t="s">
        <v>65</v>
      </c>
      <c r="E1083" s="10" t="s">
        <v>2</v>
      </c>
      <c r="F1083" s="10" t="s">
        <v>11</v>
      </c>
      <c r="G1083" s="10" t="s">
        <v>12</v>
      </c>
      <c r="H1083" s="10" t="s">
        <v>35</v>
      </c>
      <c r="I1083" s="45">
        <v>3259</v>
      </c>
      <c r="J1083" s="11">
        <v>0.54799999999999993</v>
      </c>
      <c r="K1083" s="45">
        <f t="shared" si="113"/>
        <v>1473.0680000000002</v>
      </c>
      <c r="L1083" s="10">
        <v>36</v>
      </c>
      <c r="M1083" s="10">
        <v>3.1</v>
      </c>
      <c r="N1083" s="10" t="b">
        <v>1</v>
      </c>
      <c r="O1083" s="41" t="s">
        <v>80</v>
      </c>
      <c r="P1083" s="45">
        <f t="shared" si="114"/>
        <v>618.68856000000005</v>
      </c>
      <c r="Q1083" s="45">
        <f t="shared" si="115"/>
        <v>854.37944000000016</v>
      </c>
      <c r="R1083" s="45">
        <v>150</v>
      </c>
      <c r="S1083" s="45">
        <f t="shared" si="116"/>
        <v>147.30680000000004</v>
      </c>
      <c r="T1083" s="45">
        <f t="shared" si="117"/>
        <v>1473.0680000000002</v>
      </c>
      <c r="U1083" s="47">
        <f t="shared" si="118"/>
        <v>-915.99536000000012</v>
      </c>
    </row>
    <row r="1084" spans="1:21" x14ac:dyDescent="0.3">
      <c r="A1084" s="41" t="str">
        <f t="shared" si="112"/>
        <v>PMANBO</v>
      </c>
      <c r="B1084" s="43">
        <v>45679</v>
      </c>
      <c r="C1084" s="10" t="s">
        <v>1126</v>
      </c>
      <c r="D1084" s="10" t="s">
        <v>31</v>
      </c>
      <c r="E1084" s="10" t="s">
        <v>26</v>
      </c>
      <c r="F1084" s="10" t="s">
        <v>23</v>
      </c>
      <c r="G1084" s="10" t="s">
        <v>49</v>
      </c>
      <c r="H1084" s="10" t="s">
        <v>6</v>
      </c>
      <c r="I1084" s="45">
        <v>2163</v>
      </c>
      <c r="J1084" s="11">
        <v>0.16800000000000001</v>
      </c>
      <c r="K1084" s="45">
        <f t="shared" si="113"/>
        <v>1799.616</v>
      </c>
      <c r="L1084" s="10">
        <v>13</v>
      </c>
      <c r="M1084" s="10"/>
      <c r="N1084" s="10" t="b">
        <v>0</v>
      </c>
      <c r="O1084" s="41"/>
      <c r="P1084" s="45">
        <f t="shared" si="114"/>
        <v>755.83871999999997</v>
      </c>
      <c r="Q1084" s="45">
        <f t="shared" si="115"/>
        <v>1043.77728</v>
      </c>
      <c r="R1084" s="45">
        <v>0</v>
      </c>
      <c r="S1084" s="45">
        <f t="shared" si="116"/>
        <v>0</v>
      </c>
      <c r="T1084" s="45">
        <f t="shared" si="117"/>
        <v>0</v>
      </c>
      <c r="U1084" s="47">
        <f t="shared" si="118"/>
        <v>1043.77728</v>
      </c>
    </row>
    <row r="1085" spans="1:21" x14ac:dyDescent="0.3">
      <c r="A1085" s="41" t="str">
        <f t="shared" si="112"/>
        <v>PMANBO</v>
      </c>
      <c r="B1085" s="43">
        <v>45680</v>
      </c>
      <c r="C1085" s="10" t="s">
        <v>1127</v>
      </c>
      <c r="D1085" s="10" t="s">
        <v>31</v>
      </c>
      <c r="E1085" s="10" t="s">
        <v>26</v>
      </c>
      <c r="F1085" s="10" t="s">
        <v>11</v>
      </c>
      <c r="G1085" s="10" t="s">
        <v>49</v>
      </c>
      <c r="H1085" s="10" t="s">
        <v>7</v>
      </c>
      <c r="I1085" s="45">
        <v>2783</v>
      </c>
      <c r="J1085" s="11">
        <v>0.57399999999999995</v>
      </c>
      <c r="K1085" s="45">
        <f t="shared" si="113"/>
        <v>1185.5580000000002</v>
      </c>
      <c r="L1085" s="10">
        <v>30</v>
      </c>
      <c r="M1085" s="10">
        <v>4.2</v>
      </c>
      <c r="N1085" s="10" t="b">
        <v>0</v>
      </c>
      <c r="O1085" s="41"/>
      <c r="P1085" s="45">
        <f t="shared" si="114"/>
        <v>497.93436000000008</v>
      </c>
      <c r="Q1085" s="45">
        <f t="shared" si="115"/>
        <v>687.62364000000014</v>
      </c>
      <c r="R1085" s="45">
        <v>0</v>
      </c>
      <c r="S1085" s="45">
        <f t="shared" si="116"/>
        <v>0</v>
      </c>
      <c r="T1085" s="45">
        <f t="shared" si="117"/>
        <v>0</v>
      </c>
      <c r="U1085" s="47">
        <f t="shared" si="118"/>
        <v>687.62364000000014</v>
      </c>
    </row>
    <row r="1086" spans="1:21" x14ac:dyDescent="0.3">
      <c r="A1086" s="41" t="str">
        <f t="shared" si="112"/>
        <v>PUNISH</v>
      </c>
      <c r="B1086" s="43">
        <v>45680</v>
      </c>
      <c r="C1086" s="10" t="s">
        <v>1128</v>
      </c>
      <c r="D1086" s="10" t="s">
        <v>10</v>
      </c>
      <c r="E1086" s="10" t="s">
        <v>18</v>
      </c>
      <c r="F1086" s="10" t="s">
        <v>23</v>
      </c>
      <c r="G1086" s="10" t="s">
        <v>27</v>
      </c>
      <c r="H1086" s="10" t="s">
        <v>28</v>
      </c>
      <c r="I1086" s="45">
        <v>4123</v>
      </c>
      <c r="J1086" s="11">
        <v>0</v>
      </c>
      <c r="K1086" s="45">
        <f t="shared" si="113"/>
        <v>4123</v>
      </c>
      <c r="L1086" s="10">
        <v>25</v>
      </c>
      <c r="M1086" s="10">
        <v>3.5</v>
      </c>
      <c r="N1086" s="10" t="b">
        <v>0</v>
      </c>
      <c r="O1086" s="41"/>
      <c r="P1086" s="45">
        <f t="shared" si="114"/>
        <v>1731.6599999999999</v>
      </c>
      <c r="Q1086" s="45">
        <f t="shared" si="115"/>
        <v>2391.34</v>
      </c>
      <c r="R1086" s="45">
        <v>0</v>
      </c>
      <c r="S1086" s="45">
        <f t="shared" si="116"/>
        <v>0</v>
      </c>
      <c r="T1086" s="45">
        <f t="shared" si="117"/>
        <v>0</v>
      </c>
      <c r="U1086" s="47">
        <f t="shared" si="118"/>
        <v>2391.34</v>
      </c>
    </row>
    <row r="1087" spans="1:21" x14ac:dyDescent="0.3">
      <c r="A1087" s="41" t="str">
        <f t="shared" si="112"/>
        <v>PZARSH</v>
      </c>
      <c r="B1087" s="43">
        <v>45680</v>
      </c>
      <c r="C1087" s="10" t="s">
        <v>1129</v>
      </c>
      <c r="D1087" s="10" t="s">
        <v>3</v>
      </c>
      <c r="E1087" s="10" t="s">
        <v>18</v>
      </c>
      <c r="F1087" s="10" t="s">
        <v>23</v>
      </c>
      <c r="G1087" s="10" t="s">
        <v>7</v>
      </c>
      <c r="H1087" s="10" t="s">
        <v>58</v>
      </c>
      <c r="I1087" s="45">
        <v>4035</v>
      </c>
      <c r="J1087" s="11">
        <v>0</v>
      </c>
      <c r="K1087" s="45">
        <f t="shared" si="113"/>
        <v>4035</v>
      </c>
      <c r="L1087" s="10">
        <v>43</v>
      </c>
      <c r="M1087" s="10">
        <v>3.1</v>
      </c>
      <c r="N1087" s="10" t="b">
        <v>0</v>
      </c>
      <c r="O1087" s="41"/>
      <c r="P1087" s="45">
        <f t="shared" si="114"/>
        <v>1694.7</v>
      </c>
      <c r="Q1087" s="45">
        <f t="shared" si="115"/>
        <v>2340.3000000000002</v>
      </c>
      <c r="R1087" s="45">
        <v>0</v>
      </c>
      <c r="S1087" s="45">
        <f t="shared" si="116"/>
        <v>0</v>
      </c>
      <c r="T1087" s="45">
        <f t="shared" si="117"/>
        <v>0</v>
      </c>
      <c r="U1087" s="47">
        <f t="shared" si="118"/>
        <v>2340.3000000000002</v>
      </c>
    </row>
    <row r="1088" spans="1:21" x14ac:dyDescent="0.3">
      <c r="A1088" s="41" t="str">
        <f t="shared" si="112"/>
        <v>PGAPTO</v>
      </c>
      <c r="B1088" s="43">
        <v>45680</v>
      </c>
      <c r="C1088" s="10" t="s">
        <v>1130</v>
      </c>
      <c r="D1088" s="10" t="s">
        <v>53</v>
      </c>
      <c r="E1088" s="10" t="s">
        <v>9</v>
      </c>
      <c r="F1088" s="10" t="s">
        <v>11</v>
      </c>
      <c r="G1088" s="10" t="s">
        <v>49</v>
      </c>
      <c r="H1088" s="10" t="s">
        <v>88</v>
      </c>
      <c r="I1088" s="45">
        <v>1326</v>
      </c>
      <c r="J1088" s="11">
        <v>0.33799999999999997</v>
      </c>
      <c r="K1088" s="45">
        <f t="shared" si="113"/>
        <v>877.81200000000001</v>
      </c>
      <c r="L1088" s="10">
        <v>15</v>
      </c>
      <c r="M1088" s="10">
        <v>4.5</v>
      </c>
      <c r="N1088" s="10" t="b">
        <v>0</v>
      </c>
      <c r="O1088" s="41"/>
      <c r="P1088" s="45">
        <f t="shared" si="114"/>
        <v>368.68104</v>
      </c>
      <c r="Q1088" s="45">
        <f t="shared" si="115"/>
        <v>509.13096000000002</v>
      </c>
      <c r="R1088" s="45">
        <v>0</v>
      </c>
      <c r="S1088" s="45">
        <f t="shared" si="116"/>
        <v>0</v>
      </c>
      <c r="T1088" s="45">
        <f t="shared" si="117"/>
        <v>0</v>
      </c>
      <c r="U1088" s="47">
        <f t="shared" si="118"/>
        <v>509.13096000000002</v>
      </c>
    </row>
    <row r="1089" spans="1:21" x14ac:dyDescent="0.3">
      <c r="A1089" s="41" t="str">
        <f t="shared" si="112"/>
        <v>PH&amp;MDR</v>
      </c>
      <c r="B1089" s="43">
        <v>45681</v>
      </c>
      <c r="C1089" s="10" t="s">
        <v>1131</v>
      </c>
      <c r="D1089" s="10" t="s">
        <v>37</v>
      </c>
      <c r="E1089" s="10" t="s">
        <v>30</v>
      </c>
      <c r="F1089" s="10" t="s">
        <v>54</v>
      </c>
      <c r="G1089" s="10" t="s">
        <v>46</v>
      </c>
      <c r="H1089" s="10" t="s">
        <v>13</v>
      </c>
      <c r="I1089" s="45">
        <v>2062</v>
      </c>
      <c r="J1089" s="11">
        <v>0</v>
      </c>
      <c r="K1089" s="45">
        <f t="shared" si="113"/>
        <v>2062</v>
      </c>
      <c r="L1089" s="10">
        <v>41</v>
      </c>
      <c r="M1089" s="10">
        <v>2.8</v>
      </c>
      <c r="N1089" s="10" t="b">
        <v>0</v>
      </c>
      <c r="O1089" s="41"/>
      <c r="P1089" s="45">
        <f t="shared" si="114"/>
        <v>866.04</v>
      </c>
      <c r="Q1089" s="45">
        <f t="shared" si="115"/>
        <v>1195.96</v>
      </c>
      <c r="R1089" s="45">
        <v>0</v>
      </c>
      <c r="S1089" s="45">
        <f t="shared" si="116"/>
        <v>0</v>
      </c>
      <c r="T1089" s="45">
        <f t="shared" si="117"/>
        <v>0</v>
      </c>
      <c r="U1089" s="47">
        <f t="shared" si="118"/>
        <v>1195.96</v>
      </c>
    </row>
    <row r="1090" spans="1:21" x14ac:dyDescent="0.3">
      <c r="A1090" s="41" t="str">
        <f t="shared" ref="A1090:A1153" si="119">UPPER("P"&amp;LEFT(D1090,3)&amp;LEFT(E1090,2))</f>
        <v>PBANOU</v>
      </c>
      <c r="B1090" s="43">
        <v>45681</v>
      </c>
      <c r="C1090" s="10" t="s">
        <v>1132</v>
      </c>
      <c r="D1090" s="10" t="s">
        <v>21</v>
      </c>
      <c r="E1090" s="10" t="s">
        <v>2</v>
      </c>
      <c r="F1090" s="10" t="s">
        <v>4</v>
      </c>
      <c r="G1090" s="10" t="s">
        <v>38</v>
      </c>
      <c r="H1090" s="10" t="s">
        <v>16</v>
      </c>
      <c r="I1090" s="45">
        <v>3862</v>
      </c>
      <c r="J1090" s="11">
        <v>0</v>
      </c>
      <c r="K1090" s="45">
        <f t="shared" si="113"/>
        <v>3862</v>
      </c>
      <c r="L1090" s="10">
        <v>22</v>
      </c>
      <c r="M1090" s="10">
        <v>3.3</v>
      </c>
      <c r="N1090" s="10" t="b">
        <v>0</v>
      </c>
      <c r="O1090" s="41"/>
      <c r="P1090" s="45">
        <f t="shared" si="114"/>
        <v>1622.04</v>
      </c>
      <c r="Q1090" s="45">
        <f t="shared" si="115"/>
        <v>2239.96</v>
      </c>
      <c r="R1090" s="45">
        <v>0</v>
      </c>
      <c r="S1090" s="45">
        <f t="shared" si="116"/>
        <v>0</v>
      </c>
      <c r="T1090" s="45">
        <f t="shared" si="117"/>
        <v>0</v>
      </c>
      <c r="U1090" s="47">
        <f t="shared" si="118"/>
        <v>2239.96</v>
      </c>
    </row>
    <row r="1091" spans="1:21" x14ac:dyDescent="0.3">
      <c r="A1091" s="41" t="str">
        <f t="shared" si="119"/>
        <v>PANNAC</v>
      </c>
      <c r="B1091" s="43">
        <v>45681</v>
      </c>
      <c r="C1091" s="10" t="s">
        <v>1133</v>
      </c>
      <c r="D1091" s="10" t="s">
        <v>42</v>
      </c>
      <c r="E1091" s="10" t="s">
        <v>15</v>
      </c>
      <c r="F1091" s="10" t="s">
        <v>54</v>
      </c>
      <c r="G1091" s="10" t="s">
        <v>7</v>
      </c>
      <c r="H1091" s="10" t="s">
        <v>88</v>
      </c>
      <c r="I1091" s="45">
        <v>386</v>
      </c>
      <c r="J1091" s="11">
        <v>0</v>
      </c>
      <c r="K1091" s="45">
        <f t="shared" ref="K1091:K1154" si="120">I1091*(1-J1091)</f>
        <v>386</v>
      </c>
      <c r="L1091" s="10">
        <v>4</v>
      </c>
      <c r="M1091" s="10">
        <v>3.5</v>
      </c>
      <c r="N1091" s="10" t="b">
        <v>1</v>
      </c>
      <c r="O1091" s="41" t="s">
        <v>50</v>
      </c>
      <c r="P1091" s="45">
        <f t="shared" ref="P1091:P1154" si="121">K1091*0.42</f>
        <v>162.12</v>
      </c>
      <c r="Q1091" s="45">
        <f t="shared" ref="Q1091:Q1154" si="122">K1091-P1091</f>
        <v>223.88</v>
      </c>
      <c r="R1091" s="45">
        <v>150</v>
      </c>
      <c r="S1091" s="45">
        <f t="shared" ref="S1091:S1154" si="123">IF(N1091=TRUE,K1091*0.1,0)</f>
        <v>38.6</v>
      </c>
      <c r="T1091" s="45">
        <f t="shared" ref="T1091:T1154" si="124">IF(N1091=TRUE,K1091,0)</f>
        <v>386</v>
      </c>
      <c r="U1091" s="47">
        <f t="shared" ref="U1091:U1154" si="125">Q1091-R1091-S1091-T1091</f>
        <v>-350.72</v>
      </c>
    </row>
    <row r="1092" spans="1:21" x14ac:dyDescent="0.3">
      <c r="A1092" s="41" t="str">
        <f t="shared" si="119"/>
        <v>PGAPAC</v>
      </c>
      <c r="B1092" s="43">
        <v>45681</v>
      </c>
      <c r="C1092" s="10" t="s">
        <v>1134</v>
      </c>
      <c r="D1092" s="10" t="s">
        <v>53</v>
      </c>
      <c r="E1092" s="10" t="s">
        <v>15</v>
      </c>
      <c r="F1092" s="10" t="s">
        <v>4</v>
      </c>
      <c r="G1092" s="10" t="s">
        <v>7</v>
      </c>
      <c r="H1092" s="10" t="s">
        <v>43</v>
      </c>
      <c r="I1092" s="45">
        <v>362</v>
      </c>
      <c r="J1092" s="11">
        <v>0</v>
      </c>
      <c r="K1092" s="45">
        <f t="shared" si="120"/>
        <v>362</v>
      </c>
      <c r="L1092" s="10">
        <v>6</v>
      </c>
      <c r="M1092" s="10">
        <v>2</v>
      </c>
      <c r="N1092" s="10" t="b">
        <v>1</v>
      </c>
      <c r="O1092" s="41" t="s">
        <v>44</v>
      </c>
      <c r="P1092" s="45">
        <f t="shared" si="121"/>
        <v>152.04</v>
      </c>
      <c r="Q1092" s="45">
        <f t="shared" si="122"/>
        <v>209.96</v>
      </c>
      <c r="R1092" s="45">
        <v>150</v>
      </c>
      <c r="S1092" s="45">
        <f t="shared" si="123"/>
        <v>36.200000000000003</v>
      </c>
      <c r="T1092" s="45">
        <f t="shared" si="124"/>
        <v>362</v>
      </c>
      <c r="U1092" s="47">
        <f t="shared" si="125"/>
        <v>-338.24</v>
      </c>
    </row>
    <row r="1093" spans="1:21" x14ac:dyDescent="0.3">
      <c r="A1093" s="41" t="str">
        <f t="shared" si="119"/>
        <v>PFORBO</v>
      </c>
      <c r="B1093" s="43">
        <v>45682</v>
      </c>
      <c r="C1093" s="10" t="s">
        <v>1135</v>
      </c>
      <c r="D1093" s="10" t="s">
        <v>65</v>
      </c>
      <c r="E1093" s="10" t="s">
        <v>26</v>
      </c>
      <c r="F1093" s="10" t="s">
        <v>11</v>
      </c>
      <c r="G1093" s="10" t="s">
        <v>27</v>
      </c>
      <c r="H1093" s="10" t="s">
        <v>88</v>
      </c>
      <c r="I1093" s="45">
        <v>2026</v>
      </c>
      <c r="J1093" s="11">
        <v>0.28699999999999998</v>
      </c>
      <c r="K1093" s="45">
        <f t="shared" si="120"/>
        <v>1444.5380000000002</v>
      </c>
      <c r="L1093" s="10">
        <v>37</v>
      </c>
      <c r="M1093" s="10">
        <v>2.5</v>
      </c>
      <c r="N1093" s="10" t="b">
        <v>1</v>
      </c>
      <c r="O1093" s="41" t="s">
        <v>50</v>
      </c>
      <c r="P1093" s="45">
        <f t="shared" si="121"/>
        <v>606.70596000000012</v>
      </c>
      <c r="Q1093" s="45">
        <f t="shared" si="122"/>
        <v>837.83204000000012</v>
      </c>
      <c r="R1093" s="45">
        <v>150</v>
      </c>
      <c r="S1093" s="45">
        <f t="shared" si="123"/>
        <v>144.45380000000003</v>
      </c>
      <c r="T1093" s="45">
        <f t="shared" si="124"/>
        <v>1444.5380000000002</v>
      </c>
      <c r="U1093" s="47">
        <f t="shared" si="125"/>
        <v>-901.15976000000012</v>
      </c>
    </row>
    <row r="1094" spans="1:21" x14ac:dyDescent="0.3">
      <c r="A1094" s="41" t="str">
        <f t="shared" si="119"/>
        <v>PMANDR</v>
      </c>
      <c r="B1094" s="43">
        <v>45682</v>
      </c>
      <c r="C1094" s="10" t="s">
        <v>1136</v>
      </c>
      <c r="D1094" s="10" t="s">
        <v>31</v>
      </c>
      <c r="E1094" s="10" t="s">
        <v>30</v>
      </c>
      <c r="F1094" s="10" t="s">
        <v>11</v>
      </c>
      <c r="G1094" s="10" t="s">
        <v>5</v>
      </c>
      <c r="H1094" s="10" t="s">
        <v>16</v>
      </c>
      <c r="I1094" s="45">
        <v>2706</v>
      </c>
      <c r="J1094" s="11">
        <v>0</v>
      </c>
      <c r="K1094" s="45">
        <f t="shared" si="120"/>
        <v>2706</v>
      </c>
      <c r="L1094" s="10">
        <v>36</v>
      </c>
      <c r="M1094" s="10">
        <v>2.5</v>
      </c>
      <c r="N1094" s="10" t="b">
        <v>0</v>
      </c>
      <c r="O1094" s="41"/>
      <c r="P1094" s="45">
        <f t="shared" si="121"/>
        <v>1136.52</v>
      </c>
      <c r="Q1094" s="45">
        <f t="shared" si="122"/>
        <v>1569.48</v>
      </c>
      <c r="R1094" s="45">
        <v>0</v>
      </c>
      <c r="S1094" s="45">
        <f t="shared" si="123"/>
        <v>0</v>
      </c>
      <c r="T1094" s="45">
        <f t="shared" si="124"/>
        <v>0</v>
      </c>
      <c r="U1094" s="47">
        <f t="shared" si="125"/>
        <v>1569.48</v>
      </c>
    </row>
    <row r="1095" spans="1:21" x14ac:dyDescent="0.3">
      <c r="A1095" s="41" t="str">
        <f t="shared" si="119"/>
        <v>PH&amp;MDR</v>
      </c>
      <c r="B1095" s="43">
        <v>45682</v>
      </c>
      <c r="C1095" s="10" t="s">
        <v>1137</v>
      </c>
      <c r="D1095" s="10" t="s">
        <v>37</v>
      </c>
      <c r="E1095" s="10" t="s">
        <v>30</v>
      </c>
      <c r="F1095" s="10" t="s">
        <v>54</v>
      </c>
      <c r="G1095" s="10" t="s">
        <v>5</v>
      </c>
      <c r="H1095" s="10" t="s">
        <v>88</v>
      </c>
      <c r="I1095" s="45">
        <v>2554</v>
      </c>
      <c r="J1095" s="11">
        <v>0.10800000000000001</v>
      </c>
      <c r="K1095" s="45">
        <f t="shared" si="120"/>
        <v>2278.1680000000001</v>
      </c>
      <c r="L1095" s="10">
        <v>38</v>
      </c>
      <c r="M1095" s="10">
        <v>3.3</v>
      </c>
      <c r="N1095" s="10" t="b">
        <v>0</v>
      </c>
      <c r="O1095" s="41"/>
      <c r="P1095" s="45">
        <f t="shared" si="121"/>
        <v>956.83055999999999</v>
      </c>
      <c r="Q1095" s="45">
        <f t="shared" si="122"/>
        <v>1321.3374400000002</v>
      </c>
      <c r="R1095" s="45">
        <v>0</v>
      </c>
      <c r="S1095" s="45">
        <f t="shared" si="123"/>
        <v>0</v>
      </c>
      <c r="T1095" s="45">
        <f t="shared" si="124"/>
        <v>0</v>
      </c>
      <c r="U1095" s="47">
        <f t="shared" si="125"/>
        <v>1321.3374400000002</v>
      </c>
    </row>
    <row r="1096" spans="1:21" x14ac:dyDescent="0.3">
      <c r="A1096" s="41" t="str">
        <f t="shared" si="119"/>
        <v>PMANOU</v>
      </c>
      <c r="B1096" s="43">
        <v>45682</v>
      </c>
      <c r="C1096" s="10" t="s">
        <v>1138</v>
      </c>
      <c r="D1096" s="10" t="s">
        <v>31</v>
      </c>
      <c r="E1096" s="10" t="s">
        <v>2</v>
      </c>
      <c r="F1096" s="10" t="s">
        <v>11</v>
      </c>
      <c r="G1096" s="10" t="s">
        <v>5</v>
      </c>
      <c r="H1096" s="10" t="s">
        <v>13</v>
      </c>
      <c r="I1096" s="45">
        <v>4263</v>
      </c>
      <c r="J1096" s="11">
        <v>0.17499999999999999</v>
      </c>
      <c r="K1096" s="45">
        <f t="shared" si="120"/>
        <v>3516.9749999999999</v>
      </c>
      <c r="L1096" s="10">
        <v>41</v>
      </c>
      <c r="M1096" s="10">
        <v>1.4</v>
      </c>
      <c r="N1096" s="10" t="b">
        <v>0</v>
      </c>
      <c r="O1096" s="41"/>
      <c r="P1096" s="45">
        <f t="shared" si="121"/>
        <v>1477.1295</v>
      </c>
      <c r="Q1096" s="45">
        <f t="shared" si="122"/>
        <v>2039.8454999999999</v>
      </c>
      <c r="R1096" s="45">
        <v>0</v>
      </c>
      <c r="S1096" s="45">
        <f t="shared" si="123"/>
        <v>0</v>
      </c>
      <c r="T1096" s="45">
        <f t="shared" si="124"/>
        <v>0</v>
      </c>
      <c r="U1096" s="47">
        <f t="shared" si="125"/>
        <v>2039.8454999999999</v>
      </c>
    </row>
    <row r="1097" spans="1:21" x14ac:dyDescent="0.3">
      <c r="A1097" s="41" t="str">
        <f t="shared" si="119"/>
        <v>PBANOU</v>
      </c>
      <c r="B1097" s="43">
        <v>45683</v>
      </c>
      <c r="C1097" s="10" t="s">
        <v>1139</v>
      </c>
      <c r="D1097" s="10" t="s">
        <v>21</v>
      </c>
      <c r="E1097" s="10" t="s">
        <v>2</v>
      </c>
      <c r="F1097" s="10" t="s">
        <v>4</v>
      </c>
      <c r="G1097" s="10" t="s">
        <v>49</v>
      </c>
      <c r="H1097" s="10" t="s">
        <v>35</v>
      </c>
      <c r="I1097" s="45">
        <v>3704</v>
      </c>
      <c r="J1097" s="11">
        <v>0.46200000000000002</v>
      </c>
      <c r="K1097" s="45">
        <f t="shared" si="120"/>
        <v>1992.7520000000002</v>
      </c>
      <c r="L1097" s="10">
        <v>28</v>
      </c>
      <c r="M1097" s="10">
        <v>3.2</v>
      </c>
      <c r="N1097" s="10" t="b">
        <v>0</v>
      </c>
      <c r="O1097" s="41"/>
      <c r="P1097" s="45">
        <f t="shared" si="121"/>
        <v>836.95584000000008</v>
      </c>
      <c r="Q1097" s="45">
        <f t="shared" si="122"/>
        <v>1155.7961600000001</v>
      </c>
      <c r="R1097" s="45">
        <v>0</v>
      </c>
      <c r="S1097" s="45">
        <f t="shared" si="123"/>
        <v>0</v>
      </c>
      <c r="T1097" s="45">
        <f t="shared" si="124"/>
        <v>0</v>
      </c>
      <c r="U1097" s="47">
        <f t="shared" si="125"/>
        <v>1155.7961600000001</v>
      </c>
    </row>
    <row r="1098" spans="1:21" x14ac:dyDescent="0.3">
      <c r="A1098" s="41" t="str">
        <f t="shared" si="119"/>
        <v>PGAPSH</v>
      </c>
      <c r="B1098" s="43">
        <v>45683</v>
      </c>
      <c r="C1098" s="10" t="s">
        <v>1140</v>
      </c>
      <c r="D1098" s="10" t="s">
        <v>53</v>
      </c>
      <c r="E1098" s="10" t="s">
        <v>18</v>
      </c>
      <c r="F1098" s="10" t="s">
        <v>54</v>
      </c>
      <c r="G1098" s="10" t="s">
        <v>46</v>
      </c>
      <c r="H1098" s="10" t="s">
        <v>32</v>
      </c>
      <c r="I1098" s="45">
        <v>3969</v>
      </c>
      <c r="J1098" s="11">
        <v>0.47100000000000003</v>
      </c>
      <c r="K1098" s="45">
        <f t="shared" si="120"/>
        <v>2099.6009999999997</v>
      </c>
      <c r="L1098" s="10">
        <v>36</v>
      </c>
      <c r="M1098" s="10">
        <v>4</v>
      </c>
      <c r="N1098" s="10" t="b">
        <v>0</v>
      </c>
      <c r="O1098" s="41"/>
      <c r="P1098" s="45">
        <f t="shared" si="121"/>
        <v>881.83241999999984</v>
      </c>
      <c r="Q1098" s="45">
        <f t="shared" si="122"/>
        <v>1217.7685799999999</v>
      </c>
      <c r="R1098" s="45">
        <v>0</v>
      </c>
      <c r="S1098" s="45">
        <f t="shared" si="123"/>
        <v>0</v>
      </c>
      <c r="T1098" s="45">
        <f t="shared" si="124"/>
        <v>0</v>
      </c>
      <c r="U1098" s="47">
        <f t="shared" si="125"/>
        <v>1217.7685799999999</v>
      </c>
    </row>
    <row r="1099" spans="1:21" x14ac:dyDescent="0.3">
      <c r="A1099" s="41" t="str">
        <f t="shared" si="119"/>
        <v>PBANAC</v>
      </c>
      <c r="B1099" s="43">
        <v>45683</v>
      </c>
      <c r="C1099" s="10" t="s">
        <v>1141</v>
      </c>
      <c r="D1099" s="10" t="s">
        <v>21</v>
      </c>
      <c r="E1099" s="10" t="s">
        <v>15</v>
      </c>
      <c r="F1099" s="10" t="s">
        <v>11</v>
      </c>
      <c r="G1099" s="10" t="s">
        <v>7</v>
      </c>
      <c r="H1099" s="10" t="s">
        <v>56</v>
      </c>
      <c r="I1099" s="45">
        <v>296</v>
      </c>
      <c r="J1099" s="11">
        <v>0.20699999999999999</v>
      </c>
      <c r="K1099" s="45">
        <f t="shared" si="120"/>
        <v>234.72800000000001</v>
      </c>
      <c r="L1099" s="10">
        <v>20</v>
      </c>
      <c r="M1099" s="10">
        <v>2.6</v>
      </c>
      <c r="N1099" s="10" t="b">
        <v>0</v>
      </c>
      <c r="O1099" s="41"/>
      <c r="P1099" s="45">
        <f t="shared" si="121"/>
        <v>98.585759999999993</v>
      </c>
      <c r="Q1099" s="45">
        <f t="shared" si="122"/>
        <v>136.14224000000002</v>
      </c>
      <c r="R1099" s="45">
        <v>0</v>
      </c>
      <c r="S1099" s="45">
        <f t="shared" si="123"/>
        <v>0</v>
      </c>
      <c r="T1099" s="45">
        <f t="shared" si="124"/>
        <v>0</v>
      </c>
      <c r="U1099" s="47">
        <f t="shared" si="125"/>
        <v>136.14224000000002</v>
      </c>
    </row>
    <row r="1100" spans="1:21" x14ac:dyDescent="0.3">
      <c r="A1100" s="41" t="str">
        <f t="shared" si="119"/>
        <v>PH&amp;MBO</v>
      </c>
      <c r="B1100" s="43">
        <v>45683</v>
      </c>
      <c r="C1100" s="10" t="s">
        <v>1142</v>
      </c>
      <c r="D1100" s="10" t="s">
        <v>37</v>
      </c>
      <c r="E1100" s="10" t="s">
        <v>26</v>
      </c>
      <c r="F1100" s="10" t="s">
        <v>4</v>
      </c>
      <c r="G1100" s="10" t="s">
        <v>46</v>
      </c>
      <c r="H1100" s="10" t="s">
        <v>58</v>
      </c>
      <c r="I1100" s="45">
        <v>2110</v>
      </c>
      <c r="J1100" s="11">
        <v>0</v>
      </c>
      <c r="K1100" s="45">
        <f t="shared" si="120"/>
        <v>2110</v>
      </c>
      <c r="L1100" s="10">
        <v>3</v>
      </c>
      <c r="M1100" s="10">
        <v>4.9000000000000004</v>
      </c>
      <c r="N1100" s="10" t="b">
        <v>0</v>
      </c>
      <c r="O1100" s="41"/>
      <c r="P1100" s="45">
        <f t="shared" si="121"/>
        <v>886.19999999999993</v>
      </c>
      <c r="Q1100" s="45">
        <f t="shared" si="122"/>
        <v>1223.8000000000002</v>
      </c>
      <c r="R1100" s="45">
        <v>0</v>
      </c>
      <c r="S1100" s="45">
        <f t="shared" si="123"/>
        <v>0</v>
      </c>
      <c r="T1100" s="45">
        <f t="shared" si="124"/>
        <v>0</v>
      </c>
      <c r="U1100" s="47">
        <f t="shared" si="125"/>
        <v>1223.8000000000002</v>
      </c>
    </row>
    <row r="1101" spans="1:21" x14ac:dyDescent="0.3">
      <c r="A1101" s="41" t="str">
        <f t="shared" si="119"/>
        <v>PANNSH</v>
      </c>
      <c r="B1101" s="43">
        <v>45684</v>
      </c>
      <c r="C1101" s="10" t="s">
        <v>1143</v>
      </c>
      <c r="D1101" s="10" t="s">
        <v>42</v>
      </c>
      <c r="E1101" s="10" t="s">
        <v>18</v>
      </c>
      <c r="F1101" s="10" t="s">
        <v>23</v>
      </c>
      <c r="G1101" s="10" t="s">
        <v>5</v>
      </c>
      <c r="H1101" s="10" t="s">
        <v>47</v>
      </c>
      <c r="I1101" s="45">
        <v>3752</v>
      </c>
      <c r="J1101" s="11">
        <v>0</v>
      </c>
      <c r="K1101" s="45">
        <f t="shared" si="120"/>
        <v>3752</v>
      </c>
      <c r="L1101" s="10">
        <v>25</v>
      </c>
      <c r="M1101" s="10">
        <v>3.6</v>
      </c>
      <c r="N1101" s="10" t="b">
        <v>0</v>
      </c>
      <c r="O1101" s="41"/>
      <c r="P1101" s="45">
        <f t="shared" si="121"/>
        <v>1575.84</v>
      </c>
      <c r="Q1101" s="45">
        <f t="shared" si="122"/>
        <v>2176.16</v>
      </c>
      <c r="R1101" s="45">
        <v>0</v>
      </c>
      <c r="S1101" s="45">
        <f t="shared" si="123"/>
        <v>0</v>
      </c>
      <c r="T1101" s="45">
        <f t="shared" si="124"/>
        <v>0</v>
      </c>
      <c r="U1101" s="47">
        <f t="shared" si="125"/>
        <v>2176.16</v>
      </c>
    </row>
    <row r="1102" spans="1:21" x14ac:dyDescent="0.3">
      <c r="A1102" s="41" t="str">
        <f t="shared" si="119"/>
        <v>PZAROU</v>
      </c>
      <c r="B1102" s="43">
        <v>45684</v>
      </c>
      <c r="C1102" s="10" t="s">
        <v>1144</v>
      </c>
      <c r="D1102" s="10" t="s">
        <v>3</v>
      </c>
      <c r="E1102" s="10" t="s">
        <v>2</v>
      </c>
      <c r="F1102" s="10" t="s">
        <v>23</v>
      </c>
      <c r="G1102" s="10" t="s">
        <v>27</v>
      </c>
      <c r="H1102" s="10" t="s">
        <v>28</v>
      </c>
      <c r="I1102" s="45">
        <v>3000</v>
      </c>
      <c r="J1102" s="11">
        <v>0</v>
      </c>
      <c r="K1102" s="45">
        <f t="shared" si="120"/>
        <v>3000</v>
      </c>
      <c r="L1102" s="10">
        <v>23</v>
      </c>
      <c r="M1102" s="10">
        <v>1.8</v>
      </c>
      <c r="N1102" s="10" t="b">
        <v>0</v>
      </c>
      <c r="O1102" s="41"/>
      <c r="P1102" s="45">
        <f t="shared" si="121"/>
        <v>1260</v>
      </c>
      <c r="Q1102" s="45">
        <f t="shared" si="122"/>
        <v>1740</v>
      </c>
      <c r="R1102" s="45">
        <v>0</v>
      </c>
      <c r="S1102" s="45">
        <f t="shared" si="123"/>
        <v>0</v>
      </c>
      <c r="T1102" s="45">
        <f t="shared" si="124"/>
        <v>0</v>
      </c>
      <c r="U1102" s="47">
        <f t="shared" si="125"/>
        <v>1740</v>
      </c>
    </row>
    <row r="1103" spans="1:21" x14ac:dyDescent="0.3">
      <c r="A1103" s="41" t="str">
        <f t="shared" si="119"/>
        <v>PH&amp;MDR</v>
      </c>
      <c r="B1103" s="43">
        <v>45684</v>
      </c>
      <c r="C1103" s="10" t="s">
        <v>1145</v>
      </c>
      <c r="D1103" s="10" t="s">
        <v>37</v>
      </c>
      <c r="E1103" s="10" t="s">
        <v>30</v>
      </c>
      <c r="F1103" s="10" t="s">
        <v>4</v>
      </c>
      <c r="G1103" s="10" t="s">
        <v>5</v>
      </c>
      <c r="H1103" s="10" t="s">
        <v>88</v>
      </c>
      <c r="I1103" s="45">
        <v>1878</v>
      </c>
      <c r="J1103" s="11">
        <v>0.39</v>
      </c>
      <c r="K1103" s="45">
        <f t="shared" si="120"/>
        <v>1145.58</v>
      </c>
      <c r="L1103" s="10">
        <v>5</v>
      </c>
      <c r="M1103" s="10"/>
      <c r="N1103" s="10" t="b">
        <v>0</v>
      </c>
      <c r="O1103" s="41"/>
      <c r="P1103" s="45">
        <f t="shared" si="121"/>
        <v>481.14359999999994</v>
      </c>
      <c r="Q1103" s="45">
        <f t="shared" si="122"/>
        <v>664.43640000000005</v>
      </c>
      <c r="R1103" s="45">
        <v>0</v>
      </c>
      <c r="S1103" s="45">
        <f t="shared" si="123"/>
        <v>0</v>
      </c>
      <c r="T1103" s="45">
        <f t="shared" si="124"/>
        <v>0</v>
      </c>
      <c r="U1103" s="47">
        <f t="shared" si="125"/>
        <v>664.43640000000005</v>
      </c>
    </row>
    <row r="1104" spans="1:21" x14ac:dyDescent="0.3">
      <c r="A1104" s="41" t="str">
        <f t="shared" si="119"/>
        <v>PGAPAC</v>
      </c>
      <c r="B1104" s="43">
        <v>45685</v>
      </c>
      <c r="C1104" s="10" t="s">
        <v>1146</v>
      </c>
      <c r="D1104" s="10" t="s">
        <v>53</v>
      </c>
      <c r="E1104" s="10" t="s">
        <v>15</v>
      </c>
      <c r="F1104" s="10" t="s">
        <v>23</v>
      </c>
      <c r="G1104" s="10" t="s">
        <v>7</v>
      </c>
      <c r="H1104" s="10" t="s">
        <v>16</v>
      </c>
      <c r="I1104" s="45">
        <v>249</v>
      </c>
      <c r="J1104" s="11">
        <v>0</v>
      </c>
      <c r="K1104" s="45">
        <f t="shared" si="120"/>
        <v>249</v>
      </c>
      <c r="L1104" s="10">
        <v>22</v>
      </c>
      <c r="M1104" s="10"/>
      <c r="N1104" s="10" t="b">
        <v>0</v>
      </c>
      <c r="O1104" s="41"/>
      <c r="P1104" s="45">
        <f t="shared" si="121"/>
        <v>104.58</v>
      </c>
      <c r="Q1104" s="45">
        <f t="shared" si="122"/>
        <v>144.42000000000002</v>
      </c>
      <c r="R1104" s="45">
        <v>0</v>
      </c>
      <c r="S1104" s="45">
        <f t="shared" si="123"/>
        <v>0</v>
      </c>
      <c r="T1104" s="45">
        <f t="shared" si="124"/>
        <v>0</v>
      </c>
      <c r="U1104" s="47">
        <f t="shared" si="125"/>
        <v>144.42000000000002</v>
      </c>
    </row>
    <row r="1105" spans="1:21" x14ac:dyDescent="0.3">
      <c r="A1105" s="41" t="str">
        <f t="shared" si="119"/>
        <v>PANNAC</v>
      </c>
      <c r="B1105" s="43">
        <v>45685</v>
      </c>
      <c r="C1105" s="10" t="s">
        <v>1147</v>
      </c>
      <c r="D1105" s="10" t="s">
        <v>42</v>
      </c>
      <c r="E1105" s="10" t="s">
        <v>15</v>
      </c>
      <c r="F1105" s="10" t="s">
        <v>23</v>
      </c>
      <c r="G1105" s="10" t="s">
        <v>7</v>
      </c>
      <c r="H1105" s="10" t="s">
        <v>47</v>
      </c>
      <c r="I1105" s="45">
        <v>199</v>
      </c>
      <c r="J1105" s="11">
        <v>0.18899999999999997</v>
      </c>
      <c r="K1105" s="45">
        <f t="shared" si="120"/>
        <v>161.38900000000001</v>
      </c>
      <c r="L1105" s="10">
        <v>50</v>
      </c>
      <c r="M1105" s="10">
        <v>3.6</v>
      </c>
      <c r="N1105" s="10" t="b">
        <v>1</v>
      </c>
      <c r="O1105" s="41" t="s">
        <v>33</v>
      </c>
      <c r="P1105" s="45">
        <f t="shared" si="121"/>
        <v>67.783380000000008</v>
      </c>
      <c r="Q1105" s="45">
        <f t="shared" si="122"/>
        <v>93.605620000000002</v>
      </c>
      <c r="R1105" s="45">
        <v>150</v>
      </c>
      <c r="S1105" s="45">
        <f t="shared" si="123"/>
        <v>16.138900000000003</v>
      </c>
      <c r="T1105" s="45">
        <f t="shared" si="124"/>
        <v>161.38900000000001</v>
      </c>
      <c r="U1105" s="47">
        <f t="shared" si="125"/>
        <v>-233.92228</v>
      </c>
    </row>
    <row r="1106" spans="1:21" x14ac:dyDescent="0.3">
      <c r="A1106" s="41" t="str">
        <f t="shared" si="119"/>
        <v>PGAPBO</v>
      </c>
      <c r="B1106" s="43">
        <v>45685</v>
      </c>
      <c r="C1106" s="10" t="s">
        <v>1148</v>
      </c>
      <c r="D1106" s="10" t="s">
        <v>53</v>
      </c>
      <c r="E1106" s="10" t="s">
        <v>26</v>
      </c>
      <c r="F1106" s="10" t="s">
        <v>11</v>
      </c>
      <c r="G1106" s="10" t="s">
        <v>38</v>
      </c>
      <c r="H1106" s="10" t="s">
        <v>32</v>
      </c>
      <c r="I1106" s="45">
        <v>2027</v>
      </c>
      <c r="J1106" s="11">
        <v>0</v>
      </c>
      <c r="K1106" s="45">
        <f t="shared" si="120"/>
        <v>2027</v>
      </c>
      <c r="L1106" s="10">
        <v>3</v>
      </c>
      <c r="M1106" s="10">
        <v>2.6</v>
      </c>
      <c r="N1106" s="10" t="b">
        <v>1</v>
      </c>
      <c r="O1106" s="41" t="s">
        <v>33</v>
      </c>
      <c r="P1106" s="45">
        <f t="shared" si="121"/>
        <v>851.33999999999992</v>
      </c>
      <c r="Q1106" s="45">
        <f t="shared" si="122"/>
        <v>1175.6600000000001</v>
      </c>
      <c r="R1106" s="45">
        <v>150</v>
      </c>
      <c r="S1106" s="45">
        <f t="shared" si="123"/>
        <v>202.70000000000002</v>
      </c>
      <c r="T1106" s="45">
        <f t="shared" si="124"/>
        <v>2027</v>
      </c>
      <c r="U1106" s="47">
        <f t="shared" si="125"/>
        <v>-1204.04</v>
      </c>
    </row>
    <row r="1107" spans="1:21" x14ac:dyDescent="0.3">
      <c r="A1107" s="41" t="str">
        <f t="shared" si="119"/>
        <v>PZARAC</v>
      </c>
      <c r="B1107" s="43">
        <v>45685</v>
      </c>
      <c r="C1107" s="10" t="s">
        <v>1149</v>
      </c>
      <c r="D1107" s="10" t="s">
        <v>3</v>
      </c>
      <c r="E1107" s="10" t="s">
        <v>15</v>
      </c>
      <c r="F1107" s="10" t="s">
        <v>54</v>
      </c>
      <c r="G1107" s="10" t="s">
        <v>7</v>
      </c>
      <c r="H1107" s="10" t="s">
        <v>56</v>
      </c>
      <c r="I1107" s="45">
        <v>371</v>
      </c>
      <c r="J1107" s="11">
        <v>0</v>
      </c>
      <c r="K1107" s="45">
        <f t="shared" si="120"/>
        <v>371</v>
      </c>
      <c r="L1107" s="10">
        <v>31</v>
      </c>
      <c r="M1107" s="10">
        <v>3</v>
      </c>
      <c r="N1107" s="10" t="b">
        <v>0</v>
      </c>
      <c r="O1107" s="41"/>
      <c r="P1107" s="45">
        <f t="shared" si="121"/>
        <v>155.82</v>
      </c>
      <c r="Q1107" s="45">
        <f t="shared" si="122"/>
        <v>215.18</v>
      </c>
      <c r="R1107" s="45">
        <v>0</v>
      </c>
      <c r="S1107" s="45">
        <f t="shared" si="123"/>
        <v>0</v>
      </c>
      <c r="T1107" s="45">
        <f t="shared" si="124"/>
        <v>0</v>
      </c>
      <c r="U1107" s="47">
        <f t="shared" si="125"/>
        <v>215.18</v>
      </c>
    </row>
    <row r="1108" spans="1:21" x14ac:dyDescent="0.3">
      <c r="A1108" s="41" t="str">
        <f t="shared" si="119"/>
        <v>PUNIOU</v>
      </c>
      <c r="B1108" s="43">
        <v>45686</v>
      </c>
      <c r="C1108" s="10" t="s">
        <v>1150</v>
      </c>
      <c r="D1108" s="10" t="s">
        <v>10</v>
      </c>
      <c r="E1108" s="10" t="s">
        <v>2</v>
      </c>
      <c r="F1108" s="10" t="s">
        <v>23</v>
      </c>
      <c r="G1108" s="10" t="s">
        <v>38</v>
      </c>
      <c r="H1108" s="10" t="s">
        <v>58</v>
      </c>
      <c r="I1108" s="45">
        <v>3891</v>
      </c>
      <c r="J1108" s="11">
        <v>0</v>
      </c>
      <c r="K1108" s="45">
        <f t="shared" si="120"/>
        <v>3891</v>
      </c>
      <c r="L1108" s="10">
        <v>16</v>
      </c>
      <c r="M1108" s="10">
        <v>4.7</v>
      </c>
      <c r="N1108" s="10" t="b">
        <v>1</v>
      </c>
      <c r="O1108" s="41" t="s">
        <v>50</v>
      </c>
      <c r="P1108" s="45">
        <f t="shared" si="121"/>
        <v>1634.22</v>
      </c>
      <c r="Q1108" s="45">
        <f t="shared" si="122"/>
        <v>2256.7799999999997</v>
      </c>
      <c r="R1108" s="45">
        <v>150</v>
      </c>
      <c r="S1108" s="45">
        <f t="shared" si="123"/>
        <v>389.1</v>
      </c>
      <c r="T1108" s="45">
        <f t="shared" si="124"/>
        <v>3891</v>
      </c>
      <c r="U1108" s="47">
        <f t="shared" si="125"/>
        <v>-2173.3200000000002</v>
      </c>
    </row>
    <row r="1109" spans="1:21" x14ac:dyDescent="0.3">
      <c r="A1109" s="41" t="str">
        <f t="shared" si="119"/>
        <v>PFORBO</v>
      </c>
      <c r="B1109" s="43">
        <v>45686</v>
      </c>
      <c r="C1109" s="10" t="s">
        <v>1151</v>
      </c>
      <c r="D1109" s="10" t="s">
        <v>65</v>
      </c>
      <c r="E1109" s="10" t="s">
        <v>26</v>
      </c>
      <c r="F1109" s="10" t="s">
        <v>23</v>
      </c>
      <c r="G1109" s="10" t="s">
        <v>5</v>
      </c>
      <c r="H1109" s="10" t="s">
        <v>13</v>
      </c>
      <c r="I1109" s="45">
        <v>2020</v>
      </c>
      <c r="J1109" s="11">
        <v>0</v>
      </c>
      <c r="K1109" s="45">
        <f t="shared" si="120"/>
        <v>2020</v>
      </c>
      <c r="L1109" s="10">
        <v>25</v>
      </c>
      <c r="M1109" s="10">
        <v>4.5999999999999996</v>
      </c>
      <c r="N1109" s="10" t="b">
        <v>0</v>
      </c>
      <c r="O1109" s="41"/>
      <c r="P1109" s="45">
        <f t="shared" si="121"/>
        <v>848.4</v>
      </c>
      <c r="Q1109" s="45">
        <f t="shared" si="122"/>
        <v>1171.5999999999999</v>
      </c>
      <c r="R1109" s="45">
        <v>0</v>
      </c>
      <c r="S1109" s="45">
        <f t="shared" si="123"/>
        <v>0</v>
      </c>
      <c r="T1109" s="45">
        <f t="shared" si="124"/>
        <v>0</v>
      </c>
      <c r="U1109" s="47">
        <f t="shared" si="125"/>
        <v>1171.5999999999999</v>
      </c>
    </row>
    <row r="1110" spans="1:21" x14ac:dyDescent="0.3">
      <c r="A1110" s="41" t="str">
        <f t="shared" si="119"/>
        <v>PFORTO</v>
      </c>
      <c r="B1110" s="43">
        <v>45686</v>
      </c>
      <c r="C1110" s="10" t="s">
        <v>1152</v>
      </c>
      <c r="D1110" s="10" t="s">
        <v>65</v>
      </c>
      <c r="E1110" s="10" t="s">
        <v>9</v>
      </c>
      <c r="F1110" s="10" t="s">
        <v>4</v>
      </c>
      <c r="G1110" s="10" t="s">
        <v>49</v>
      </c>
      <c r="H1110" s="10" t="s">
        <v>6</v>
      </c>
      <c r="I1110" s="45">
        <v>1019</v>
      </c>
      <c r="J1110" s="11">
        <v>0</v>
      </c>
      <c r="K1110" s="45">
        <f t="shared" si="120"/>
        <v>1019</v>
      </c>
      <c r="L1110" s="10">
        <v>47</v>
      </c>
      <c r="M1110" s="10"/>
      <c r="N1110" s="10" t="b">
        <v>0</v>
      </c>
      <c r="O1110" s="41"/>
      <c r="P1110" s="45">
        <f t="shared" si="121"/>
        <v>427.97999999999996</v>
      </c>
      <c r="Q1110" s="45">
        <f t="shared" si="122"/>
        <v>591.02</v>
      </c>
      <c r="R1110" s="45">
        <v>0</v>
      </c>
      <c r="S1110" s="45">
        <f t="shared" si="123"/>
        <v>0</v>
      </c>
      <c r="T1110" s="45">
        <f t="shared" si="124"/>
        <v>0</v>
      </c>
      <c r="U1110" s="47">
        <f t="shared" si="125"/>
        <v>591.02</v>
      </c>
    </row>
    <row r="1111" spans="1:21" x14ac:dyDescent="0.3">
      <c r="A1111" s="41" t="str">
        <f t="shared" si="119"/>
        <v>PBANBO</v>
      </c>
      <c r="B1111" s="43">
        <v>45687</v>
      </c>
      <c r="C1111" s="10" t="s">
        <v>1153</v>
      </c>
      <c r="D1111" s="10" t="s">
        <v>21</v>
      </c>
      <c r="E1111" s="10" t="s">
        <v>26</v>
      </c>
      <c r="F1111" s="10" t="s">
        <v>23</v>
      </c>
      <c r="G1111" s="10" t="s">
        <v>7</v>
      </c>
      <c r="H1111" s="10" t="s">
        <v>7</v>
      </c>
      <c r="I1111" s="45">
        <v>2033</v>
      </c>
      <c r="J1111" s="11">
        <v>0</v>
      </c>
      <c r="K1111" s="45">
        <f t="shared" si="120"/>
        <v>2033</v>
      </c>
      <c r="L1111" s="10">
        <v>13</v>
      </c>
      <c r="M1111" s="10">
        <v>3.7</v>
      </c>
      <c r="N1111" s="10" t="b">
        <v>0</v>
      </c>
      <c r="O1111" s="41"/>
      <c r="P1111" s="45">
        <f t="shared" si="121"/>
        <v>853.86</v>
      </c>
      <c r="Q1111" s="45">
        <f t="shared" si="122"/>
        <v>1179.1399999999999</v>
      </c>
      <c r="R1111" s="45">
        <v>0</v>
      </c>
      <c r="S1111" s="45">
        <f t="shared" si="123"/>
        <v>0</v>
      </c>
      <c r="T1111" s="45">
        <f t="shared" si="124"/>
        <v>0</v>
      </c>
      <c r="U1111" s="47">
        <f t="shared" si="125"/>
        <v>1179.1399999999999</v>
      </c>
    </row>
    <row r="1112" spans="1:21" x14ac:dyDescent="0.3">
      <c r="A1112" s="41" t="str">
        <f t="shared" si="119"/>
        <v>PBANOU</v>
      </c>
      <c r="B1112" s="43">
        <v>45687</v>
      </c>
      <c r="C1112" s="10" t="s">
        <v>1154</v>
      </c>
      <c r="D1112" s="10" t="s">
        <v>21</v>
      </c>
      <c r="E1112" s="10" t="s">
        <v>2</v>
      </c>
      <c r="F1112" s="10" t="s">
        <v>4</v>
      </c>
      <c r="G1112" s="10" t="s">
        <v>7</v>
      </c>
      <c r="H1112" s="10" t="s">
        <v>88</v>
      </c>
      <c r="I1112" s="45">
        <v>3105</v>
      </c>
      <c r="J1112" s="11">
        <v>0</v>
      </c>
      <c r="K1112" s="45">
        <f t="shared" si="120"/>
        <v>3105</v>
      </c>
      <c r="L1112" s="10">
        <v>4</v>
      </c>
      <c r="M1112" s="10">
        <v>1</v>
      </c>
      <c r="N1112" s="10" t="b">
        <v>0</v>
      </c>
      <c r="O1112" s="41"/>
      <c r="P1112" s="45">
        <f t="shared" si="121"/>
        <v>1304.0999999999999</v>
      </c>
      <c r="Q1112" s="45">
        <f t="shared" si="122"/>
        <v>1800.9</v>
      </c>
      <c r="R1112" s="45">
        <v>0</v>
      </c>
      <c r="S1112" s="45">
        <f t="shared" si="123"/>
        <v>0</v>
      </c>
      <c r="T1112" s="45">
        <f t="shared" si="124"/>
        <v>0</v>
      </c>
      <c r="U1112" s="47">
        <f t="shared" si="125"/>
        <v>1800.9</v>
      </c>
    </row>
    <row r="1113" spans="1:21" x14ac:dyDescent="0.3">
      <c r="A1113" s="41" t="str">
        <f t="shared" si="119"/>
        <v>PANNDR</v>
      </c>
      <c r="B1113" s="43">
        <v>45687</v>
      </c>
      <c r="C1113" s="10" t="s">
        <v>1155</v>
      </c>
      <c r="D1113" s="10" t="s">
        <v>42</v>
      </c>
      <c r="E1113" s="10" t="s">
        <v>30</v>
      </c>
      <c r="F1113" s="10" t="s">
        <v>23</v>
      </c>
      <c r="G1113" s="10" t="s">
        <v>7</v>
      </c>
      <c r="H1113" s="10" t="s">
        <v>28</v>
      </c>
      <c r="I1113" s="45">
        <v>1910</v>
      </c>
      <c r="J1113" s="11">
        <v>0.49399999999999999</v>
      </c>
      <c r="K1113" s="45">
        <f t="shared" si="120"/>
        <v>966.46</v>
      </c>
      <c r="L1113" s="10">
        <v>25</v>
      </c>
      <c r="M1113" s="10"/>
      <c r="N1113" s="10" t="b">
        <v>0</v>
      </c>
      <c r="O1113" s="41"/>
      <c r="P1113" s="45">
        <f t="shared" si="121"/>
        <v>405.91320000000002</v>
      </c>
      <c r="Q1113" s="45">
        <f t="shared" si="122"/>
        <v>560.54680000000008</v>
      </c>
      <c r="R1113" s="45">
        <v>0</v>
      </c>
      <c r="S1113" s="45">
        <f t="shared" si="123"/>
        <v>0</v>
      </c>
      <c r="T1113" s="45">
        <f t="shared" si="124"/>
        <v>0</v>
      </c>
      <c r="U1113" s="47">
        <f t="shared" si="125"/>
        <v>560.54680000000008</v>
      </c>
    </row>
    <row r="1114" spans="1:21" x14ac:dyDescent="0.3">
      <c r="A1114" s="41" t="str">
        <f t="shared" si="119"/>
        <v>PZARSH</v>
      </c>
      <c r="B1114" s="43">
        <v>45687</v>
      </c>
      <c r="C1114" s="10" t="s">
        <v>1156</v>
      </c>
      <c r="D1114" s="10" t="s">
        <v>3</v>
      </c>
      <c r="E1114" s="10" t="s">
        <v>18</v>
      </c>
      <c r="F1114" s="10" t="s">
        <v>11</v>
      </c>
      <c r="G1114" s="10" t="s">
        <v>12</v>
      </c>
      <c r="H1114" s="10" t="s">
        <v>28</v>
      </c>
      <c r="I1114" s="45">
        <v>3968</v>
      </c>
      <c r="J1114" s="11">
        <v>0</v>
      </c>
      <c r="K1114" s="45">
        <f t="shared" si="120"/>
        <v>3968</v>
      </c>
      <c r="L1114" s="10">
        <v>36</v>
      </c>
      <c r="M1114" s="10">
        <v>4</v>
      </c>
      <c r="N1114" s="10" t="b">
        <v>0</v>
      </c>
      <c r="O1114" s="41"/>
      <c r="P1114" s="45">
        <f t="shared" si="121"/>
        <v>1666.56</v>
      </c>
      <c r="Q1114" s="45">
        <f t="shared" si="122"/>
        <v>2301.44</v>
      </c>
      <c r="R1114" s="45">
        <v>0</v>
      </c>
      <c r="S1114" s="45">
        <f t="shared" si="123"/>
        <v>0</v>
      </c>
      <c r="T1114" s="45">
        <f t="shared" si="124"/>
        <v>0</v>
      </c>
      <c r="U1114" s="47">
        <f t="shared" si="125"/>
        <v>2301.44</v>
      </c>
    </row>
    <row r="1115" spans="1:21" x14ac:dyDescent="0.3">
      <c r="A1115" s="41" t="str">
        <f t="shared" si="119"/>
        <v>PFORSH</v>
      </c>
      <c r="B1115" s="43">
        <v>45688</v>
      </c>
      <c r="C1115" s="10" t="s">
        <v>1157</v>
      </c>
      <c r="D1115" s="10" t="s">
        <v>65</v>
      </c>
      <c r="E1115" s="10" t="s">
        <v>18</v>
      </c>
      <c r="F1115" s="10" t="s">
        <v>11</v>
      </c>
      <c r="G1115" s="10" t="s">
        <v>12</v>
      </c>
      <c r="H1115" s="10" t="s">
        <v>32</v>
      </c>
      <c r="I1115" s="45">
        <v>4259</v>
      </c>
      <c r="J1115" s="11">
        <v>0</v>
      </c>
      <c r="K1115" s="45">
        <f t="shared" si="120"/>
        <v>4259</v>
      </c>
      <c r="L1115" s="10">
        <v>45</v>
      </c>
      <c r="M1115" s="10">
        <v>3.8</v>
      </c>
      <c r="N1115" s="10" t="b">
        <v>0</v>
      </c>
      <c r="O1115" s="41"/>
      <c r="P1115" s="45">
        <f t="shared" si="121"/>
        <v>1788.78</v>
      </c>
      <c r="Q1115" s="45">
        <f t="shared" si="122"/>
        <v>2470.2200000000003</v>
      </c>
      <c r="R1115" s="45">
        <v>0</v>
      </c>
      <c r="S1115" s="45">
        <f t="shared" si="123"/>
        <v>0</v>
      </c>
      <c r="T1115" s="45">
        <f t="shared" si="124"/>
        <v>0</v>
      </c>
      <c r="U1115" s="47">
        <f t="shared" si="125"/>
        <v>2470.2200000000003</v>
      </c>
    </row>
    <row r="1116" spans="1:21" x14ac:dyDescent="0.3">
      <c r="A1116" s="41" t="str">
        <f t="shared" si="119"/>
        <v>PZARBO</v>
      </c>
      <c r="B1116" s="43">
        <v>45688</v>
      </c>
      <c r="C1116" s="10" t="s">
        <v>1158</v>
      </c>
      <c r="D1116" s="10" t="s">
        <v>3</v>
      </c>
      <c r="E1116" s="10" t="s">
        <v>26</v>
      </c>
      <c r="F1116" s="10" t="s">
        <v>11</v>
      </c>
      <c r="G1116" s="10" t="s">
        <v>27</v>
      </c>
      <c r="H1116" s="10" t="s">
        <v>6</v>
      </c>
      <c r="I1116" s="45">
        <v>2550</v>
      </c>
      <c r="J1116" s="11">
        <v>0.16500000000000001</v>
      </c>
      <c r="K1116" s="45">
        <f t="shared" si="120"/>
        <v>2129.25</v>
      </c>
      <c r="L1116" s="10">
        <v>48</v>
      </c>
      <c r="M1116" s="10">
        <v>1.8</v>
      </c>
      <c r="N1116" s="10" t="b">
        <v>0</v>
      </c>
      <c r="O1116" s="41"/>
      <c r="P1116" s="45">
        <f t="shared" si="121"/>
        <v>894.28499999999997</v>
      </c>
      <c r="Q1116" s="45">
        <f t="shared" si="122"/>
        <v>1234.9650000000001</v>
      </c>
      <c r="R1116" s="45">
        <v>0</v>
      </c>
      <c r="S1116" s="45">
        <f t="shared" si="123"/>
        <v>0</v>
      </c>
      <c r="T1116" s="45">
        <f t="shared" si="124"/>
        <v>0</v>
      </c>
      <c r="U1116" s="47">
        <f t="shared" si="125"/>
        <v>1234.9650000000001</v>
      </c>
    </row>
    <row r="1117" spans="1:21" x14ac:dyDescent="0.3">
      <c r="A1117" s="41" t="str">
        <f t="shared" si="119"/>
        <v>PBANTO</v>
      </c>
      <c r="B1117" s="43">
        <v>45688</v>
      </c>
      <c r="C1117" s="10" t="s">
        <v>1159</v>
      </c>
      <c r="D1117" s="10" t="s">
        <v>21</v>
      </c>
      <c r="E1117" s="10" t="s">
        <v>9</v>
      </c>
      <c r="F1117" s="10" t="s">
        <v>11</v>
      </c>
      <c r="G1117" s="10" t="s">
        <v>38</v>
      </c>
      <c r="H1117" s="10" t="s">
        <v>58</v>
      </c>
      <c r="I1117" s="45">
        <v>1699</v>
      </c>
      <c r="J1117" s="11">
        <v>0.26800000000000002</v>
      </c>
      <c r="K1117" s="45">
        <f t="shared" si="120"/>
        <v>1243.6679999999999</v>
      </c>
      <c r="L1117" s="10">
        <v>26</v>
      </c>
      <c r="M1117" s="10">
        <v>4.5999999999999996</v>
      </c>
      <c r="N1117" s="10" t="b">
        <v>0</v>
      </c>
      <c r="O1117" s="41"/>
      <c r="P1117" s="45">
        <f t="shared" si="121"/>
        <v>522.34055999999998</v>
      </c>
      <c r="Q1117" s="45">
        <f t="shared" si="122"/>
        <v>721.32743999999991</v>
      </c>
      <c r="R1117" s="45">
        <v>0</v>
      </c>
      <c r="S1117" s="45">
        <f t="shared" si="123"/>
        <v>0</v>
      </c>
      <c r="T1117" s="45">
        <f t="shared" si="124"/>
        <v>0</v>
      </c>
      <c r="U1117" s="47">
        <f t="shared" si="125"/>
        <v>721.32743999999991</v>
      </c>
    </row>
    <row r="1118" spans="1:21" x14ac:dyDescent="0.3">
      <c r="A1118" s="41" t="str">
        <f t="shared" si="119"/>
        <v>PANNDR</v>
      </c>
      <c r="B1118" s="43">
        <v>45688</v>
      </c>
      <c r="C1118" s="10" t="s">
        <v>1160</v>
      </c>
      <c r="D1118" s="10" t="s">
        <v>42</v>
      </c>
      <c r="E1118" s="10" t="s">
        <v>30</v>
      </c>
      <c r="F1118" s="10" t="s">
        <v>23</v>
      </c>
      <c r="G1118" s="10" t="s">
        <v>5</v>
      </c>
      <c r="H1118" s="10" t="s">
        <v>13</v>
      </c>
      <c r="I1118" s="45">
        <v>1809</v>
      </c>
      <c r="J1118" s="11">
        <v>0</v>
      </c>
      <c r="K1118" s="45">
        <f t="shared" si="120"/>
        <v>1809</v>
      </c>
      <c r="L1118" s="10">
        <v>37</v>
      </c>
      <c r="M1118" s="10">
        <v>2.2999999999999998</v>
      </c>
      <c r="N1118" s="10" t="b">
        <v>0</v>
      </c>
      <c r="O1118" s="41"/>
      <c r="P1118" s="45">
        <f t="shared" si="121"/>
        <v>759.78</v>
      </c>
      <c r="Q1118" s="45">
        <f t="shared" si="122"/>
        <v>1049.22</v>
      </c>
      <c r="R1118" s="45">
        <v>0</v>
      </c>
      <c r="S1118" s="45">
        <f t="shared" si="123"/>
        <v>0</v>
      </c>
      <c r="T1118" s="45">
        <f t="shared" si="124"/>
        <v>0</v>
      </c>
      <c r="U1118" s="47">
        <f t="shared" si="125"/>
        <v>1049.22</v>
      </c>
    </row>
    <row r="1119" spans="1:21" x14ac:dyDescent="0.3">
      <c r="A1119" s="41" t="str">
        <f t="shared" si="119"/>
        <v>PMANSH</v>
      </c>
      <c r="B1119" s="43">
        <v>45689</v>
      </c>
      <c r="C1119" s="10" t="s">
        <v>1161</v>
      </c>
      <c r="D1119" s="10" t="s">
        <v>31</v>
      </c>
      <c r="E1119" s="10" t="s">
        <v>18</v>
      </c>
      <c r="F1119" s="10" t="s">
        <v>23</v>
      </c>
      <c r="G1119" s="10" t="s">
        <v>46</v>
      </c>
      <c r="H1119" s="10" t="s">
        <v>13</v>
      </c>
      <c r="I1119" s="45">
        <v>3195</v>
      </c>
      <c r="J1119" s="11">
        <v>0</v>
      </c>
      <c r="K1119" s="45">
        <f t="shared" si="120"/>
        <v>3195</v>
      </c>
      <c r="L1119" s="10">
        <v>10</v>
      </c>
      <c r="M1119" s="10">
        <v>4.0999999999999996</v>
      </c>
      <c r="N1119" s="10" t="b">
        <v>1</v>
      </c>
      <c r="O1119" s="41" t="s">
        <v>33</v>
      </c>
      <c r="P1119" s="45">
        <f t="shared" si="121"/>
        <v>1341.8999999999999</v>
      </c>
      <c r="Q1119" s="45">
        <f t="shared" si="122"/>
        <v>1853.1000000000001</v>
      </c>
      <c r="R1119" s="45">
        <v>150</v>
      </c>
      <c r="S1119" s="45">
        <f t="shared" si="123"/>
        <v>319.5</v>
      </c>
      <c r="T1119" s="45">
        <f t="shared" si="124"/>
        <v>3195</v>
      </c>
      <c r="U1119" s="47">
        <f t="shared" si="125"/>
        <v>-1811.3999999999999</v>
      </c>
    </row>
    <row r="1120" spans="1:21" x14ac:dyDescent="0.3">
      <c r="A1120" s="41" t="str">
        <f t="shared" si="119"/>
        <v>PUNIDR</v>
      </c>
      <c r="B1120" s="43">
        <v>45689</v>
      </c>
      <c r="C1120" s="10" t="s">
        <v>1162</v>
      </c>
      <c r="D1120" s="10" t="s">
        <v>10</v>
      </c>
      <c r="E1120" s="10" t="s">
        <v>30</v>
      </c>
      <c r="F1120" s="10" t="s">
        <v>11</v>
      </c>
      <c r="G1120" s="10" t="s">
        <v>5</v>
      </c>
      <c r="H1120" s="10" t="s">
        <v>32</v>
      </c>
      <c r="I1120" s="45">
        <v>2449</v>
      </c>
      <c r="J1120" s="11">
        <v>0.20199999999999999</v>
      </c>
      <c r="K1120" s="45">
        <f t="shared" si="120"/>
        <v>1954.3020000000001</v>
      </c>
      <c r="L1120" s="10">
        <v>5</v>
      </c>
      <c r="M1120" s="10">
        <v>2</v>
      </c>
      <c r="N1120" s="10" t="b">
        <v>1</v>
      </c>
      <c r="O1120" s="41" t="s">
        <v>309</v>
      </c>
      <c r="P1120" s="45">
        <f t="shared" si="121"/>
        <v>820.80684000000008</v>
      </c>
      <c r="Q1120" s="45">
        <f t="shared" si="122"/>
        <v>1133.4951599999999</v>
      </c>
      <c r="R1120" s="45">
        <v>150</v>
      </c>
      <c r="S1120" s="45">
        <f t="shared" si="123"/>
        <v>195.43020000000001</v>
      </c>
      <c r="T1120" s="45">
        <f t="shared" si="124"/>
        <v>1954.3020000000001</v>
      </c>
      <c r="U1120" s="47">
        <f t="shared" si="125"/>
        <v>-1166.2370400000002</v>
      </c>
    </row>
    <row r="1121" spans="1:21" x14ac:dyDescent="0.3">
      <c r="A1121" s="41" t="str">
        <f t="shared" si="119"/>
        <v>PZARSH</v>
      </c>
      <c r="B1121" s="43">
        <v>45689</v>
      </c>
      <c r="C1121" s="10" t="s">
        <v>1163</v>
      </c>
      <c r="D1121" s="10" t="s">
        <v>3</v>
      </c>
      <c r="E1121" s="10" t="s">
        <v>18</v>
      </c>
      <c r="F1121" s="10" t="s">
        <v>11</v>
      </c>
      <c r="G1121" s="10" t="s">
        <v>5</v>
      </c>
      <c r="H1121" s="10" t="s">
        <v>32</v>
      </c>
      <c r="I1121" s="45">
        <v>4393</v>
      </c>
      <c r="J1121" s="11">
        <v>0</v>
      </c>
      <c r="K1121" s="45">
        <f t="shared" si="120"/>
        <v>4393</v>
      </c>
      <c r="L1121" s="10">
        <v>38</v>
      </c>
      <c r="M1121" s="10">
        <v>2.6</v>
      </c>
      <c r="N1121" s="10" t="b">
        <v>0</v>
      </c>
      <c r="O1121" s="41"/>
      <c r="P1121" s="45">
        <f t="shared" si="121"/>
        <v>1845.06</v>
      </c>
      <c r="Q1121" s="45">
        <f t="shared" si="122"/>
        <v>2547.94</v>
      </c>
      <c r="R1121" s="45">
        <v>0</v>
      </c>
      <c r="S1121" s="45">
        <f t="shared" si="123"/>
        <v>0</v>
      </c>
      <c r="T1121" s="45">
        <f t="shared" si="124"/>
        <v>0</v>
      </c>
      <c r="U1121" s="47">
        <f t="shared" si="125"/>
        <v>2547.94</v>
      </c>
    </row>
    <row r="1122" spans="1:21" x14ac:dyDescent="0.3">
      <c r="A1122" s="41" t="str">
        <f t="shared" si="119"/>
        <v>PMANDR</v>
      </c>
      <c r="B1122" s="43">
        <v>45689</v>
      </c>
      <c r="C1122" s="10" t="s">
        <v>1164</v>
      </c>
      <c r="D1122" s="10" t="s">
        <v>31</v>
      </c>
      <c r="E1122" s="10" t="s">
        <v>30</v>
      </c>
      <c r="F1122" s="10" t="s">
        <v>11</v>
      </c>
      <c r="G1122" s="10" t="s">
        <v>5</v>
      </c>
      <c r="H1122" s="10" t="s">
        <v>56</v>
      </c>
      <c r="I1122" s="45">
        <v>2322</v>
      </c>
      <c r="J1122" s="11">
        <v>6.8000000000000005E-2</v>
      </c>
      <c r="K1122" s="45">
        <f t="shared" si="120"/>
        <v>2164.1039999999998</v>
      </c>
      <c r="L1122" s="10">
        <v>18</v>
      </c>
      <c r="M1122" s="10">
        <v>2</v>
      </c>
      <c r="N1122" s="10" t="b">
        <v>0</v>
      </c>
      <c r="O1122" s="41"/>
      <c r="P1122" s="45">
        <f t="shared" si="121"/>
        <v>908.92367999999988</v>
      </c>
      <c r="Q1122" s="45">
        <f t="shared" si="122"/>
        <v>1255.1803199999999</v>
      </c>
      <c r="R1122" s="45">
        <v>0</v>
      </c>
      <c r="S1122" s="45">
        <f t="shared" si="123"/>
        <v>0</v>
      </c>
      <c r="T1122" s="45">
        <f t="shared" si="124"/>
        <v>0</v>
      </c>
      <c r="U1122" s="47">
        <f t="shared" si="125"/>
        <v>1255.1803199999999</v>
      </c>
    </row>
    <row r="1123" spans="1:21" x14ac:dyDescent="0.3">
      <c r="A1123" s="41" t="str">
        <f t="shared" si="119"/>
        <v>PMANTO</v>
      </c>
      <c r="B1123" s="43">
        <v>45690</v>
      </c>
      <c r="C1123" s="10" t="s">
        <v>1165</v>
      </c>
      <c r="D1123" s="10" t="s">
        <v>31</v>
      </c>
      <c r="E1123" s="10" t="s">
        <v>9</v>
      </c>
      <c r="F1123" s="10" t="s">
        <v>23</v>
      </c>
      <c r="G1123" s="10" t="s">
        <v>27</v>
      </c>
      <c r="H1123" s="10" t="s">
        <v>13</v>
      </c>
      <c r="I1123" s="45">
        <v>1761</v>
      </c>
      <c r="J1123" s="11">
        <v>0.32100000000000001</v>
      </c>
      <c r="K1123" s="45">
        <f t="shared" si="120"/>
        <v>1195.7190000000001</v>
      </c>
      <c r="L1123" s="10">
        <v>49</v>
      </c>
      <c r="M1123" s="10">
        <v>2.2999999999999998</v>
      </c>
      <c r="N1123" s="10" t="b">
        <v>0</v>
      </c>
      <c r="O1123" s="41"/>
      <c r="P1123" s="45">
        <f t="shared" si="121"/>
        <v>502.20197999999999</v>
      </c>
      <c r="Q1123" s="45">
        <f t="shared" si="122"/>
        <v>693.51702</v>
      </c>
      <c r="R1123" s="45">
        <v>0</v>
      </c>
      <c r="S1123" s="45">
        <f t="shared" si="123"/>
        <v>0</v>
      </c>
      <c r="T1123" s="45">
        <f t="shared" si="124"/>
        <v>0</v>
      </c>
      <c r="U1123" s="47">
        <f t="shared" si="125"/>
        <v>693.51702</v>
      </c>
    </row>
    <row r="1124" spans="1:21" x14ac:dyDescent="0.3">
      <c r="A1124" s="41" t="str">
        <f t="shared" si="119"/>
        <v>PGAPOU</v>
      </c>
      <c r="B1124" s="43">
        <v>45690</v>
      </c>
      <c r="C1124" s="10" t="s">
        <v>1166</v>
      </c>
      <c r="D1124" s="10" t="s">
        <v>53</v>
      </c>
      <c r="E1124" s="10" t="s">
        <v>2</v>
      </c>
      <c r="F1124" s="10" t="s">
        <v>23</v>
      </c>
      <c r="G1124" s="10" t="s">
        <v>46</v>
      </c>
      <c r="H1124" s="10" t="s">
        <v>16</v>
      </c>
      <c r="I1124" s="45">
        <v>3784</v>
      </c>
      <c r="J1124" s="11">
        <v>0</v>
      </c>
      <c r="K1124" s="45">
        <f t="shared" si="120"/>
        <v>3784</v>
      </c>
      <c r="L1124" s="10">
        <v>4</v>
      </c>
      <c r="M1124" s="10"/>
      <c r="N1124" s="10" t="b">
        <v>0</v>
      </c>
      <c r="O1124" s="41"/>
      <c r="P1124" s="45">
        <f t="shared" si="121"/>
        <v>1589.28</v>
      </c>
      <c r="Q1124" s="45">
        <f t="shared" si="122"/>
        <v>2194.7200000000003</v>
      </c>
      <c r="R1124" s="45">
        <v>0</v>
      </c>
      <c r="S1124" s="45">
        <f t="shared" si="123"/>
        <v>0</v>
      </c>
      <c r="T1124" s="45">
        <f t="shared" si="124"/>
        <v>0</v>
      </c>
      <c r="U1124" s="47">
        <f t="shared" si="125"/>
        <v>2194.7200000000003</v>
      </c>
    </row>
    <row r="1125" spans="1:21" x14ac:dyDescent="0.3">
      <c r="A1125" s="41" t="str">
        <f t="shared" si="119"/>
        <v>PFORBO</v>
      </c>
      <c r="B1125" s="43">
        <v>45690</v>
      </c>
      <c r="C1125" s="10" t="s">
        <v>1167</v>
      </c>
      <c r="D1125" s="10" t="s">
        <v>65</v>
      </c>
      <c r="E1125" s="10" t="s">
        <v>26</v>
      </c>
      <c r="F1125" s="10" t="s">
        <v>23</v>
      </c>
      <c r="G1125" s="10" t="s">
        <v>49</v>
      </c>
      <c r="H1125" s="10" t="s">
        <v>6</v>
      </c>
      <c r="I1125" s="45">
        <v>2461</v>
      </c>
      <c r="J1125" s="11">
        <v>0</v>
      </c>
      <c r="K1125" s="45">
        <f t="shared" si="120"/>
        <v>2461</v>
      </c>
      <c r="L1125" s="10">
        <v>14</v>
      </c>
      <c r="M1125" s="10">
        <v>2.1</v>
      </c>
      <c r="N1125" s="10" t="b">
        <v>0</v>
      </c>
      <c r="O1125" s="41"/>
      <c r="P1125" s="45">
        <f t="shared" si="121"/>
        <v>1033.6199999999999</v>
      </c>
      <c r="Q1125" s="45">
        <f t="shared" si="122"/>
        <v>1427.38</v>
      </c>
      <c r="R1125" s="45">
        <v>0</v>
      </c>
      <c r="S1125" s="45">
        <f t="shared" si="123"/>
        <v>0</v>
      </c>
      <c r="T1125" s="45">
        <f t="shared" si="124"/>
        <v>0</v>
      </c>
      <c r="U1125" s="47">
        <f t="shared" si="125"/>
        <v>1427.38</v>
      </c>
    </row>
    <row r="1126" spans="1:21" x14ac:dyDescent="0.3">
      <c r="A1126" s="41" t="str">
        <f t="shared" si="119"/>
        <v>PBANSH</v>
      </c>
      <c r="B1126" s="43">
        <v>45690</v>
      </c>
      <c r="C1126" s="10" t="s">
        <v>1168</v>
      </c>
      <c r="D1126" s="10" t="s">
        <v>21</v>
      </c>
      <c r="E1126" s="10" t="s">
        <v>18</v>
      </c>
      <c r="F1126" s="10" t="s">
        <v>54</v>
      </c>
      <c r="G1126" s="10" t="s">
        <v>12</v>
      </c>
      <c r="H1126" s="10" t="s">
        <v>32</v>
      </c>
      <c r="I1126" s="45">
        <v>3387</v>
      </c>
      <c r="J1126" s="11">
        <v>0</v>
      </c>
      <c r="K1126" s="45">
        <f t="shared" si="120"/>
        <v>3387</v>
      </c>
      <c r="L1126" s="10">
        <v>12</v>
      </c>
      <c r="M1126" s="10">
        <v>1</v>
      </c>
      <c r="N1126" s="10" t="b">
        <v>1</v>
      </c>
      <c r="O1126" s="41" t="s">
        <v>44</v>
      </c>
      <c r="P1126" s="45">
        <f t="shared" si="121"/>
        <v>1422.54</v>
      </c>
      <c r="Q1126" s="45">
        <f t="shared" si="122"/>
        <v>1964.46</v>
      </c>
      <c r="R1126" s="45">
        <v>150</v>
      </c>
      <c r="S1126" s="45">
        <f t="shared" si="123"/>
        <v>338.70000000000005</v>
      </c>
      <c r="T1126" s="45">
        <f t="shared" si="124"/>
        <v>3387</v>
      </c>
      <c r="U1126" s="47">
        <f t="shared" si="125"/>
        <v>-1911.24</v>
      </c>
    </row>
    <row r="1127" spans="1:21" x14ac:dyDescent="0.3">
      <c r="A1127" s="41" t="str">
        <f t="shared" si="119"/>
        <v>PUNISH</v>
      </c>
      <c r="B1127" s="43">
        <v>45691</v>
      </c>
      <c r="C1127" s="10" t="s">
        <v>1169</v>
      </c>
      <c r="D1127" s="10" t="s">
        <v>10</v>
      </c>
      <c r="E1127" s="10" t="s">
        <v>18</v>
      </c>
      <c r="F1127" s="10" t="s">
        <v>4</v>
      </c>
      <c r="G1127" s="10" t="s">
        <v>5</v>
      </c>
      <c r="H1127" s="10" t="s">
        <v>32</v>
      </c>
      <c r="I1127" s="45">
        <v>4327</v>
      </c>
      <c r="J1127" s="11">
        <v>0</v>
      </c>
      <c r="K1127" s="45">
        <f t="shared" si="120"/>
        <v>4327</v>
      </c>
      <c r="L1127" s="10">
        <v>24</v>
      </c>
      <c r="M1127" s="10">
        <v>3.2</v>
      </c>
      <c r="N1127" s="10" t="b">
        <v>0</v>
      </c>
      <c r="O1127" s="41"/>
      <c r="P1127" s="45">
        <f t="shared" si="121"/>
        <v>1817.34</v>
      </c>
      <c r="Q1127" s="45">
        <f t="shared" si="122"/>
        <v>2509.66</v>
      </c>
      <c r="R1127" s="45">
        <v>0</v>
      </c>
      <c r="S1127" s="45">
        <f t="shared" si="123"/>
        <v>0</v>
      </c>
      <c r="T1127" s="45">
        <f t="shared" si="124"/>
        <v>0</v>
      </c>
      <c r="U1127" s="47">
        <f t="shared" si="125"/>
        <v>2509.66</v>
      </c>
    </row>
    <row r="1128" spans="1:21" x14ac:dyDescent="0.3">
      <c r="A1128" s="41" t="str">
        <f t="shared" si="119"/>
        <v>PGAPDR</v>
      </c>
      <c r="B1128" s="43">
        <v>45691</v>
      </c>
      <c r="C1128" s="10" t="s">
        <v>1170</v>
      </c>
      <c r="D1128" s="10" t="s">
        <v>53</v>
      </c>
      <c r="E1128" s="10" t="s">
        <v>30</v>
      </c>
      <c r="F1128" s="10" t="s">
        <v>54</v>
      </c>
      <c r="G1128" s="10" t="s">
        <v>12</v>
      </c>
      <c r="H1128" s="10" t="s">
        <v>28</v>
      </c>
      <c r="I1128" s="45">
        <v>2202</v>
      </c>
      <c r="J1128" s="11">
        <v>0.40899999999999997</v>
      </c>
      <c r="K1128" s="45">
        <f t="shared" si="120"/>
        <v>1301.3819999999998</v>
      </c>
      <c r="L1128" s="10">
        <v>32</v>
      </c>
      <c r="M1128" s="10">
        <v>1</v>
      </c>
      <c r="N1128" s="10" t="b">
        <v>0</v>
      </c>
      <c r="O1128" s="41"/>
      <c r="P1128" s="45">
        <f t="shared" si="121"/>
        <v>546.58043999999995</v>
      </c>
      <c r="Q1128" s="45">
        <f t="shared" si="122"/>
        <v>754.80155999999988</v>
      </c>
      <c r="R1128" s="45">
        <v>0</v>
      </c>
      <c r="S1128" s="45">
        <f t="shared" si="123"/>
        <v>0</v>
      </c>
      <c r="T1128" s="45">
        <f t="shared" si="124"/>
        <v>0</v>
      </c>
      <c r="U1128" s="47">
        <f t="shared" si="125"/>
        <v>754.80155999999988</v>
      </c>
    </row>
    <row r="1129" spans="1:21" x14ac:dyDescent="0.3">
      <c r="A1129" s="41" t="str">
        <f t="shared" si="119"/>
        <v>PGAPSH</v>
      </c>
      <c r="B1129" s="43">
        <v>45691</v>
      </c>
      <c r="C1129" s="10" t="s">
        <v>1171</v>
      </c>
      <c r="D1129" s="10" t="s">
        <v>53</v>
      </c>
      <c r="E1129" s="10" t="s">
        <v>18</v>
      </c>
      <c r="F1129" s="10" t="s">
        <v>4</v>
      </c>
      <c r="G1129" s="10" t="s">
        <v>46</v>
      </c>
      <c r="H1129" s="10" t="s">
        <v>28</v>
      </c>
      <c r="I1129" s="45">
        <v>3459</v>
      </c>
      <c r="J1129" s="11">
        <v>5.0999999999999997E-2</v>
      </c>
      <c r="K1129" s="45">
        <f t="shared" si="120"/>
        <v>3282.5909999999999</v>
      </c>
      <c r="L1129" s="10">
        <v>16</v>
      </c>
      <c r="M1129" s="10">
        <v>4.3</v>
      </c>
      <c r="N1129" s="10" t="b">
        <v>0</v>
      </c>
      <c r="O1129" s="41"/>
      <c r="P1129" s="45">
        <f t="shared" si="121"/>
        <v>1378.68822</v>
      </c>
      <c r="Q1129" s="45">
        <f t="shared" si="122"/>
        <v>1903.9027799999999</v>
      </c>
      <c r="R1129" s="45">
        <v>0</v>
      </c>
      <c r="S1129" s="45">
        <f t="shared" si="123"/>
        <v>0</v>
      </c>
      <c r="T1129" s="45">
        <f t="shared" si="124"/>
        <v>0</v>
      </c>
      <c r="U1129" s="47">
        <f t="shared" si="125"/>
        <v>1903.9027799999999</v>
      </c>
    </row>
    <row r="1130" spans="1:21" x14ac:dyDescent="0.3">
      <c r="A1130" s="41" t="str">
        <f t="shared" si="119"/>
        <v>PFORBO</v>
      </c>
      <c r="B1130" s="43">
        <v>45691</v>
      </c>
      <c r="C1130" s="10" t="s">
        <v>1172</v>
      </c>
      <c r="D1130" s="10" t="s">
        <v>65</v>
      </c>
      <c r="E1130" s="10" t="s">
        <v>26</v>
      </c>
      <c r="F1130" s="10" t="s">
        <v>4</v>
      </c>
      <c r="G1130" s="10" t="s">
        <v>38</v>
      </c>
      <c r="H1130" s="10" t="s">
        <v>6</v>
      </c>
      <c r="I1130" s="45">
        <v>2716</v>
      </c>
      <c r="J1130" s="11">
        <v>0.48700000000000004</v>
      </c>
      <c r="K1130" s="45">
        <f t="shared" si="120"/>
        <v>1393.3079999999998</v>
      </c>
      <c r="L1130" s="10">
        <v>0</v>
      </c>
      <c r="M1130" s="10"/>
      <c r="N1130" s="10" t="b">
        <v>1</v>
      </c>
      <c r="O1130" s="41" t="s">
        <v>33</v>
      </c>
      <c r="P1130" s="45">
        <f t="shared" si="121"/>
        <v>585.18935999999985</v>
      </c>
      <c r="Q1130" s="45">
        <f t="shared" si="122"/>
        <v>808.11863999999991</v>
      </c>
      <c r="R1130" s="45">
        <v>150</v>
      </c>
      <c r="S1130" s="45">
        <f t="shared" si="123"/>
        <v>139.33079999999998</v>
      </c>
      <c r="T1130" s="45">
        <f t="shared" si="124"/>
        <v>1393.3079999999998</v>
      </c>
      <c r="U1130" s="47">
        <f t="shared" si="125"/>
        <v>-874.52015999999981</v>
      </c>
    </row>
    <row r="1131" spans="1:21" x14ac:dyDescent="0.3">
      <c r="A1131" s="41" t="str">
        <f t="shared" si="119"/>
        <v>PZAROU</v>
      </c>
      <c r="B1131" s="43">
        <v>45692</v>
      </c>
      <c r="C1131" s="10" t="s">
        <v>1173</v>
      </c>
      <c r="D1131" s="10" t="s">
        <v>3</v>
      </c>
      <c r="E1131" s="10" t="s">
        <v>2</v>
      </c>
      <c r="F1131" s="10" t="s">
        <v>4</v>
      </c>
      <c r="G1131" s="10" t="s">
        <v>49</v>
      </c>
      <c r="H1131" s="10" t="s">
        <v>32</v>
      </c>
      <c r="I1131" s="45">
        <v>4068</v>
      </c>
      <c r="J1131" s="11">
        <v>0.59799999999999998</v>
      </c>
      <c r="K1131" s="45">
        <f t="shared" si="120"/>
        <v>1635.336</v>
      </c>
      <c r="L1131" s="10">
        <v>10</v>
      </c>
      <c r="M1131" s="10">
        <v>4.2</v>
      </c>
      <c r="N1131" s="10" t="b">
        <v>0</v>
      </c>
      <c r="O1131" s="41"/>
      <c r="P1131" s="45">
        <f t="shared" si="121"/>
        <v>686.84111999999993</v>
      </c>
      <c r="Q1131" s="45">
        <f t="shared" si="122"/>
        <v>948.49488000000008</v>
      </c>
      <c r="R1131" s="45">
        <v>0</v>
      </c>
      <c r="S1131" s="45">
        <f t="shared" si="123"/>
        <v>0</v>
      </c>
      <c r="T1131" s="45">
        <f t="shared" si="124"/>
        <v>0</v>
      </c>
      <c r="U1131" s="47">
        <f t="shared" si="125"/>
        <v>948.49488000000008</v>
      </c>
    </row>
    <row r="1132" spans="1:21" x14ac:dyDescent="0.3">
      <c r="A1132" s="41" t="str">
        <f t="shared" si="119"/>
        <v>PANNAC</v>
      </c>
      <c r="B1132" s="43">
        <v>45692</v>
      </c>
      <c r="C1132" s="10" t="s">
        <v>1174</v>
      </c>
      <c r="D1132" s="10" t="s">
        <v>42</v>
      </c>
      <c r="E1132" s="10" t="s">
        <v>15</v>
      </c>
      <c r="F1132" s="10" t="s">
        <v>23</v>
      </c>
      <c r="G1132" s="10" t="s">
        <v>7</v>
      </c>
      <c r="H1132" s="10" t="s">
        <v>56</v>
      </c>
      <c r="I1132" s="45">
        <v>399</v>
      </c>
      <c r="J1132" s="11">
        <v>0.11900000000000001</v>
      </c>
      <c r="K1132" s="45">
        <f t="shared" si="120"/>
        <v>351.51900000000001</v>
      </c>
      <c r="L1132" s="10">
        <v>37</v>
      </c>
      <c r="M1132" s="10">
        <v>3</v>
      </c>
      <c r="N1132" s="10" t="b">
        <v>0</v>
      </c>
      <c r="O1132" s="41"/>
      <c r="P1132" s="45">
        <f t="shared" si="121"/>
        <v>147.63798</v>
      </c>
      <c r="Q1132" s="45">
        <f t="shared" si="122"/>
        <v>203.88102000000001</v>
      </c>
      <c r="R1132" s="45">
        <v>0</v>
      </c>
      <c r="S1132" s="45">
        <f t="shared" si="123"/>
        <v>0</v>
      </c>
      <c r="T1132" s="45">
        <f t="shared" si="124"/>
        <v>0</v>
      </c>
      <c r="U1132" s="47">
        <f t="shared" si="125"/>
        <v>203.88102000000001</v>
      </c>
    </row>
    <row r="1133" spans="1:21" x14ac:dyDescent="0.3">
      <c r="A1133" s="41" t="str">
        <f t="shared" si="119"/>
        <v>PBANDR</v>
      </c>
      <c r="B1133" s="43">
        <v>45692</v>
      </c>
      <c r="C1133" s="10" t="s">
        <v>1175</v>
      </c>
      <c r="D1133" s="10" t="s">
        <v>21</v>
      </c>
      <c r="E1133" s="10" t="s">
        <v>30</v>
      </c>
      <c r="F1133" s="10" t="s">
        <v>23</v>
      </c>
      <c r="G1133" s="10" t="s">
        <v>27</v>
      </c>
      <c r="H1133" s="10" t="s">
        <v>7</v>
      </c>
      <c r="I1133" s="45">
        <v>2745</v>
      </c>
      <c r="J1133" s="11">
        <v>0.503</v>
      </c>
      <c r="K1133" s="45">
        <f t="shared" si="120"/>
        <v>1364.2650000000001</v>
      </c>
      <c r="L1133" s="10">
        <v>50</v>
      </c>
      <c r="M1133" s="10">
        <v>4.7</v>
      </c>
      <c r="N1133" s="10" t="b">
        <v>1</v>
      </c>
      <c r="O1133" s="41" t="s">
        <v>80</v>
      </c>
      <c r="P1133" s="45">
        <f t="shared" si="121"/>
        <v>572.99130000000002</v>
      </c>
      <c r="Q1133" s="45">
        <f t="shared" si="122"/>
        <v>791.27370000000008</v>
      </c>
      <c r="R1133" s="45">
        <v>150</v>
      </c>
      <c r="S1133" s="45">
        <f t="shared" si="123"/>
        <v>136.4265</v>
      </c>
      <c r="T1133" s="45">
        <f t="shared" si="124"/>
        <v>1364.2650000000001</v>
      </c>
      <c r="U1133" s="47">
        <f t="shared" si="125"/>
        <v>-859.41780000000006</v>
      </c>
    </row>
    <row r="1134" spans="1:21" x14ac:dyDescent="0.3">
      <c r="A1134" s="41" t="str">
        <f t="shared" si="119"/>
        <v>PUNIOU</v>
      </c>
      <c r="B1134" s="43">
        <v>45692</v>
      </c>
      <c r="C1134" s="10" t="s">
        <v>1176</v>
      </c>
      <c r="D1134" s="10" t="s">
        <v>10</v>
      </c>
      <c r="E1134" s="10" t="s">
        <v>2</v>
      </c>
      <c r="F1134" s="10" t="s">
        <v>54</v>
      </c>
      <c r="G1134" s="10" t="s">
        <v>12</v>
      </c>
      <c r="H1134" s="10" t="s">
        <v>35</v>
      </c>
      <c r="I1134" s="45">
        <v>3411</v>
      </c>
      <c r="J1134" s="11">
        <v>0</v>
      </c>
      <c r="K1134" s="45">
        <f t="shared" si="120"/>
        <v>3411</v>
      </c>
      <c r="L1134" s="10">
        <v>36</v>
      </c>
      <c r="M1134" s="10">
        <v>1.6</v>
      </c>
      <c r="N1134" s="10" t="b">
        <v>1</v>
      </c>
      <c r="O1134" s="41" t="s">
        <v>50</v>
      </c>
      <c r="P1134" s="45">
        <f t="shared" si="121"/>
        <v>1432.62</v>
      </c>
      <c r="Q1134" s="45">
        <f t="shared" si="122"/>
        <v>1978.38</v>
      </c>
      <c r="R1134" s="45">
        <v>150</v>
      </c>
      <c r="S1134" s="45">
        <f t="shared" si="123"/>
        <v>341.1</v>
      </c>
      <c r="T1134" s="45">
        <f t="shared" si="124"/>
        <v>3411</v>
      </c>
      <c r="U1134" s="47">
        <f t="shared" si="125"/>
        <v>-1923.7199999999998</v>
      </c>
    </row>
    <row r="1135" spans="1:21" x14ac:dyDescent="0.3">
      <c r="A1135" s="41" t="str">
        <f t="shared" si="119"/>
        <v>PH&amp;MSH</v>
      </c>
      <c r="B1135" s="43">
        <v>45692</v>
      </c>
      <c r="C1135" s="10" t="s">
        <v>1177</v>
      </c>
      <c r="D1135" s="10" t="s">
        <v>37</v>
      </c>
      <c r="E1135" s="10" t="s">
        <v>18</v>
      </c>
      <c r="F1135" s="10" t="s">
        <v>23</v>
      </c>
      <c r="G1135" s="10" t="s">
        <v>5</v>
      </c>
      <c r="H1135" s="10" t="s">
        <v>43</v>
      </c>
      <c r="I1135" s="45">
        <v>3125</v>
      </c>
      <c r="J1135" s="11">
        <v>0.22399999999999998</v>
      </c>
      <c r="K1135" s="45">
        <f t="shared" si="120"/>
        <v>2425</v>
      </c>
      <c r="L1135" s="10">
        <v>0</v>
      </c>
      <c r="M1135" s="10"/>
      <c r="N1135" s="10" t="b">
        <v>0</v>
      </c>
      <c r="O1135" s="41"/>
      <c r="P1135" s="45">
        <f t="shared" si="121"/>
        <v>1018.5</v>
      </c>
      <c r="Q1135" s="45">
        <f t="shared" si="122"/>
        <v>1406.5</v>
      </c>
      <c r="R1135" s="45">
        <v>0</v>
      </c>
      <c r="S1135" s="45">
        <f t="shared" si="123"/>
        <v>0</v>
      </c>
      <c r="T1135" s="45">
        <f t="shared" si="124"/>
        <v>0</v>
      </c>
      <c r="U1135" s="47">
        <f t="shared" si="125"/>
        <v>1406.5</v>
      </c>
    </row>
    <row r="1136" spans="1:21" x14ac:dyDescent="0.3">
      <c r="A1136" s="41" t="str">
        <f t="shared" si="119"/>
        <v>PH&amp;MBO</v>
      </c>
      <c r="B1136" s="43">
        <v>45693</v>
      </c>
      <c r="C1136" s="10" t="s">
        <v>1178</v>
      </c>
      <c r="D1136" s="10" t="s">
        <v>37</v>
      </c>
      <c r="E1136" s="10" t="s">
        <v>26</v>
      </c>
      <c r="F1136" s="10" t="s">
        <v>54</v>
      </c>
      <c r="G1136" s="10" t="s">
        <v>27</v>
      </c>
      <c r="H1136" s="10" t="s">
        <v>32</v>
      </c>
      <c r="I1136" s="45">
        <v>2305</v>
      </c>
      <c r="J1136" s="11">
        <v>0</v>
      </c>
      <c r="K1136" s="45">
        <f t="shared" si="120"/>
        <v>2305</v>
      </c>
      <c r="L1136" s="10">
        <v>2</v>
      </c>
      <c r="M1136" s="10">
        <v>1.1000000000000001</v>
      </c>
      <c r="N1136" s="10" t="b">
        <v>1</v>
      </c>
      <c r="O1136" s="41" t="s">
        <v>33</v>
      </c>
      <c r="P1136" s="45">
        <f t="shared" si="121"/>
        <v>968.09999999999991</v>
      </c>
      <c r="Q1136" s="45">
        <f t="shared" si="122"/>
        <v>1336.9</v>
      </c>
      <c r="R1136" s="45">
        <v>150</v>
      </c>
      <c r="S1136" s="45">
        <f t="shared" si="123"/>
        <v>230.5</v>
      </c>
      <c r="T1136" s="45">
        <f t="shared" si="124"/>
        <v>2305</v>
      </c>
      <c r="U1136" s="47">
        <f t="shared" si="125"/>
        <v>-1348.6</v>
      </c>
    </row>
    <row r="1137" spans="1:21" x14ac:dyDescent="0.3">
      <c r="A1137" s="41" t="str">
        <f t="shared" si="119"/>
        <v>PZAROU</v>
      </c>
      <c r="B1137" s="43">
        <v>45693</v>
      </c>
      <c r="C1137" s="10" t="s">
        <v>1179</v>
      </c>
      <c r="D1137" s="10" t="s">
        <v>3</v>
      </c>
      <c r="E1137" s="10" t="s">
        <v>2</v>
      </c>
      <c r="F1137" s="10" t="s">
        <v>54</v>
      </c>
      <c r="G1137" s="10" t="s">
        <v>46</v>
      </c>
      <c r="H1137" s="10" t="s">
        <v>13</v>
      </c>
      <c r="I1137" s="45">
        <v>3944</v>
      </c>
      <c r="J1137" s="11">
        <v>0</v>
      </c>
      <c r="K1137" s="45">
        <f t="shared" si="120"/>
        <v>3944</v>
      </c>
      <c r="L1137" s="10">
        <v>43</v>
      </c>
      <c r="M1137" s="10">
        <v>2.8</v>
      </c>
      <c r="N1137" s="10" t="b">
        <v>1</v>
      </c>
      <c r="O1137" s="41" t="s">
        <v>33</v>
      </c>
      <c r="P1137" s="45">
        <f t="shared" si="121"/>
        <v>1656.48</v>
      </c>
      <c r="Q1137" s="45">
        <f t="shared" si="122"/>
        <v>2287.52</v>
      </c>
      <c r="R1137" s="45">
        <v>150</v>
      </c>
      <c r="S1137" s="45">
        <f t="shared" si="123"/>
        <v>394.40000000000003</v>
      </c>
      <c r="T1137" s="45">
        <f t="shared" si="124"/>
        <v>3944</v>
      </c>
      <c r="U1137" s="47">
        <f t="shared" si="125"/>
        <v>-2200.88</v>
      </c>
    </row>
    <row r="1138" spans="1:21" x14ac:dyDescent="0.3">
      <c r="A1138" s="41" t="str">
        <f t="shared" si="119"/>
        <v>PZARTO</v>
      </c>
      <c r="B1138" s="43">
        <v>45693</v>
      </c>
      <c r="C1138" s="10" t="s">
        <v>1180</v>
      </c>
      <c r="D1138" s="10" t="s">
        <v>3</v>
      </c>
      <c r="E1138" s="10" t="s">
        <v>9</v>
      </c>
      <c r="F1138" s="10" t="s">
        <v>11</v>
      </c>
      <c r="G1138" s="10" t="s">
        <v>27</v>
      </c>
      <c r="H1138" s="10" t="s">
        <v>32</v>
      </c>
      <c r="I1138" s="45">
        <v>1063</v>
      </c>
      <c r="J1138" s="11">
        <v>8.8000000000000009E-2</v>
      </c>
      <c r="K1138" s="45">
        <f t="shared" si="120"/>
        <v>969.45600000000002</v>
      </c>
      <c r="L1138" s="10">
        <v>19</v>
      </c>
      <c r="M1138" s="10">
        <v>4.0999999999999996</v>
      </c>
      <c r="N1138" s="10" t="b">
        <v>0</v>
      </c>
      <c r="O1138" s="41"/>
      <c r="P1138" s="45">
        <f t="shared" si="121"/>
        <v>407.17151999999999</v>
      </c>
      <c r="Q1138" s="45">
        <f t="shared" si="122"/>
        <v>562.28448000000003</v>
      </c>
      <c r="R1138" s="45">
        <v>0</v>
      </c>
      <c r="S1138" s="45">
        <f t="shared" si="123"/>
        <v>0</v>
      </c>
      <c r="T1138" s="45">
        <f t="shared" si="124"/>
        <v>0</v>
      </c>
      <c r="U1138" s="47">
        <f t="shared" si="125"/>
        <v>562.28448000000003</v>
      </c>
    </row>
    <row r="1139" spans="1:21" x14ac:dyDescent="0.3">
      <c r="A1139" s="41" t="str">
        <f t="shared" si="119"/>
        <v>PUNISH</v>
      </c>
      <c r="B1139" s="43">
        <v>45694</v>
      </c>
      <c r="C1139" s="10" t="s">
        <v>1181</v>
      </c>
      <c r="D1139" s="10" t="s">
        <v>10</v>
      </c>
      <c r="E1139" s="10" t="s">
        <v>18</v>
      </c>
      <c r="F1139" s="10" t="s">
        <v>4</v>
      </c>
      <c r="G1139" s="10" t="s">
        <v>49</v>
      </c>
      <c r="H1139" s="10" t="s">
        <v>35</v>
      </c>
      <c r="I1139" s="45">
        <v>3800</v>
      </c>
      <c r="J1139" s="11">
        <v>0</v>
      </c>
      <c r="K1139" s="45">
        <f t="shared" si="120"/>
        <v>3800</v>
      </c>
      <c r="L1139" s="10">
        <v>40</v>
      </c>
      <c r="M1139" s="10">
        <v>3.1</v>
      </c>
      <c r="N1139" s="10" t="b">
        <v>1</v>
      </c>
      <c r="O1139" s="41" t="s">
        <v>50</v>
      </c>
      <c r="P1139" s="45">
        <f t="shared" si="121"/>
        <v>1596</v>
      </c>
      <c r="Q1139" s="45">
        <f t="shared" si="122"/>
        <v>2204</v>
      </c>
      <c r="R1139" s="45">
        <v>150</v>
      </c>
      <c r="S1139" s="45">
        <f t="shared" si="123"/>
        <v>380</v>
      </c>
      <c r="T1139" s="45">
        <f t="shared" si="124"/>
        <v>3800</v>
      </c>
      <c r="U1139" s="47">
        <f t="shared" si="125"/>
        <v>-2126</v>
      </c>
    </row>
    <row r="1140" spans="1:21" x14ac:dyDescent="0.3">
      <c r="A1140" s="41" t="str">
        <f t="shared" si="119"/>
        <v>PZARAC</v>
      </c>
      <c r="B1140" s="43">
        <v>45694</v>
      </c>
      <c r="C1140" s="10" t="s">
        <v>1182</v>
      </c>
      <c r="D1140" s="10" t="s">
        <v>3</v>
      </c>
      <c r="E1140" s="10" t="s">
        <v>15</v>
      </c>
      <c r="F1140" s="10" t="s">
        <v>23</v>
      </c>
      <c r="G1140" s="10" t="s">
        <v>7</v>
      </c>
      <c r="H1140" s="10" t="s">
        <v>13</v>
      </c>
      <c r="I1140" s="45">
        <v>218</v>
      </c>
      <c r="J1140" s="11">
        <v>0.21600000000000003</v>
      </c>
      <c r="K1140" s="45">
        <f t="shared" si="120"/>
        <v>170.91200000000001</v>
      </c>
      <c r="L1140" s="10">
        <v>45</v>
      </c>
      <c r="M1140" s="10">
        <v>4.4000000000000004</v>
      </c>
      <c r="N1140" s="10" t="b">
        <v>1</v>
      </c>
      <c r="O1140" s="41" t="s">
        <v>19</v>
      </c>
      <c r="P1140" s="45">
        <f t="shared" si="121"/>
        <v>71.78304</v>
      </c>
      <c r="Q1140" s="45">
        <f t="shared" si="122"/>
        <v>99.128960000000006</v>
      </c>
      <c r="R1140" s="45">
        <v>150</v>
      </c>
      <c r="S1140" s="45">
        <f t="shared" si="123"/>
        <v>17.091200000000001</v>
      </c>
      <c r="T1140" s="45">
        <f t="shared" si="124"/>
        <v>170.91200000000001</v>
      </c>
      <c r="U1140" s="47">
        <f t="shared" si="125"/>
        <v>-238.87423999999999</v>
      </c>
    </row>
    <row r="1141" spans="1:21" x14ac:dyDescent="0.3">
      <c r="A1141" s="41" t="str">
        <f t="shared" si="119"/>
        <v>PBANDR</v>
      </c>
      <c r="B1141" s="43">
        <v>45694</v>
      </c>
      <c r="C1141" s="10" t="s">
        <v>1183</v>
      </c>
      <c r="D1141" s="10" t="s">
        <v>21</v>
      </c>
      <c r="E1141" s="10" t="s">
        <v>30</v>
      </c>
      <c r="F1141" s="10" t="s">
        <v>23</v>
      </c>
      <c r="G1141" s="10" t="s">
        <v>49</v>
      </c>
      <c r="H1141" s="10" t="s">
        <v>28</v>
      </c>
      <c r="I1141" s="45">
        <v>2254</v>
      </c>
      <c r="J1141" s="11">
        <v>0.376</v>
      </c>
      <c r="K1141" s="45">
        <f t="shared" si="120"/>
        <v>1406.4960000000001</v>
      </c>
      <c r="L1141" s="10">
        <v>24</v>
      </c>
      <c r="M1141" s="10">
        <v>2.2999999999999998</v>
      </c>
      <c r="N1141" s="10" t="b">
        <v>1</v>
      </c>
      <c r="O1141" s="41" t="s">
        <v>44</v>
      </c>
      <c r="P1141" s="45">
        <f t="shared" si="121"/>
        <v>590.72832000000005</v>
      </c>
      <c r="Q1141" s="45">
        <f t="shared" si="122"/>
        <v>815.76768000000004</v>
      </c>
      <c r="R1141" s="45">
        <v>150</v>
      </c>
      <c r="S1141" s="45">
        <f t="shared" si="123"/>
        <v>140.64960000000002</v>
      </c>
      <c r="T1141" s="45">
        <f t="shared" si="124"/>
        <v>1406.4960000000001</v>
      </c>
      <c r="U1141" s="47">
        <f t="shared" si="125"/>
        <v>-881.37792000000013</v>
      </c>
    </row>
    <row r="1142" spans="1:21" x14ac:dyDescent="0.3">
      <c r="A1142" s="41" t="str">
        <f t="shared" si="119"/>
        <v>PBANOU</v>
      </c>
      <c r="B1142" s="43">
        <v>45694</v>
      </c>
      <c r="C1142" s="10" t="s">
        <v>1184</v>
      </c>
      <c r="D1142" s="10" t="s">
        <v>21</v>
      </c>
      <c r="E1142" s="10" t="s">
        <v>2</v>
      </c>
      <c r="F1142" s="10" t="s">
        <v>4</v>
      </c>
      <c r="G1142" s="10" t="s">
        <v>12</v>
      </c>
      <c r="H1142" s="10" t="s">
        <v>6</v>
      </c>
      <c r="I1142" s="45">
        <v>3173</v>
      </c>
      <c r="J1142" s="11">
        <v>0</v>
      </c>
      <c r="K1142" s="45">
        <f t="shared" si="120"/>
        <v>3173</v>
      </c>
      <c r="L1142" s="10">
        <v>41</v>
      </c>
      <c r="M1142" s="10">
        <v>2.8</v>
      </c>
      <c r="N1142" s="10" t="b">
        <v>0</v>
      </c>
      <c r="O1142" s="41"/>
      <c r="P1142" s="45">
        <f t="shared" si="121"/>
        <v>1332.6599999999999</v>
      </c>
      <c r="Q1142" s="45">
        <f t="shared" si="122"/>
        <v>1840.3400000000001</v>
      </c>
      <c r="R1142" s="45">
        <v>0</v>
      </c>
      <c r="S1142" s="45">
        <f t="shared" si="123"/>
        <v>0</v>
      </c>
      <c r="T1142" s="45">
        <f t="shared" si="124"/>
        <v>0</v>
      </c>
      <c r="U1142" s="47">
        <f t="shared" si="125"/>
        <v>1840.3400000000001</v>
      </c>
    </row>
    <row r="1143" spans="1:21" x14ac:dyDescent="0.3">
      <c r="A1143" s="41" t="str">
        <f t="shared" si="119"/>
        <v>PBANAC</v>
      </c>
      <c r="B1143" s="43">
        <v>45695</v>
      </c>
      <c r="C1143" s="10" t="s">
        <v>1185</v>
      </c>
      <c r="D1143" s="10" t="s">
        <v>21</v>
      </c>
      <c r="E1143" s="10" t="s">
        <v>15</v>
      </c>
      <c r="F1143" s="10" t="s">
        <v>4</v>
      </c>
      <c r="G1143" s="10" t="s">
        <v>7</v>
      </c>
      <c r="H1143" s="10" t="s">
        <v>28</v>
      </c>
      <c r="I1143" s="45">
        <v>457</v>
      </c>
      <c r="J1143" s="11">
        <v>0</v>
      </c>
      <c r="K1143" s="45">
        <f t="shared" si="120"/>
        <v>457</v>
      </c>
      <c r="L1143" s="10">
        <v>23</v>
      </c>
      <c r="M1143" s="10">
        <v>2.5</v>
      </c>
      <c r="N1143" s="10" t="b">
        <v>0</v>
      </c>
      <c r="O1143" s="41"/>
      <c r="P1143" s="45">
        <f t="shared" si="121"/>
        <v>191.94</v>
      </c>
      <c r="Q1143" s="45">
        <f t="shared" si="122"/>
        <v>265.06</v>
      </c>
      <c r="R1143" s="45">
        <v>0</v>
      </c>
      <c r="S1143" s="45">
        <f t="shared" si="123"/>
        <v>0</v>
      </c>
      <c r="T1143" s="45">
        <f t="shared" si="124"/>
        <v>0</v>
      </c>
      <c r="U1143" s="47">
        <f t="shared" si="125"/>
        <v>265.06</v>
      </c>
    </row>
    <row r="1144" spans="1:21" x14ac:dyDescent="0.3">
      <c r="A1144" s="41" t="str">
        <f t="shared" si="119"/>
        <v>PMANDR</v>
      </c>
      <c r="B1144" s="43">
        <v>45695</v>
      </c>
      <c r="C1144" s="10" t="s">
        <v>1186</v>
      </c>
      <c r="D1144" s="10" t="s">
        <v>31</v>
      </c>
      <c r="E1144" s="10" t="s">
        <v>30</v>
      </c>
      <c r="F1144" s="10" t="s">
        <v>11</v>
      </c>
      <c r="G1144" s="10" t="s">
        <v>38</v>
      </c>
      <c r="H1144" s="10" t="s">
        <v>88</v>
      </c>
      <c r="I1144" s="45">
        <v>1868</v>
      </c>
      <c r="J1144" s="11">
        <v>0.35899999999999999</v>
      </c>
      <c r="K1144" s="45">
        <f t="shared" si="120"/>
        <v>1197.3879999999999</v>
      </c>
      <c r="L1144" s="10">
        <v>6</v>
      </c>
      <c r="M1144" s="10">
        <v>1</v>
      </c>
      <c r="N1144" s="10" t="b">
        <v>0</v>
      </c>
      <c r="O1144" s="41"/>
      <c r="P1144" s="45">
        <f t="shared" si="121"/>
        <v>502.90295999999995</v>
      </c>
      <c r="Q1144" s="45">
        <f t="shared" si="122"/>
        <v>694.48504000000003</v>
      </c>
      <c r="R1144" s="45">
        <v>0</v>
      </c>
      <c r="S1144" s="45">
        <f t="shared" si="123"/>
        <v>0</v>
      </c>
      <c r="T1144" s="45">
        <f t="shared" si="124"/>
        <v>0</v>
      </c>
      <c r="U1144" s="47">
        <f t="shared" si="125"/>
        <v>694.48504000000003</v>
      </c>
    </row>
    <row r="1145" spans="1:21" x14ac:dyDescent="0.3">
      <c r="A1145" s="41" t="str">
        <f t="shared" si="119"/>
        <v>PZARTO</v>
      </c>
      <c r="B1145" s="43">
        <v>45695</v>
      </c>
      <c r="C1145" s="10" t="s">
        <v>1187</v>
      </c>
      <c r="D1145" s="10" t="s">
        <v>3</v>
      </c>
      <c r="E1145" s="10" t="s">
        <v>9</v>
      </c>
      <c r="F1145" s="10" t="s">
        <v>11</v>
      </c>
      <c r="G1145" s="10" t="s">
        <v>12</v>
      </c>
      <c r="H1145" s="10" t="s">
        <v>16</v>
      </c>
      <c r="I1145" s="45">
        <v>1758</v>
      </c>
      <c r="J1145" s="11">
        <v>0</v>
      </c>
      <c r="K1145" s="45">
        <f t="shared" si="120"/>
        <v>1758</v>
      </c>
      <c r="L1145" s="10">
        <v>17</v>
      </c>
      <c r="M1145" s="10">
        <v>1</v>
      </c>
      <c r="N1145" s="10" t="b">
        <v>0</v>
      </c>
      <c r="O1145" s="41"/>
      <c r="P1145" s="45">
        <f t="shared" si="121"/>
        <v>738.36</v>
      </c>
      <c r="Q1145" s="45">
        <f t="shared" si="122"/>
        <v>1019.64</v>
      </c>
      <c r="R1145" s="45">
        <v>0</v>
      </c>
      <c r="S1145" s="45">
        <f t="shared" si="123"/>
        <v>0</v>
      </c>
      <c r="T1145" s="45">
        <f t="shared" si="124"/>
        <v>0</v>
      </c>
      <c r="U1145" s="47">
        <f t="shared" si="125"/>
        <v>1019.64</v>
      </c>
    </row>
    <row r="1146" spans="1:21" x14ac:dyDescent="0.3">
      <c r="A1146" s="41" t="str">
        <f t="shared" si="119"/>
        <v>PZARAC</v>
      </c>
      <c r="B1146" s="43">
        <v>45695</v>
      </c>
      <c r="C1146" s="10" t="s">
        <v>1188</v>
      </c>
      <c r="D1146" s="10" t="s">
        <v>3</v>
      </c>
      <c r="E1146" s="10" t="s">
        <v>15</v>
      </c>
      <c r="F1146" s="10" t="s">
        <v>54</v>
      </c>
      <c r="G1146" s="10" t="s">
        <v>7</v>
      </c>
      <c r="H1146" s="10" t="s">
        <v>88</v>
      </c>
      <c r="I1146" s="45">
        <v>475</v>
      </c>
      <c r="J1146" s="11">
        <v>0.33299999999999996</v>
      </c>
      <c r="K1146" s="45">
        <f t="shared" si="120"/>
        <v>316.82500000000005</v>
      </c>
      <c r="L1146" s="10">
        <v>47</v>
      </c>
      <c r="M1146" s="10">
        <v>2.5</v>
      </c>
      <c r="N1146" s="10" t="b">
        <v>0</v>
      </c>
      <c r="O1146" s="41"/>
      <c r="P1146" s="45">
        <f t="shared" si="121"/>
        <v>133.06650000000002</v>
      </c>
      <c r="Q1146" s="45">
        <f t="shared" si="122"/>
        <v>183.75850000000003</v>
      </c>
      <c r="R1146" s="45">
        <v>0</v>
      </c>
      <c r="S1146" s="45">
        <f t="shared" si="123"/>
        <v>0</v>
      </c>
      <c r="T1146" s="45">
        <f t="shared" si="124"/>
        <v>0</v>
      </c>
      <c r="U1146" s="47">
        <f t="shared" si="125"/>
        <v>183.75850000000003</v>
      </c>
    </row>
    <row r="1147" spans="1:21" x14ac:dyDescent="0.3">
      <c r="A1147" s="41" t="str">
        <f t="shared" si="119"/>
        <v>PGAPOU</v>
      </c>
      <c r="B1147" s="43">
        <v>45696</v>
      </c>
      <c r="C1147" s="10" t="s">
        <v>1189</v>
      </c>
      <c r="D1147" s="10" t="s">
        <v>53</v>
      </c>
      <c r="E1147" s="10" t="s">
        <v>2</v>
      </c>
      <c r="F1147" s="10" t="s">
        <v>11</v>
      </c>
      <c r="G1147" s="10" t="s">
        <v>49</v>
      </c>
      <c r="H1147" s="10" t="s">
        <v>88</v>
      </c>
      <c r="I1147" s="45">
        <v>3648</v>
      </c>
      <c r="J1147" s="11">
        <v>0</v>
      </c>
      <c r="K1147" s="45">
        <f t="shared" si="120"/>
        <v>3648</v>
      </c>
      <c r="L1147" s="10">
        <v>27</v>
      </c>
      <c r="M1147" s="10">
        <v>2.4</v>
      </c>
      <c r="N1147" s="10" t="b">
        <v>0</v>
      </c>
      <c r="O1147" s="41"/>
      <c r="P1147" s="45">
        <f t="shared" si="121"/>
        <v>1532.1599999999999</v>
      </c>
      <c r="Q1147" s="45">
        <f t="shared" si="122"/>
        <v>2115.84</v>
      </c>
      <c r="R1147" s="45">
        <v>0</v>
      </c>
      <c r="S1147" s="45">
        <f t="shared" si="123"/>
        <v>0</v>
      </c>
      <c r="T1147" s="45">
        <f t="shared" si="124"/>
        <v>0</v>
      </c>
      <c r="U1147" s="47">
        <f t="shared" si="125"/>
        <v>2115.84</v>
      </c>
    </row>
    <row r="1148" spans="1:21" x14ac:dyDescent="0.3">
      <c r="A1148" s="41" t="str">
        <f t="shared" si="119"/>
        <v>PFORBO</v>
      </c>
      <c r="B1148" s="43">
        <v>45696</v>
      </c>
      <c r="C1148" s="10" t="s">
        <v>1190</v>
      </c>
      <c r="D1148" s="10" t="s">
        <v>65</v>
      </c>
      <c r="E1148" s="10" t="s">
        <v>26</v>
      </c>
      <c r="F1148" s="10" t="s">
        <v>23</v>
      </c>
      <c r="G1148" s="10" t="s">
        <v>49</v>
      </c>
      <c r="H1148" s="10" t="s">
        <v>43</v>
      </c>
      <c r="I1148" s="45">
        <v>2122</v>
      </c>
      <c r="J1148" s="11">
        <v>0.19800000000000001</v>
      </c>
      <c r="K1148" s="45">
        <f t="shared" si="120"/>
        <v>1701.8440000000001</v>
      </c>
      <c r="L1148" s="10">
        <v>2</v>
      </c>
      <c r="M1148" s="10">
        <v>1</v>
      </c>
      <c r="N1148" s="10" t="b">
        <v>0</v>
      </c>
      <c r="O1148" s="41"/>
      <c r="P1148" s="45">
        <f t="shared" si="121"/>
        <v>714.77448000000004</v>
      </c>
      <c r="Q1148" s="45">
        <f t="shared" si="122"/>
        <v>987.06952000000001</v>
      </c>
      <c r="R1148" s="45">
        <v>0</v>
      </c>
      <c r="S1148" s="45">
        <f t="shared" si="123"/>
        <v>0</v>
      </c>
      <c r="T1148" s="45">
        <f t="shared" si="124"/>
        <v>0</v>
      </c>
      <c r="U1148" s="47">
        <f t="shared" si="125"/>
        <v>987.06952000000001</v>
      </c>
    </row>
    <row r="1149" spans="1:21" x14ac:dyDescent="0.3">
      <c r="A1149" s="41" t="str">
        <f t="shared" si="119"/>
        <v>PUNITO</v>
      </c>
      <c r="B1149" s="43">
        <v>45696</v>
      </c>
      <c r="C1149" s="10" t="s">
        <v>1191</v>
      </c>
      <c r="D1149" s="10" t="s">
        <v>10</v>
      </c>
      <c r="E1149" s="10" t="s">
        <v>9</v>
      </c>
      <c r="F1149" s="10" t="s">
        <v>23</v>
      </c>
      <c r="G1149" s="10" t="s">
        <v>5</v>
      </c>
      <c r="H1149" s="10" t="s">
        <v>35</v>
      </c>
      <c r="I1149" s="45">
        <v>1460</v>
      </c>
      <c r="J1149" s="11">
        <v>0</v>
      </c>
      <c r="K1149" s="45">
        <f t="shared" si="120"/>
        <v>1460</v>
      </c>
      <c r="L1149" s="10">
        <v>29</v>
      </c>
      <c r="M1149" s="10">
        <v>1.2</v>
      </c>
      <c r="N1149" s="10" t="b">
        <v>1</v>
      </c>
      <c r="O1149" s="41" t="s">
        <v>33</v>
      </c>
      <c r="P1149" s="45">
        <f t="shared" si="121"/>
        <v>613.19999999999993</v>
      </c>
      <c r="Q1149" s="45">
        <f t="shared" si="122"/>
        <v>846.80000000000007</v>
      </c>
      <c r="R1149" s="45">
        <v>150</v>
      </c>
      <c r="S1149" s="45">
        <f t="shared" si="123"/>
        <v>146</v>
      </c>
      <c r="T1149" s="45">
        <f t="shared" si="124"/>
        <v>1460</v>
      </c>
      <c r="U1149" s="47">
        <f t="shared" si="125"/>
        <v>-909.19999999999993</v>
      </c>
    </row>
    <row r="1150" spans="1:21" x14ac:dyDescent="0.3">
      <c r="A1150" s="41" t="str">
        <f t="shared" si="119"/>
        <v>PFORBO</v>
      </c>
      <c r="B1150" s="43">
        <v>45697</v>
      </c>
      <c r="C1150" s="10" t="s">
        <v>1192</v>
      </c>
      <c r="D1150" s="10" t="s">
        <v>65</v>
      </c>
      <c r="E1150" s="10" t="s">
        <v>26</v>
      </c>
      <c r="F1150" s="10" t="s">
        <v>23</v>
      </c>
      <c r="G1150" s="10" t="s">
        <v>12</v>
      </c>
      <c r="H1150" s="10" t="s">
        <v>56</v>
      </c>
      <c r="I1150" s="45">
        <v>2215</v>
      </c>
      <c r="J1150" s="11">
        <v>2.8999999999999998E-2</v>
      </c>
      <c r="K1150" s="45">
        <f t="shared" si="120"/>
        <v>2150.7649999999999</v>
      </c>
      <c r="L1150" s="10">
        <v>46</v>
      </c>
      <c r="M1150" s="10"/>
      <c r="N1150" s="10" t="b">
        <v>0</v>
      </c>
      <c r="O1150" s="41"/>
      <c r="P1150" s="45">
        <f t="shared" si="121"/>
        <v>903.32129999999995</v>
      </c>
      <c r="Q1150" s="45">
        <f t="shared" si="122"/>
        <v>1247.4436999999998</v>
      </c>
      <c r="R1150" s="45">
        <v>0</v>
      </c>
      <c r="S1150" s="45">
        <f t="shared" si="123"/>
        <v>0</v>
      </c>
      <c r="T1150" s="45">
        <f t="shared" si="124"/>
        <v>0</v>
      </c>
      <c r="U1150" s="47">
        <f t="shared" si="125"/>
        <v>1247.4436999999998</v>
      </c>
    </row>
    <row r="1151" spans="1:21" x14ac:dyDescent="0.3">
      <c r="A1151" s="41" t="str">
        <f t="shared" si="119"/>
        <v>PBANTO</v>
      </c>
      <c r="B1151" s="43">
        <v>45697</v>
      </c>
      <c r="C1151" s="10" t="s">
        <v>1193</v>
      </c>
      <c r="D1151" s="10" t="s">
        <v>21</v>
      </c>
      <c r="E1151" s="10" t="s">
        <v>9</v>
      </c>
      <c r="F1151" s="10" t="s">
        <v>23</v>
      </c>
      <c r="G1151" s="10" t="s">
        <v>5</v>
      </c>
      <c r="H1151" s="10" t="s">
        <v>43</v>
      </c>
      <c r="I1151" s="45">
        <v>1583</v>
      </c>
      <c r="J1151" s="11">
        <v>3.1E-2</v>
      </c>
      <c r="K1151" s="45">
        <f t="shared" si="120"/>
        <v>1533.9269999999999</v>
      </c>
      <c r="L1151" s="10">
        <v>6</v>
      </c>
      <c r="M1151" s="10">
        <v>2.8</v>
      </c>
      <c r="N1151" s="10" t="b">
        <v>0</v>
      </c>
      <c r="O1151" s="41"/>
      <c r="P1151" s="45">
        <f t="shared" si="121"/>
        <v>644.24933999999996</v>
      </c>
      <c r="Q1151" s="45">
        <f t="shared" si="122"/>
        <v>889.67765999999995</v>
      </c>
      <c r="R1151" s="45">
        <v>0</v>
      </c>
      <c r="S1151" s="45">
        <f t="shared" si="123"/>
        <v>0</v>
      </c>
      <c r="T1151" s="45">
        <f t="shared" si="124"/>
        <v>0</v>
      </c>
      <c r="U1151" s="47">
        <f t="shared" si="125"/>
        <v>889.67765999999995</v>
      </c>
    </row>
    <row r="1152" spans="1:21" x14ac:dyDescent="0.3">
      <c r="A1152" s="41" t="str">
        <f t="shared" si="119"/>
        <v>PH&amp;MTO</v>
      </c>
      <c r="B1152" s="43">
        <v>45697</v>
      </c>
      <c r="C1152" s="10" t="s">
        <v>1194</v>
      </c>
      <c r="D1152" s="10" t="s">
        <v>37</v>
      </c>
      <c r="E1152" s="10" t="s">
        <v>9</v>
      </c>
      <c r="F1152" s="10" t="s">
        <v>54</v>
      </c>
      <c r="G1152" s="10" t="s">
        <v>27</v>
      </c>
      <c r="H1152" s="10" t="s">
        <v>43</v>
      </c>
      <c r="I1152" s="45">
        <v>1580</v>
      </c>
      <c r="J1152" s="11">
        <v>0</v>
      </c>
      <c r="K1152" s="45">
        <f t="shared" si="120"/>
        <v>1580</v>
      </c>
      <c r="L1152" s="10">
        <v>50</v>
      </c>
      <c r="M1152" s="10">
        <v>4.2</v>
      </c>
      <c r="N1152" s="10" t="b">
        <v>0</v>
      </c>
      <c r="O1152" s="41"/>
      <c r="P1152" s="45">
        <f t="shared" si="121"/>
        <v>663.6</v>
      </c>
      <c r="Q1152" s="45">
        <f t="shared" si="122"/>
        <v>916.4</v>
      </c>
      <c r="R1152" s="45">
        <v>0</v>
      </c>
      <c r="S1152" s="45">
        <f t="shared" si="123"/>
        <v>0</v>
      </c>
      <c r="T1152" s="45">
        <f t="shared" si="124"/>
        <v>0</v>
      </c>
      <c r="U1152" s="47">
        <f t="shared" si="125"/>
        <v>916.4</v>
      </c>
    </row>
    <row r="1153" spans="1:21" x14ac:dyDescent="0.3">
      <c r="A1153" s="41" t="str">
        <f t="shared" si="119"/>
        <v>PGAPTO</v>
      </c>
      <c r="B1153" s="43">
        <v>45697</v>
      </c>
      <c r="C1153" s="10" t="s">
        <v>1195</v>
      </c>
      <c r="D1153" s="10" t="s">
        <v>53</v>
      </c>
      <c r="E1153" s="10" t="s">
        <v>9</v>
      </c>
      <c r="F1153" s="10" t="s">
        <v>4</v>
      </c>
      <c r="G1153" s="10" t="s">
        <v>46</v>
      </c>
      <c r="H1153" s="10" t="s">
        <v>35</v>
      </c>
      <c r="I1153" s="45">
        <v>1358</v>
      </c>
      <c r="J1153" s="11">
        <v>0.40799999999999997</v>
      </c>
      <c r="K1153" s="45">
        <f t="shared" si="120"/>
        <v>803.93600000000015</v>
      </c>
      <c r="L1153" s="10">
        <v>23</v>
      </c>
      <c r="M1153" s="10">
        <v>4.4000000000000004</v>
      </c>
      <c r="N1153" s="10" t="b">
        <v>0</v>
      </c>
      <c r="O1153" s="41"/>
      <c r="P1153" s="45">
        <f t="shared" si="121"/>
        <v>337.65312000000006</v>
      </c>
      <c r="Q1153" s="45">
        <f t="shared" si="122"/>
        <v>466.28288000000009</v>
      </c>
      <c r="R1153" s="45">
        <v>0</v>
      </c>
      <c r="S1153" s="45">
        <f t="shared" si="123"/>
        <v>0</v>
      </c>
      <c r="T1153" s="45">
        <f t="shared" si="124"/>
        <v>0</v>
      </c>
      <c r="U1153" s="47">
        <f t="shared" si="125"/>
        <v>466.28288000000009</v>
      </c>
    </row>
    <row r="1154" spans="1:21" x14ac:dyDescent="0.3">
      <c r="A1154" s="41" t="str">
        <f t="shared" ref="A1154:A1217" si="126">UPPER("P"&amp;LEFT(D1154,3)&amp;LEFT(E1154,2))</f>
        <v>PGAPSH</v>
      </c>
      <c r="B1154" s="43">
        <v>45698</v>
      </c>
      <c r="C1154" s="10" t="s">
        <v>1196</v>
      </c>
      <c r="D1154" s="10" t="s">
        <v>53</v>
      </c>
      <c r="E1154" s="10" t="s">
        <v>18</v>
      </c>
      <c r="F1154" s="10" t="s">
        <v>4</v>
      </c>
      <c r="G1154" s="10" t="s">
        <v>27</v>
      </c>
      <c r="H1154" s="10" t="s">
        <v>28</v>
      </c>
      <c r="I1154" s="45">
        <v>4021</v>
      </c>
      <c r="J1154" s="11">
        <v>0</v>
      </c>
      <c r="K1154" s="45">
        <f t="shared" si="120"/>
        <v>4021</v>
      </c>
      <c r="L1154" s="10">
        <v>15</v>
      </c>
      <c r="M1154" s="10"/>
      <c r="N1154" s="10" t="b">
        <v>0</v>
      </c>
      <c r="O1154" s="41"/>
      <c r="P1154" s="45">
        <f t="shared" si="121"/>
        <v>1688.82</v>
      </c>
      <c r="Q1154" s="45">
        <f t="shared" si="122"/>
        <v>2332.1800000000003</v>
      </c>
      <c r="R1154" s="45">
        <v>0</v>
      </c>
      <c r="S1154" s="45">
        <f t="shared" si="123"/>
        <v>0</v>
      </c>
      <c r="T1154" s="45">
        <f t="shared" si="124"/>
        <v>0</v>
      </c>
      <c r="U1154" s="47">
        <f t="shared" si="125"/>
        <v>2332.1800000000003</v>
      </c>
    </row>
    <row r="1155" spans="1:21" x14ac:dyDescent="0.3">
      <c r="A1155" s="41" t="str">
        <f t="shared" si="126"/>
        <v>PH&amp;MDR</v>
      </c>
      <c r="B1155" s="43">
        <v>45698</v>
      </c>
      <c r="C1155" s="10" t="s">
        <v>1197</v>
      </c>
      <c r="D1155" s="10" t="s">
        <v>37</v>
      </c>
      <c r="E1155" s="10" t="s">
        <v>30</v>
      </c>
      <c r="F1155" s="10" t="s">
        <v>11</v>
      </c>
      <c r="G1155" s="10" t="s">
        <v>49</v>
      </c>
      <c r="H1155" s="10" t="s">
        <v>6</v>
      </c>
      <c r="I1155" s="45">
        <v>2601</v>
      </c>
      <c r="J1155" s="11">
        <v>0</v>
      </c>
      <c r="K1155" s="45">
        <f t="shared" ref="K1155:K1218" si="127">I1155*(1-J1155)</f>
        <v>2601</v>
      </c>
      <c r="L1155" s="10">
        <v>9</v>
      </c>
      <c r="M1155" s="10">
        <v>4.7</v>
      </c>
      <c r="N1155" s="10" t="b">
        <v>0</v>
      </c>
      <c r="O1155" s="41"/>
      <c r="P1155" s="45">
        <f t="shared" ref="P1155:P1218" si="128">K1155*0.42</f>
        <v>1092.42</v>
      </c>
      <c r="Q1155" s="45">
        <f t="shared" ref="Q1155:Q1218" si="129">K1155-P1155</f>
        <v>1508.58</v>
      </c>
      <c r="R1155" s="45">
        <v>0</v>
      </c>
      <c r="S1155" s="45">
        <f t="shared" ref="S1155:S1218" si="130">IF(N1155=TRUE,K1155*0.1,0)</f>
        <v>0</v>
      </c>
      <c r="T1155" s="45">
        <f t="shared" ref="T1155:T1218" si="131">IF(N1155=TRUE,K1155,0)</f>
        <v>0</v>
      </c>
      <c r="U1155" s="47">
        <f t="shared" ref="U1155:U1218" si="132">Q1155-R1155-S1155-T1155</f>
        <v>1508.58</v>
      </c>
    </row>
    <row r="1156" spans="1:21" x14ac:dyDescent="0.3">
      <c r="A1156" s="41" t="str">
        <f t="shared" si="126"/>
        <v>PUNIOU</v>
      </c>
      <c r="B1156" s="43">
        <v>45698</v>
      </c>
      <c r="C1156" s="10" t="s">
        <v>1198</v>
      </c>
      <c r="D1156" s="10" t="s">
        <v>10</v>
      </c>
      <c r="E1156" s="10" t="s">
        <v>2</v>
      </c>
      <c r="F1156" s="10" t="s">
        <v>54</v>
      </c>
      <c r="G1156" s="10" t="s">
        <v>46</v>
      </c>
      <c r="H1156" s="10" t="s">
        <v>58</v>
      </c>
      <c r="I1156" s="45">
        <v>3174</v>
      </c>
      <c r="J1156" s="11">
        <v>0</v>
      </c>
      <c r="K1156" s="45">
        <f t="shared" si="127"/>
        <v>3174</v>
      </c>
      <c r="L1156" s="10">
        <v>35</v>
      </c>
      <c r="M1156" s="10">
        <v>1.5</v>
      </c>
      <c r="N1156" s="10" t="b">
        <v>0</v>
      </c>
      <c r="O1156" s="41"/>
      <c r="P1156" s="45">
        <f t="shared" si="128"/>
        <v>1333.08</v>
      </c>
      <c r="Q1156" s="45">
        <f t="shared" si="129"/>
        <v>1840.92</v>
      </c>
      <c r="R1156" s="45">
        <v>0</v>
      </c>
      <c r="S1156" s="45">
        <f t="shared" si="130"/>
        <v>0</v>
      </c>
      <c r="T1156" s="45">
        <f t="shared" si="131"/>
        <v>0</v>
      </c>
      <c r="U1156" s="47">
        <f t="shared" si="132"/>
        <v>1840.92</v>
      </c>
    </row>
    <row r="1157" spans="1:21" x14ac:dyDescent="0.3">
      <c r="A1157" s="41" t="str">
        <f t="shared" si="126"/>
        <v>PZARBO</v>
      </c>
      <c r="B1157" s="43">
        <v>45698</v>
      </c>
      <c r="C1157" s="10" t="s">
        <v>1199</v>
      </c>
      <c r="D1157" s="10" t="s">
        <v>3</v>
      </c>
      <c r="E1157" s="10" t="s">
        <v>26</v>
      </c>
      <c r="F1157" s="10" t="s">
        <v>23</v>
      </c>
      <c r="G1157" s="10" t="s">
        <v>46</v>
      </c>
      <c r="H1157" s="10" t="s">
        <v>13</v>
      </c>
      <c r="I1157" s="45">
        <v>2898</v>
      </c>
      <c r="J1157" s="11">
        <v>8.4000000000000005E-2</v>
      </c>
      <c r="K1157" s="45">
        <f t="shared" si="127"/>
        <v>2654.5680000000002</v>
      </c>
      <c r="L1157" s="10">
        <v>30</v>
      </c>
      <c r="M1157" s="10">
        <v>4.5999999999999996</v>
      </c>
      <c r="N1157" s="10" t="b">
        <v>0</v>
      </c>
      <c r="O1157" s="41"/>
      <c r="P1157" s="45">
        <f t="shared" si="128"/>
        <v>1114.9185600000001</v>
      </c>
      <c r="Q1157" s="45">
        <f t="shared" si="129"/>
        <v>1539.6494400000001</v>
      </c>
      <c r="R1157" s="45">
        <v>0</v>
      </c>
      <c r="S1157" s="45">
        <f t="shared" si="130"/>
        <v>0</v>
      </c>
      <c r="T1157" s="45">
        <f t="shared" si="131"/>
        <v>0</v>
      </c>
      <c r="U1157" s="47">
        <f t="shared" si="132"/>
        <v>1539.6494400000001</v>
      </c>
    </row>
    <row r="1158" spans="1:21" x14ac:dyDescent="0.3">
      <c r="A1158" s="41" t="str">
        <f t="shared" si="126"/>
        <v>PFORTO</v>
      </c>
      <c r="B1158" s="43">
        <v>45699</v>
      </c>
      <c r="C1158" s="10" t="s">
        <v>1200</v>
      </c>
      <c r="D1158" s="10" t="s">
        <v>65</v>
      </c>
      <c r="E1158" s="10" t="s">
        <v>9</v>
      </c>
      <c r="F1158" s="10" t="s">
        <v>23</v>
      </c>
      <c r="G1158" s="10" t="s">
        <v>46</v>
      </c>
      <c r="H1158" s="10" t="s">
        <v>35</v>
      </c>
      <c r="I1158" s="45">
        <v>963</v>
      </c>
      <c r="J1158" s="11">
        <v>0</v>
      </c>
      <c r="K1158" s="45">
        <f t="shared" si="127"/>
        <v>963</v>
      </c>
      <c r="L1158" s="10">
        <v>18</v>
      </c>
      <c r="M1158" s="10">
        <v>1.2</v>
      </c>
      <c r="N1158" s="10" t="b">
        <v>1</v>
      </c>
      <c r="O1158" s="41" t="s">
        <v>33</v>
      </c>
      <c r="P1158" s="45">
        <f t="shared" si="128"/>
        <v>404.46</v>
      </c>
      <c r="Q1158" s="45">
        <f t="shared" si="129"/>
        <v>558.54</v>
      </c>
      <c r="R1158" s="45">
        <v>150</v>
      </c>
      <c r="S1158" s="45">
        <f t="shared" si="130"/>
        <v>96.300000000000011</v>
      </c>
      <c r="T1158" s="45">
        <f t="shared" si="131"/>
        <v>963</v>
      </c>
      <c r="U1158" s="47">
        <f t="shared" si="132"/>
        <v>-650.76</v>
      </c>
    </row>
    <row r="1159" spans="1:21" x14ac:dyDescent="0.3">
      <c r="A1159" s="41" t="str">
        <f t="shared" si="126"/>
        <v>PBANAC</v>
      </c>
      <c r="B1159" s="43">
        <v>45699</v>
      </c>
      <c r="C1159" s="10" t="s">
        <v>1201</v>
      </c>
      <c r="D1159" s="10" t="s">
        <v>21</v>
      </c>
      <c r="E1159" s="10" t="s">
        <v>15</v>
      </c>
      <c r="F1159" s="10" t="s">
        <v>54</v>
      </c>
      <c r="G1159" s="10" t="s">
        <v>7</v>
      </c>
      <c r="H1159" s="10" t="s">
        <v>43</v>
      </c>
      <c r="I1159" s="45">
        <v>407</v>
      </c>
      <c r="J1159" s="11">
        <v>0</v>
      </c>
      <c r="K1159" s="45">
        <f t="shared" si="127"/>
        <v>407</v>
      </c>
      <c r="L1159" s="10">
        <v>39</v>
      </c>
      <c r="M1159" s="10">
        <v>2.2000000000000002</v>
      </c>
      <c r="N1159" s="10" t="b">
        <v>0</v>
      </c>
      <c r="O1159" s="41"/>
      <c r="P1159" s="45">
        <f t="shared" si="128"/>
        <v>170.94</v>
      </c>
      <c r="Q1159" s="45">
        <f t="shared" si="129"/>
        <v>236.06</v>
      </c>
      <c r="R1159" s="45">
        <v>0</v>
      </c>
      <c r="S1159" s="45">
        <f t="shared" si="130"/>
        <v>0</v>
      </c>
      <c r="T1159" s="45">
        <f t="shared" si="131"/>
        <v>0</v>
      </c>
      <c r="U1159" s="47">
        <f t="shared" si="132"/>
        <v>236.06</v>
      </c>
    </row>
    <row r="1160" spans="1:21" x14ac:dyDescent="0.3">
      <c r="A1160" s="41" t="str">
        <f t="shared" si="126"/>
        <v>PGAPAC</v>
      </c>
      <c r="B1160" s="43">
        <v>45699</v>
      </c>
      <c r="C1160" s="10" t="s">
        <v>1202</v>
      </c>
      <c r="D1160" s="10" t="s">
        <v>53</v>
      </c>
      <c r="E1160" s="10" t="s">
        <v>15</v>
      </c>
      <c r="F1160" s="10" t="s">
        <v>54</v>
      </c>
      <c r="G1160" s="10" t="s">
        <v>7</v>
      </c>
      <c r="H1160" s="10" t="s">
        <v>58</v>
      </c>
      <c r="I1160" s="45">
        <v>257</v>
      </c>
      <c r="J1160" s="11">
        <v>0.13500000000000001</v>
      </c>
      <c r="K1160" s="45">
        <f t="shared" si="127"/>
        <v>222.30500000000001</v>
      </c>
      <c r="L1160" s="10">
        <v>40</v>
      </c>
      <c r="M1160" s="10">
        <v>3.2</v>
      </c>
      <c r="N1160" s="10" t="b">
        <v>0</v>
      </c>
      <c r="O1160" s="41"/>
      <c r="P1160" s="45">
        <f t="shared" si="128"/>
        <v>93.368099999999998</v>
      </c>
      <c r="Q1160" s="45">
        <f t="shared" si="129"/>
        <v>128.93690000000001</v>
      </c>
      <c r="R1160" s="45">
        <v>0</v>
      </c>
      <c r="S1160" s="45">
        <f t="shared" si="130"/>
        <v>0</v>
      </c>
      <c r="T1160" s="45">
        <f t="shared" si="131"/>
        <v>0</v>
      </c>
      <c r="U1160" s="47">
        <f t="shared" si="132"/>
        <v>128.93690000000001</v>
      </c>
    </row>
    <row r="1161" spans="1:21" x14ac:dyDescent="0.3">
      <c r="A1161" s="41" t="str">
        <f t="shared" si="126"/>
        <v>PUNITO</v>
      </c>
      <c r="B1161" s="43">
        <v>45700</v>
      </c>
      <c r="C1161" s="10" t="s">
        <v>1203</v>
      </c>
      <c r="D1161" s="10" t="s">
        <v>10</v>
      </c>
      <c r="E1161" s="10" t="s">
        <v>9</v>
      </c>
      <c r="F1161" s="10" t="s">
        <v>4</v>
      </c>
      <c r="G1161" s="10" t="s">
        <v>27</v>
      </c>
      <c r="H1161" s="10" t="s">
        <v>58</v>
      </c>
      <c r="I1161" s="45">
        <v>1714</v>
      </c>
      <c r="J1161" s="11">
        <v>0</v>
      </c>
      <c r="K1161" s="45">
        <f t="shared" si="127"/>
        <v>1714</v>
      </c>
      <c r="L1161" s="10">
        <v>38</v>
      </c>
      <c r="M1161" s="10">
        <v>2.6</v>
      </c>
      <c r="N1161" s="10" t="b">
        <v>0</v>
      </c>
      <c r="O1161" s="41"/>
      <c r="P1161" s="45">
        <f t="shared" si="128"/>
        <v>719.88</v>
      </c>
      <c r="Q1161" s="45">
        <f t="shared" si="129"/>
        <v>994.12</v>
      </c>
      <c r="R1161" s="45">
        <v>0</v>
      </c>
      <c r="S1161" s="45">
        <f t="shared" si="130"/>
        <v>0</v>
      </c>
      <c r="T1161" s="45">
        <f t="shared" si="131"/>
        <v>0</v>
      </c>
      <c r="U1161" s="47">
        <f t="shared" si="132"/>
        <v>994.12</v>
      </c>
    </row>
    <row r="1162" spans="1:21" x14ac:dyDescent="0.3">
      <c r="A1162" s="41" t="str">
        <f t="shared" si="126"/>
        <v>PFORAC</v>
      </c>
      <c r="B1162" s="43">
        <v>45700</v>
      </c>
      <c r="C1162" s="10" t="s">
        <v>1204</v>
      </c>
      <c r="D1162" s="10" t="s">
        <v>65</v>
      </c>
      <c r="E1162" s="10" t="s">
        <v>15</v>
      </c>
      <c r="F1162" s="10" t="s">
        <v>11</v>
      </c>
      <c r="G1162" s="10" t="s">
        <v>7</v>
      </c>
      <c r="H1162" s="10" t="s">
        <v>32</v>
      </c>
      <c r="I1162" s="45">
        <v>478</v>
      </c>
      <c r="J1162" s="11">
        <v>0</v>
      </c>
      <c r="K1162" s="45">
        <f t="shared" si="127"/>
        <v>478</v>
      </c>
      <c r="L1162" s="10">
        <v>12</v>
      </c>
      <c r="M1162" s="10">
        <v>4.3</v>
      </c>
      <c r="N1162" s="10" t="b">
        <v>1</v>
      </c>
      <c r="O1162" s="41" t="s">
        <v>50</v>
      </c>
      <c r="P1162" s="45">
        <f t="shared" si="128"/>
        <v>200.76</v>
      </c>
      <c r="Q1162" s="45">
        <f t="shared" si="129"/>
        <v>277.24</v>
      </c>
      <c r="R1162" s="45">
        <v>150</v>
      </c>
      <c r="S1162" s="45">
        <f t="shared" si="130"/>
        <v>47.800000000000004</v>
      </c>
      <c r="T1162" s="45">
        <f t="shared" si="131"/>
        <v>478</v>
      </c>
      <c r="U1162" s="47">
        <f t="shared" si="132"/>
        <v>-398.56</v>
      </c>
    </row>
    <row r="1163" spans="1:21" x14ac:dyDescent="0.3">
      <c r="A1163" s="41" t="str">
        <f t="shared" si="126"/>
        <v>PZARDR</v>
      </c>
      <c r="B1163" s="43">
        <v>45700</v>
      </c>
      <c r="C1163" s="10" t="s">
        <v>1205</v>
      </c>
      <c r="D1163" s="10" t="s">
        <v>3</v>
      </c>
      <c r="E1163" s="10" t="s">
        <v>30</v>
      </c>
      <c r="F1163" s="10" t="s">
        <v>54</v>
      </c>
      <c r="G1163" s="10" t="s">
        <v>5</v>
      </c>
      <c r="H1163" s="10" t="s">
        <v>47</v>
      </c>
      <c r="I1163" s="45">
        <v>1903</v>
      </c>
      <c r="J1163" s="11">
        <v>0.39</v>
      </c>
      <c r="K1163" s="45">
        <f t="shared" si="127"/>
        <v>1160.83</v>
      </c>
      <c r="L1163" s="10">
        <v>40</v>
      </c>
      <c r="M1163" s="10">
        <v>2.4</v>
      </c>
      <c r="N1163" s="10" t="b">
        <v>0</v>
      </c>
      <c r="O1163" s="41"/>
      <c r="P1163" s="45">
        <f t="shared" si="128"/>
        <v>487.54859999999996</v>
      </c>
      <c r="Q1163" s="45">
        <f t="shared" si="129"/>
        <v>673.28139999999996</v>
      </c>
      <c r="R1163" s="45">
        <v>0</v>
      </c>
      <c r="S1163" s="45">
        <f t="shared" si="130"/>
        <v>0</v>
      </c>
      <c r="T1163" s="45">
        <f t="shared" si="131"/>
        <v>0</v>
      </c>
      <c r="U1163" s="47">
        <f t="shared" si="132"/>
        <v>673.28139999999996</v>
      </c>
    </row>
    <row r="1164" spans="1:21" x14ac:dyDescent="0.3">
      <c r="A1164" s="41" t="str">
        <f t="shared" si="126"/>
        <v>PZARDR</v>
      </c>
      <c r="B1164" s="43">
        <v>45700</v>
      </c>
      <c r="C1164" s="10" t="s">
        <v>1206</v>
      </c>
      <c r="D1164" s="10" t="s">
        <v>3</v>
      </c>
      <c r="E1164" s="10" t="s">
        <v>30</v>
      </c>
      <c r="F1164" s="10" t="s">
        <v>4</v>
      </c>
      <c r="G1164" s="10" t="s">
        <v>46</v>
      </c>
      <c r="H1164" s="10" t="s">
        <v>58</v>
      </c>
      <c r="I1164" s="45">
        <v>2899</v>
      </c>
      <c r="J1164" s="11">
        <v>0</v>
      </c>
      <c r="K1164" s="45">
        <f t="shared" si="127"/>
        <v>2899</v>
      </c>
      <c r="L1164" s="10">
        <v>14</v>
      </c>
      <c r="M1164" s="10">
        <v>2.8</v>
      </c>
      <c r="N1164" s="10" t="b">
        <v>0</v>
      </c>
      <c r="O1164" s="41"/>
      <c r="P1164" s="45">
        <f t="shared" si="128"/>
        <v>1217.58</v>
      </c>
      <c r="Q1164" s="45">
        <f t="shared" si="129"/>
        <v>1681.42</v>
      </c>
      <c r="R1164" s="45">
        <v>0</v>
      </c>
      <c r="S1164" s="45">
        <f t="shared" si="130"/>
        <v>0</v>
      </c>
      <c r="T1164" s="45">
        <f t="shared" si="131"/>
        <v>0</v>
      </c>
      <c r="U1164" s="47">
        <f t="shared" si="132"/>
        <v>1681.42</v>
      </c>
    </row>
    <row r="1165" spans="1:21" x14ac:dyDescent="0.3">
      <c r="A1165" s="41" t="str">
        <f t="shared" si="126"/>
        <v>PZARAC</v>
      </c>
      <c r="B1165" s="43">
        <v>45701</v>
      </c>
      <c r="C1165" s="10" t="s">
        <v>1207</v>
      </c>
      <c r="D1165" s="10" t="s">
        <v>3</v>
      </c>
      <c r="E1165" s="10" t="s">
        <v>15</v>
      </c>
      <c r="F1165" s="10" t="s">
        <v>23</v>
      </c>
      <c r="G1165" s="10" t="s">
        <v>7</v>
      </c>
      <c r="H1165" s="10" t="s">
        <v>28</v>
      </c>
      <c r="I1165" s="45">
        <v>171</v>
      </c>
      <c r="J1165" s="11">
        <v>0</v>
      </c>
      <c r="K1165" s="45">
        <f t="shared" si="127"/>
        <v>171</v>
      </c>
      <c r="L1165" s="10">
        <v>24</v>
      </c>
      <c r="M1165" s="10">
        <v>1.7</v>
      </c>
      <c r="N1165" s="10" t="b">
        <v>0</v>
      </c>
      <c r="O1165" s="41"/>
      <c r="P1165" s="45">
        <f t="shared" si="128"/>
        <v>71.819999999999993</v>
      </c>
      <c r="Q1165" s="45">
        <f t="shared" si="129"/>
        <v>99.18</v>
      </c>
      <c r="R1165" s="45">
        <v>0</v>
      </c>
      <c r="S1165" s="45">
        <f t="shared" si="130"/>
        <v>0</v>
      </c>
      <c r="T1165" s="45">
        <f t="shared" si="131"/>
        <v>0</v>
      </c>
      <c r="U1165" s="47">
        <f t="shared" si="132"/>
        <v>99.18</v>
      </c>
    </row>
    <row r="1166" spans="1:21" x14ac:dyDescent="0.3">
      <c r="A1166" s="41" t="str">
        <f t="shared" si="126"/>
        <v>PFORBO</v>
      </c>
      <c r="B1166" s="43">
        <v>45701</v>
      </c>
      <c r="C1166" s="10" t="s">
        <v>1208</v>
      </c>
      <c r="D1166" s="10" t="s">
        <v>65</v>
      </c>
      <c r="E1166" s="10" t="s">
        <v>26</v>
      </c>
      <c r="F1166" s="10" t="s">
        <v>4</v>
      </c>
      <c r="G1166" s="10" t="s">
        <v>12</v>
      </c>
      <c r="H1166" s="10" t="s">
        <v>47</v>
      </c>
      <c r="I1166" s="45">
        <v>2991</v>
      </c>
      <c r="J1166" s="11">
        <v>0</v>
      </c>
      <c r="K1166" s="45">
        <f t="shared" si="127"/>
        <v>2991</v>
      </c>
      <c r="L1166" s="10">
        <v>19</v>
      </c>
      <c r="M1166" s="10">
        <v>1.7</v>
      </c>
      <c r="N1166" s="10" t="b">
        <v>0</v>
      </c>
      <c r="O1166" s="41"/>
      <c r="P1166" s="45">
        <f t="shared" si="128"/>
        <v>1256.22</v>
      </c>
      <c r="Q1166" s="45">
        <f t="shared" si="129"/>
        <v>1734.78</v>
      </c>
      <c r="R1166" s="45">
        <v>0</v>
      </c>
      <c r="S1166" s="45">
        <f t="shared" si="130"/>
        <v>0</v>
      </c>
      <c r="T1166" s="45">
        <f t="shared" si="131"/>
        <v>0</v>
      </c>
      <c r="U1166" s="47">
        <f t="shared" si="132"/>
        <v>1734.78</v>
      </c>
    </row>
    <row r="1167" spans="1:21" x14ac:dyDescent="0.3">
      <c r="A1167" s="41" t="str">
        <f t="shared" si="126"/>
        <v>PH&amp;MBO</v>
      </c>
      <c r="B1167" s="43">
        <v>45701</v>
      </c>
      <c r="C1167" s="10" t="s">
        <v>1209</v>
      </c>
      <c r="D1167" s="10" t="s">
        <v>37</v>
      </c>
      <c r="E1167" s="10" t="s">
        <v>26</v>
      </c>
      <c r="F1167" s="10" t="s">
        <v>11</v>
      </c>
      <c r="G1167" s="10" t="s">
        <v>46</v>
      </c>
      <c r="H1167" s="10" t="s">
        <v>56</v>
      </c>
      <c r="I1167" s="45">
        <v>2225</v>
      </c>
      <c r="J1167" s="11">
        <v>0.49399999999999999</v>
      </c>
      <c r="K1167" s="45">
        <f t="shared" si="127"/>
        <v>1125.8499999999999</v>
      </c>
      <c r="L1167" s="10">
        <v>46</v>
      </c>
      <c r="M1167" s="10">
        <v>3.5</v>
      </c>
      <c r="N1167" s="10" t="b">
        <v>0</v>
      </c>
      <c r="O1167" s="41"/>
      <c r="P1167" s="45">
        <f t="shared" si="128"/>
        <v>472.85699999999997</v>
      </c>
      <c r="Q1167" s="45">
        <f t="shared" si="129"/>
        <v>652.99299999999994</v>
      </c>
      <c r="R1167" s="45">
        <v>0</v>
      </c>
      <c r="S1167" s="45">
        <f t="shared" si="130"/>
        <v>0</v>
      </c>
      <c r="T1167" s="45">
        <f t="shared" si="131"/>
        <v>0</v>
      </c>
      <c r="U1167" s="47">
        <f t="shared" si="132"/>
        <v>652.99299999999994</v>
      </c>
    </row>
    <row r="1168" spans="1:21" x14ac:dyDescent="0.3">
      <c r="A1168" s="41" t="str">
        <f t="shared" si="126"/>
        <v>PMANBO</v>
      </c>
      <c r="B1168" s="43">
        <v>45701</v>
      </c>
      <c r="C1168" s="10" t="s">
        <v>1210</v>
      </c>
      <c r="D1168" s="10" t="s">
        <v>31</v>
      </c>
      <c r="E1168" s="10" t="s">
        <v>26</v>
      </c>
      <c r="F1168" s="10" t="s">
        <v>11</v>
      </c>
      <c r="G1168" s="10" t="s">
        <v>38</v>
      </c>
      <c r="H1168" s="10" t="s">
        <v>6</v>
      </c>
      <c r="I1168" s="45">
        <v>2757</v>
      </c>
      <c r="J1168" s="11">
        <v>0</v>
      </c>
      <c r="K1168" s="45">
        <f t="shared" si="127"/>
        <v>2757</v>
      </c>
      <c r="L1168" s="10">
        <v>38</v>
      </c>
      <c r="M1168" s="10">
        <v>1.9</v>
      </c>
      <c r="N1168" s="10" t="b">
        <v>0</v>
      </c>
      <c r="O1168" s="41"/>
      <c r="P1168" s="45">
        <f t="shared" si="128"/>
        <v>1157.94</v>
      </c>
      <c r="Q1168" s="45">
        <f t="shared" si="129"/>
        <v>1599.06</v>
      </c>
      <c r="R1168" s="45">
        <v>0</v>
      </c>
      <c r="S1168" s="45">
        <f t="shared" si="130"/>
        <v>0</v>
      </c>
      <c r="T1168" s="45">
        <f t="shared" si="131"/>
        <v>0</v>
      </c>
      <c r="U1168" s="47">
        <f t="shared" si="132"/>
        <v>1599.06</v>
      </c>
    </row>
    <row r="1169" spans="1:21" x14ac:dyDescent="0.3">
      <c r="A1169" s="41" t="str">
        <f t="shared" si="126"/>
        <v>PFORTO</v>
      </c>
      <c r="B1169" s="43">
        <v>45702</v>
      </c>
      <c r="C1169" s="10" t="s">
        <v>1211</v>
      </c>
      <c r="D1169" s="10" t="s">
        <v>65</v>
      </c>
      <c r="E1169" s="10" t="s">
        <v>9</v>
      </c>
      <c r="F1169" s="10" t="s">
        <v>23</v>
      </c>
      <c r="G1169" s="10" t="s">
        <v>7</v>
      </c>
      <c r="H1169" s="10" t="s">
        <v>32</v>
      </c>
      <c r="I1169" s="45">
        <v>1751</v>
      </c>
      <c r="J1169" s="11">
        <v>0.35700000000000004</v>
      </c>
      <c r="K1169" s="45">
        <f t="shared" si="127"/>
        <v>1125.893</v>
      </c>
      <c r="L1169" s="10">
        <v>11</v>
      </c>
      <c r="M1169" s="10">
        <v>3.1</v>
      </c>
      <c r="N1169" s="10" t="b">
        <v>1</v>
      </c>
      <c r="O1169" s="41" t="s">
        <v>33</v>
      </c>
      <c r="P1169" s="45">
        <f t="shared" si="128"/>
        <v>472.87506000000002</v>
      </c>
      <c r="Q1169" s="45">
        <f t="shared" si="129"/>
        <v>653.01793999999995</v>
      </c>
      <c r="R1169" s="45">
        <v>150</v>
      </c>
      <c r="S1169" s="45">
        <f t="shared" si="130"/>
        <v>112.58930000000001</v>
      </c>
      <c r="T1169" s="45">
        <f t="shared" si="131"/>
        <v>1125.893</v>
      </c>
      <c r="U1169" s="47">
        <f t="shared" si="132"/>
        <v>-735.46436000000006</v>
      </c>
    </row>
    <row r="1170" spans="1:21" x14ac:dyDescent="0.3">
      <c r="A1170" s="41" t="str">
        <f t="shared" si="126"/>
        <v>PUNIOU</v>
      </c>
      <c r="B1170" s="43">
        <v>45702</v>
      </c>
      <c r="C1170" s="10" t="s">
        <v>1212</v>
      </c>
      <c r="D1170" s="10" t="s">
        <v>10</v>
      </c>
      <c r="E1170" s="10" t="s">
        <v>2</v>
      </c>
      <c r="F1170" s="10" t="s">
        <v>11</v>
      </c>
      <c r="G1170" s="10" t="s">
        <v>38</v>
      </c>
      <c r="H1170" s="10" t="s">
        <v>28</v>
      </c>
      <c r="I1170" s="45">
        <v>3142</v>
      </c>
      <c r="J1170" s="11">
        <v>0.33600000000000002</v>
      </c>
      <c r="K1170" s="45">
        <f t="shared" si="127"/>
        <v>2086.2879999999996</v>
      </c>
      <c r="L1170" s="10">
        <v>42</v>
      </c>
      <c r="M1170" s="10">
        <v>2.9</v>
      </c>
      <c r="N1170" s="10" t="b">
        <v>1</v>
      </c>
      <c r="O1170" s="41" t="s">
        <v>33</v>
      </c>
      <c r="P1170" s="45">
        <f t="shared" si="128"/>
        <v>876.24095999999975</v>
      </c>
      <c r="Q1170" s="45">
        <f t="shared" si="129"/>
        <v>1210.0470399999999</v>
      </c>
      <c r="R1170" s="45">
        <v>150</v>
      </c>
      <c r="S1170" s="45">
        <f t="shared" si="130"/>
        <v>208.62879999999996</v>
      </c>
      <c r="T1170" s="45">
        <f t="shared" si="131"/>
        <v>2086.2879999999996</v>
      </c>
      <c r="U1170" s="47">
        <f t="shared" si="132"/>
        <v>-1234.8697599999996</v>
      </c>
    </row>
    <row r="1171" spans="1:21" x14ac:dyDescent="0.3">
      <c r="A1171" s="41" t="str">
        <f t="shared" si="126"/>
        <v>PZARBO</v>
      </c>
      <c r="B1171" s="43">
        <v>45702</v>
      </c>
      <c r="C1171" s="10" t="s">
        <v>1213</v>
      </c>
      <c r="D1171" s="10" t="s">
        <v>3</v>
      </c>
      <c r="E1171" s="10" t="s">
        <v>26</v>
      </c>
      <c r="F1171" s="10" t="s">
        <v>4</v>
      </c>
      <c r="G1171" s="10" t="s">
        <v>7</v>
      </c>
      <c r="H1171" s="10" t="s">
        <v>47</v>
      </c>
      <c r="I1171" s="45">
        <v>2885</v>
      </c>
      <c r="J1171" s="11">
        <v>0.41899999999999998</v>
      </c>
      <c r="K1171" s="45">
        <f t="shared" si="127"/>
        <v>1676.1849999999999</v>
      </c>
      <c r="L1171" s="10">
        <v>16</v>
      </c>
      <c r="M1171" s="10">
        <v>2.8</v>
      </c>
      <c r="N1171" s="10" t="b">
        <v>0</v>
      </c>
      <c r="O1171" s="41"/>
      <c r="P1171" s="45">
        <f t="shared" si="128"/>
        <v>703.9976999999999</v>
      </c>
      <c r="Q1171" s="45">
        <f t="shared" si="129"/>
        <v>972.18730000000005</v>
      </c>
      <c r="R1171" s="45">
        <v>0</v>
      </c>
      <c r="S1171" s="45">
        <f t="shared" si="130"/>
        <v>0</v>
      </c>
      <c r="T1171" s="45">
        <f t="shared" si="131"/>
        <v>0</v>
      </c>
      <c r="U1171" s="47">
        <f t="shared" si="132"/>
        <v>972.18730000000005</v>
      </c>
    </row>
    <row r="1172" spans="1:21" x14ac:dyDescent="0.3">
      <c r="A1172" s="41" t="str">
        <f t="shared" si="126"/>
        <v>PANNSH</v>
      </c>
      <c r="B1172" s="43">
        <v>45702</v>
      </c>
      <c r="C1172" s="10" t="s">
        <v>1214</v>
      </c>
      <c r="D1172" s="10" t="s">
        <v>42</v>
      </c>
      <c r="E1172" s="10" t="s">
        <v>18</v>
      </c>
      <c r="F1172" s="10" t="s">
        <v>54</v>
      </c>
      <c r="G1172" s="10" t="s">
        <v>5</v>
      </c>
      <c r="H1172" s="10" t="s">
        <v>6</v>
      </c>
      <c r="I1172" s="45">
        <v>4058</v>
      </c>
      <c r="J1172" s="11">
        <v>0.53500000000000003</v>
      </c>
      <c r="K1172" s="45">
        <f t="shared" si="127"/>
        <v>1886.9699999999998</v>
      </c>
      <c r="L1172" s="10">
        <v>1</v>
      </c>
      <c r="M1172" s="10">
        <v>4.0999999999999996</v>
      </c>
      <c r="N1172" s="10" t="b">
        <v>0</v>
      </c>
      <c r="O1172" s="41"/>
      <c r="P1172" s="45">
        <f t="shared" si="128"/>
        <v>792.52739999999994</v>
      </c>
      <c r="Q1172" s="45">
        <f t="shared" si="129"/>
        <v>1094.4425999999999</v>
      </c>
      <c r="R1172" s="45">
        <v>0</v>
      </c>
      <c r="S1172" s="45">
        <f t="shared" si="130"/>
        <v>0</v>
      </c>
      <c r="T1172" s="45">
        <f t="shared" si="131"/>
        <v>0</v>
      </c>
      <c r="U1172" s="47">
        <f t="shared" si="132"/>
        <v>1094.4425999999999</v>
      </c>
    </row>
    <row r="1173" spans="1:21" x14ac:dyDescent="0.3">
      <c r="A1173" s="41" t="str">
        <f t="shared" si="126"/>
        <v>PANNOU</v>
      </c>
      <c r="B1173" s="43">
        <v>45703</v>
      </c>
      <c r="C1173" s="10" t="s">
        <v>1215</v>
      </c>
      <c r="D1173" s="10" t="s">
        <v>42</v>
      </c>
      <c r="E1173" s="10" t="s">
        <v>2</v>
      </c>
      <c r="F1173" s="10" t="s">
        <v>4</v>
      </c>
      <c r="G1173" s="10" t="s">
        <v>46</v>
      </c>
      <c r="H1173" s="10" t="s">
        <v>56</v>
      </c>
      <c r="I1173" s="45">
        <v>4117</v>
      </c>
      <c r="J1173" s="11">
        <v>0.43700000000000006</v>
      </c>
      <c r="K1173" s="45">
        <f t="shared" si="127"/>
        <v>2317.8709999999996</v>
      </c>
      <c r="L1173" s="10">
        <v>41</v>
      </c>
      <c r="M1173" s="10">
        <v>4.8</v>
      </c>
      <c r="N1173" s="10" t="b">
        <v>1</v>
      </c>
      <c r="O1173" s="41" t="s">
        <v>33</v>
      </c>
      <c r="P1173" s="45">
        <f t="shared" si="128"/>
        <v>973.50581999999986</v>
      </c>
      <c r="Q1173" s="45">
        <f t="shared" si="129"/>
        <v>1344.3651799999998</v>
      </c>
      <c r="R1173" s="45">
        <v>150</v>
      </c>
      <c r="S1173" s="45">
        <f t="shared" si="130"/>
        <v>231.78709999999998</v>
      </c>
      <c r="T1173" s="45">
        <f t="shared" si="131"/>
        <v>2317.8709999999996</v>
      </c>
      <c r="U1173" s="47">
        <f t="shared" si="132"/>
        <v>-1355.2929199999999</v>
      </c>
    </row>
    <row r="1174" spans="1:21" x14ac:dyDescent="0.3">
      <c r="A1174" s="41" t="str">
        <f t="shared" si="126"/>
        <v>PBANSH</v>
      </c>
      <c r="B1174" s="43">
        <v>45703</v>
      </c>
      <c r="C1174" s="10" t="s">
        <v>1216</v>
      </c>
      <c r="D1174" s="10" t="s">
        <v>21</v>
      </c>
      <c r="E1174" s="10" t="s">
        <v>18</v>
      </c>
      <c r="F1174" s="10" t="s">
        <v>11</v>
      </c>
      <c r="G1174" s="10" t="s">
        <v>49</v>
      </c>
      <c r="H1174" s="10" t="s">
        <v>47</v>
      </c>
      <c r="I1174" s="45">
        <v>3335</v>
      </c>
      <c r="J1174" s="11">
        <v>0</v>
      </c>
      <c r="K1174" s="45">
        <f t="shared" si="127"/>
        <v>3335</v>
      </c>
      <c r="L1174" s="10">
        <v>15</v>
      </c>
      <c r="M1174" s="10">
        <v>2.4</v>
      </c>
      <c r="N1174" s="10" t="b">
        <v>0</v>
      </c>
      <c r="O1174" s="41"/>
      <c r="P1174" s="45">
        <f t="shared" si="128"/>
        <v>1400.7</v>
      </c>
      <c r="Q1174" s="45">
        <f t="shared" si="129"/>
        <v>1934.3</v>
      </c>
      <c r="R1174" s="45">
        <v>0</v>
      </c>
      <c r="S1174" s="45">
        <f t="shared" si="130"/>
        <v>0</v>
      </c>
      <c r="T1174" s="45">
        <f t="shared" si="131"/>
        <v>0</v>
      </c>
      <c r="U1174" s="47">
        <f t="shared" si="132"/>
        <v>1934.3</v>
      </c>
    </row>
    <row r="1175" spans="1:21" x14ac:dyDescent="0.3">
      <c r="A1175" s="41" t="str">
        <f t="shared" si="126"/>
        <v>PANNTO</v>
      </c>
      <c r="B1175" s="43">
        <v>45703</v>
      </c>
      <c r="C1175" s="10" t="s">
        <v>1217</v>
      </c>
      <c r="D1175" s="10" t="s">
        <v>42</v>
      </c>
      <c r="E1175" s="10" t="s">
        <v>9</v>
      </c>
      <c r="F1175" s="10" t="s">
        <v>4</v>
      </c>
      <c r="G1175" s="10" t="s">
        <v>5</v>
      </c>
      <c r="H1175" s="10" t="s">
        <v>56</v>
      </c>
      <c r="I1175" s="45">
        <v>1481</v>
      </c>
      <c r="J1175" s="11">
        <v>0.157</v>
      </c>
      <c r="K1175" s="45">
        <f t="shared" si="127"/>
        <v>1248.4829999999999</v>
      </c>
      <c r="L1175" s="10">
        <v>4</v>
      </c>
      <c r="M1175" s="10"/>
      <c r="N1175" s="10" t="b">
        <v>0</v>
      </c>
      <c r="O1175" s="41"/>
      <c r="P1175" s="45">
        <f t="shared" si="128"/>
        <v>524.36285999999996</v>
      </c>
      <c r="Q1175" s="45">
        <f t="shared" si="129"/>
        <v>724.12013999999999</v>
      </c>
      <c r="R1175" s="45">
        <v>0</v>
      </c>
      <c r="S1175" s="45">
        <f t="shared" si="130"/>
        <v>0</v>
      </c>
      <c r="T1175" s="45">
        <f t="shared" si="131"/>
        <v>0</v>
      </c>
      <c r="U1175" s="47">
        <f t="shared" si="132"/>
        <v>724.12013999999999</v>
      </c>
    </row>
    <row r="1176" spans="1:21" x14ac:dyDescent="0.3">
      <c r="A1176" s="41" t="str">
        <f t="shared" si="126"/>
        <v>PH&amp;MDR</v>
      </c>
      <c r="B1176" s="43">
        <v>45703</v>
      </c>
      <c r="C1176" s="10" t="s">
        <v>1218</v>
      </c>
      <c r="D1176" s="10" t="s">
        <v>37</v>
      </c>
      <c r="E1176" s="10" t="s">
        <v>30</v>
      </c>
      <c r="F1176" s="10" t="s">
        <v>54</v>
      </c>
      <c r="G1176" s="10" t="s">
        <v>12</v>
      </c>
      <c r="H1176" s="10" t="s">
        <v>32</v>
      </c>
      <c r="I1176" s="45">
        <v>2018</v>
      </c>
      <c r="J1176" s="11">
        <v>0</v>
      </c>
      <c r="K1176" s="45">
        <f t="shared" si="127"/>
        <v>2018</v>
      </c>
      <c r="L1176" s="10">
        <v>20</v>
      </c>
      <c r="M1176" s="10">
        <v>4.0999999999999996</v>
      </c>
      <c r="N1176" s="10" t="b">
        <v>0</v>
      </c>
      <c r="O1176" s="41"/>
      <c r="P1176" s="45">
        <f t="shared" si="128"/>
        <v>847.56</v>
      </c>
      <c r="Q1176" s="45">
        <f t="shared" si="129"/>
        <v>1170.44</v>
      </c>
      <c r="R1176" s="45">
        <v>0</v>
      </c>
      <c r="S1176" s="45">
        <f t="shared" si="130"/>
        <v>0</v>
      </c>
      <c r="T1176" s="45">
        <f t="shared" si="131"/>
        <v>0</v>
      </c>
      <c r="U1176" s="47">
        <f t="shared" si="132"/>
        <v>1170.44</v>
      </c>
    </row>
    <row r="1177" spans="1:21" x14ac:dyDescent="0.3">
      <c r="A1177" s="41" t="str">
        <f t="shared" si="126"/>
        <v>PFORSH</v>
      </c>
      <c r="B1177" s="43">
        <v>45704</v>
      </c>
      <c r="C1177" s="10" t="s">
        <v>1219</v>
      </c>
      <c r="D1177" s="10" t="s">
        <v>65</v>
      </c>
      <c r="E1177" s="10" t="s">
        <v>18</v>
      </c>
      <c r="F1177" s="10" t="s">
        <v>23</v>
      </c>
      <c r="G1177" s="10" t="s">
        <v>27</v>
      </c>
      <c r="H1177" s="10" t="s">
        <v>43</v>
      </c>
      <c r="I1177" s="45">
        <v>3482</v>
      </c>
      <c r="J1177" s="11">
        <v>0</v>
      </c>
      <c r="K1177" s="45">
        <f t="shared" si="127"/>
        <v>3482</v>
      </c>
      <c r="L1177" s="10">
        <v>28</v>
      </c>
      <c r="M1177" s="10"/>
      <c r="N1177" s="10" t="b">
        <v>0</v>
      </c>
      <c r="O1177" s="41"/>
      <c r="P1177" s="45">
        <f t="shared" si="128"/>
        <v>1462.44</v>
      </c>
      <c r="Q1177" s="45">
        <f t="shared" si="129"/>
        <v>2019.56</v>
      </c>
      <c r="R1177" s="45">
        <v>0</v>
      </c>
      <c r="S1177" s="45">
        <f t="shared" si="130"/>
        <v>0</v>
      </c>
      <c r="T1177" s="45">
        <f t="shared" si="131"/>
        <v>0</v>
      </c>
      <c r="U1177" s="47">
        <f t="shared" si="132"/>
        <v>2019.56</v>
      </c>
    </row>
    <row r="1178" spans="1:21" x14ac:dyDescent="0.3">
      <c r="A1178" s="41" t="str">
        <f t="shared" si="126"/>
        <v>PZARDR</v>
      </c>
      <c r="B1178" s="43">
        <v>45704</v>
      </c>
      <c r="C1178" s="10" t="s">
        <v>1220</v>
      </c>
      <c r="D1178" s="10" t="s">
        <v>3</v>
      </c>
      <c r="E1178" s="10" t="s">
        <v>30</v>
      </c>
      <c r="F1178" s="10" t="s">
        <v>11</v>
      </c>
      <c r="G1178" s="10" t="s">
        <v>5</v>
      </c>
      <c r="H1178" s="10" t="s">
        <v>35</v>
      </c>
      <c r="I1178" s="45">
        <v>2174</v>
      </c>
      <c r="J1178" s="11">
        <v>0</v>
      </c>
      <c r="K1178" s="45">
        <f t="shared" si="127"/>
        <v>2174</v>
      </c>
      <c r="L1178" s="10">
        <v>43</v>
      </c>
      <c r="M1178" s="10">
        <v>4.5999999999999996</v>
      </c>
      <c r="N1178" s="10" t="b">
        <v>0</v>
      </c>
      <c r="O1178" s="41"/>
      <c r="P1178" s="45">
        <f t="shared" si="128"/>
        <v>913.07999999999993</v>
      </c>
      <c r="Q1178" s="45">
        <f t="shared" si="129"/>
        <v>1260.92</v>
      </c>
      <c r="R1178" s="45">
        <v>0</v>
      </c>
      <c r="S1178" s="45">
        <f t="shared" si="130"/>
        <v>0</v>
      </c>
      <c r="T1178" s="45">
        <f t="shared" si="131"/>
        <v>0</v>
      </c>
      <c r="U1178" s="47">
        <f t="shared" si="132"/>
        <v>1260.92</v>
      </c>
    </row>
    <row r="1179" spans="1:21" x14ac:dyDescent="0.3">
      <c r="A1179" s="41" t="str">
        <f t="shared" si="126"/>
        <v>PBANDR</v>
      </c>
      <c r="B1179" s="43">
        <v>45704</v>
      </c>
      <c r="C1179" s="10" t="s">
        <v>1221</v>
      </c>
      <c r="D1179" s="10" t="s">
        <v>21</v>
      </c>
      <c r="E1179" s="10" t="s">
        <v>30</v>
      </c>
      <c r="F1179" s="10" t="s">
        <v>11</v>
      </c>
      <c r="G1179" s="10" t="s">
        <v>5</v>
      </c>
      <c r="H1179" s="10" t="s">
        <v>43</v>
      </c>
      <c r="I1179" s="45">
        <v>2192</v>
      </c>
      <c r="J1179" s="11">
        <v>0</v>
      </c>
      <c r="K1179" s="45">
        <f t="shared" si="127"/>
        <v>2192</v>
      </c>
      <c r="L1179" s="10">
        <v>36</v>
      </c>
      <c r="M1179" s="10">
        <v>1.9</v>
      </c>
      <c r="N1179" s="10" t="b">
        <v>0</v>
      </c>
      <c r="O1179" s="41"/>
      <c r="P1179" s="45">
        <f t="shared" si="128"/>
        <v>920.64</v>
      </c>
      <c r="Q1179" s="45">
        <f t="shared" si="129"/>
        <v>1271.3600000000001</v>
      </c>
      <c r="R1179" s="45">
        <v>0</v>
      </c>
      <c r="S1179" s="45">
        <f t="shared" si="130"/>
        <v>0</v>
      </c>
      <c r="T1179" s="45">
        <f t="shared" si="131"/>
        <v>0</v>
      </c>
      <c r="U1179" s="47">
        <f t="shared" si="132"/>
        <v>1271.3600000000001</v>
      </c>
    </row>
    <row r="1180" spans="1:21" x14ac:dyDescent="0.3">
      <c r="A1180" s="41" t="str">
        <f t="shared" si="126"/>
        <v>PZARDR</v>
      </c>
      <c r="B1180" s="43">
        <v>45705</v>
      </c>
      <c r="C1180" s="10" t="s">
        <v>1222</v>
      </c>
      <c r="D1180" s="10" t="s">
        <v>3</v>
      </c>
      <c r="E1180" s="10" t="s">
        <v>30</v>
      </c>
      <c r="F1180" s="10" t="s">
        <v>11</v>
      </c>
      <c r="G1180" s="10" t="s">
        <v>27</v>
      </c>
      <c r="H1180" s="10" t="s">
        <v>58</v>
      </c>
      <c r="I1180" s="45">
        <v>2410</v>
      </c>
      <c r="J1180" s="11">
        <v>0</v>
      </c>
      <c r="K1180" s="45">
        <f t="shared" si="127"/>
        <v>2410</v>
      </c>
      <c r="L1180" s="10">
        <v>0</v>
      </c>
      <c r="M1180" s="10">
        <v>3.5</v>
      </c>
      <c r="N1180" s="10" t="b">
        <v>1</v>
      </c>
      <c r="O1180" s="41" t="s">
        <v>33</v>
      </c>
      <c r="P1180" s="45">
        <f t="shared" si="128"/>
        <v>1012.1999999999999</v>
      </c>
      <c r="Q1180" s="45">
        <f t="shared" si="129"/>
        <v>1397.8000000000002</v>
      </c>
      <c r="R1180" s="45">
        <v>150</v>
      </c>
      <c r="S1180" s="45">
        <f t="shared" si="130"/>
        <v>241</v>
      </c>
      <c r="T1180" s="45">
        <f t="shared" si="131"/>
        <v>2410</v>
      </c>
      <c r="U1180" s="47">
        <f t="shared" si="132"/>
        <v>-1403.1999999999998</v>
      </c>
    </row>
    <row r="1181" spans="1:21" x14ac:dyDescent="0.3">
      <c r="A1181" s="41" t="str">
        <f t="shared" si="126"/>
        <v>PH&amp;MSH</v>
      </c>
      <c r="B1181" s="43">
        <v>45705</v>
      </c>
      <c r="C1181" s="10" t="s">
        <v>1223</v>
      </c>
      <c r="D1181" s="10" t="s">
        <v>37</v>
      </c>
      <c r="E1181" s="10" t="s">
        <v>18</v>
      </c>
      <c r="F1181" s="10" t="s">
        <v>23</v>
      </c>
      <c r="G1181" s="10" t="s">
        <v>5</v>
      </c>
      <c r="H1181" s="10" t="s">
        <v>88</v>
      </c>
      <c r="I1181" s="45">
        <v>4050</v>
      </c>
      <c r="J1181" s="11">
        <v>0</v>
      </c>
      <c r="K1181" s="45">
        <f t="shared" si="127"/>
        <v>4050</v>
      </c>
      <c r="L1181" s="10">
        <v>22</v>
      </c>
      <c r="M1181" s="10"/>
      <c r="N1181" s="10" t="b">
        <v>0</v>
      </c>
      <c r="O1181" s="41"/>
      <c r="P1181" s="45">
        <f t="shared" si="128"/>
        <v>1701</v>
      </c>
      <c r="Q1181" s="45">
        <f t="shared" si="129"/>
        <v>2349</v>
      </c>
      <c r="R1181" s="45">
        <v>0</v>
      </c>
      <c r="S1181" s="45">
        <f t="shared" si="130"/>
        <v>0</v>
      </c>
      <c r="T1181" s="45">
        <f t="shared" si="131"/>
        <v>0</v>
      </c>
      <c r="U1181" s="47">
        <f t="shared" si="132"/>
        <v>2349</v>
      </c>
    </row>
    <row r="1182" spans="1:21" x14ac:dyDescent="0.3">
      <c r="A1182" s="41" t="str">
        <f t="shared" si="126"/>
        <v>PGAPOU</v>
      </c>
      <c r="B1182" s="43">
        <v>45705</v>
      </c>
      <c r="C1182" s="10" t="s">
        <v>1224</v>
      </c>
      <c r="D1182" s="10" t="s">
        <v>53</v>
      </c>
      <c r="E1182" s="10" t="s">
        <v>2</v>
      </c>
      <c r="F1182" s="10" t="s">
        <v>54</v>
      </c>
      <c r="G1182" s="10" t="s">
        <v>46</v>
      </c>
      <c r="H1182" s="10" t="s">
        <v>56</v>
      </c>
      <c r="I1182" s="45">
        <v>3698</v>
      </c>
      <c r="J1182" s="11">
        <v>0</v>
      </c>
      <c r="K1182" s="45">
        <f t="shared" si="127"/>
        <v>3698</v>
      </c>
      <c r="L1182" s="10">
        <v>22</v>
      </c>
      <c r="M1182" s="10">
        <v>2.9</v>
      </c>
      <c r="N1182" s="10" t="b">
        <v>1</v>
      </c>
      <c r="O1182" s="41" t="s">
        <v>309</v>
      </c>
      <c r="P1182" s="45">
        <f t="shared" si="128"/>
        <v>1553.1599999999999</v>
      </c>
      <c r="Q1182" s="45">
        <f t="shared" si="129"/>
        <v>2144.84</v>
      </c>
      <c r="R1182" s="45">
        <v>150</v>
      </c>
      <c r="S1182" s="45">
        <f t="shared" si="130"/>
        <v>369.8</v>
      </c>
      <c r="T1182" s="45">
        <f t="shared" si="131"/>
        <v>3698</v>
      </c>
      <c r="U1182" s="47">
        <f t="shared" si="132"/>
        <v>-2072.96</v>
      </c>
    </row>
    <row r="1183" spans="1:21" x14ac:dyDescent="0.3">
      <c r="A1183" s="41" t="str">
        <f t="shared" si="126"/>
        <v>PFORAC</v>
      </c>
      <c r="B1183" s="43">
        <v>45705</v>
      </c>
      <c r="C1183" s="10" t="s">
        <v>1225</v>
      </c>
      <c r="D1183" s="10" t="s">
        <v>65</v>
      </c>
      <c r="E1183" s="10" t="s">
        <v>15</v>
      </c>
      <c r="F1183" s="10" t="s">
        <v>23</v>
      </c>
      <c r="G1183" s="10" t="s">
        <v>7</v>
      </c>
      <c r="H1183" s="10" t="s">
        <v>56</v>
      </c>
      <c r="I1183" s="45">
        <v>238</v>
      </c>
      <c r="J1183" s="11">
        <v>0</v>
      </c>
      <c r="K1183" s="45">
        <f t="shared" si="127"/>
        <v>238</v>
      </c>
      <c r="L1183" s="10">
        <v>36</v>
      </c>
      <c r="M1183" s="10">
        <v>1.7</v>
      </c>
      <c r="N1183" s="10" t="b">
        <v>0</v>
      </c>
      <c r="O1183" s="41"/>
      <c r="P1183" s="45">
        <f t="shared" si="128"/>
        <v>99.96</v>
      </c>
      <c r="Q1183" s="45">
        <f t="shared" si="129"/>
        <v>138.04000000000002</v>
      </c>
      <c r="R1183" s="45">
        <v>0</v>
      </c>
      <c r="S1183" s="45">
        <f t="shared" si="130"/>
        <v>0</v>
      </c>
      <c r="T1183" s="45">
        <f t="shared" si="131"/>
        <v>0</v>
      </c>
      <c r="U1183" s="47">
        <f t="shared" si="132"/>
        <v>138.04000000000002</v>
      </c>
    </row>
    <row r="1184" spans="1:21" x14ac:dyDescent="0.3">
      <c r="A1184" s="41" t="str">
        <f t="shared" si="126"/>
        <v>PFOROU</v>
      </c>
      <c r="B1184" s="43">
        <v>45706</v>
      </c>
      <c r="C1184" s="10" t="s">
        <v>1226</v>
      </c>
      <c r="D1184" s="10" t="s">
        <v>65</v>
      </c>
      <c r="E1184" s="10" t="s">
        <v>2</v>
      </c>
      <c r="F1184" s="10" t="s">
        <v>23</v>
      </c>
      <c r="G1184" s="10" t="s">
        <v>46</v>
      </c>
      <c r="H1184" s="10" t="s">
        <v>7</v>
      </c>
      <c r="I1184" s="45">
        <v>4485</v>
      </c>
      <c r="J1184" s="11">
        <v>0</v>
      </c>
      <c r="K1184" s="45">
        <f t="shared" si="127"/>
        <v>4485</v>
      </c>
      <c r="L1184" s="10">
        <v>31</v>
      </c>
      <c r="M1184" s="10">
        <v>1.3</v>
      </c>
      <c r="N1184" s="10" t="b">
        <v>0</v>
      </c>
      <c r="O1184" s="41"/>
      <c r="P1184" s="45">
        <f t="shared" si="128"/>
        <v>1883.6999999999998</v>
      </c>
      <c r="Q1184" s="45">
        <f t="shared" si="129"/>
        <v>2601.3000000000002</v>
      </c>
      <c r="R1184" s="45">
        <v>0</v>
      </c>
      <c r="S1184" s="45">
        <f t="shared" si="130"/>
        <v>0</v>
      </c>
      <c r="T1184" s="45">
        <f t="shared" si="131"/>
        <v>0</v>
      </c>
      <c r="U1184" s="47">
        <f t="shared" si="132"/>
        <v>2601.3000000000002</v>
      </c>
    </row>
    <row r="1185" spans="1:21" x14ac:dyDescent="0.3">
      <c r="A1185" s="41" t="str">
        <f t="shared" si="126"/>
        <v>PMANTO</v>
      </c>
      <c r="B1185" s="43">
        <v>45706</v>
      </c>
      <c r="C1185" s="10" t="s">
        <v>1227</v>
      </c>
      <c r="D1185" s="10" t="s">
        <v>31</v>
      </c>
      <c r="E1185" s="10" t="s">
        <v>9</v>
      </c>
      <c r="F1185" s="10" t="s">
        <v>23</v>
      </c>
      <c r="G1185" s="10" t="s">
        <v>46</v>
      </c>
      <c r="H1185" s="10" t="s">
        <v>43</v>
      </c>
      <c r="I1185" s="45">
        <v>1259</v>
      </c>
      <c r="J1185" s="11">
        <v>0.13900000000000001</v>
      </c>
      <c r="K1185" s="45">
        <f t="shared" si="127"/>
        <v>1083.999</v>
      </c>
      <c r="L1185" s="10">
        <v>37</v>
      </c>
      <c r="M1185" s="10"/>
      <c r="N1185" s="10" t="b">
        <v>0</v>
      </c>
      <c r="O1185" s="41"/>
      <c r="P1185" s="45">
        <f t="shared" si="128"/>
        <v>455.27958000000001</v>
      </c>
      <c r="Q1185" s="45">
        <f t="shared" si="129"/>
        <v>628.71942000000001</v>
      </c>
      <c r="R1185" s="45">
        <v>0</v>
      </c>
      <c r="S1185" s="45">
        <f t="shared" si="130"/>
        <v>0</v>
      </c>
      <c r="T1185" s="45">
        <f t="shared" si="131"/>
        <v>0</v>
      </c>
      <c r="U1185" s="47">
        <f t="shared" si="132"/>
        <v>628.71942000000001</v>
      </c>
    </row>
    <row r="1186" spans="1:21" x14ac:dyDescent="0.3">
      <c r="A1186" s="41" t="str">
        <f t="shared" si="126"/>
        <v>PMANBO</v>
      </c>
      <c r="B1186" s="43">
        <v>45706</v>
      </c>
      <c r="C1186" s="10" t="s">
        <v>1228</v>
      </c>
      <c r="D1186" s="10" t="s">
        <v>31</v>
      </c>
      <c r="E1186" s="10" t="s">
        <v>26</v>
      </c>
      <c r="F1186" s="10" t="s">
        <v>23</v>
      </c>
      <c r="G1186" s="10" t="s">
        <v>7</v>
      </c>
      <c r="H1186" s="10" t="s">
        <v>43</v>
      </c>
      <c r="I1186" s="45">
        <v>2562</v>
      </c>
      <c r="J1186" s="11">
        <v>0</v>
      </c>
      <c r="K1186" s="45">
        <f t="shared" si="127"/>
        <v>2562</v>
      </c>
      <c r="L1186" s="10">
        <v>39</v>
      </c>
      <c r="M1186" s="10">
        <v>2.2999999999999998</v>
      </c>
      <c r="N1186" s="10" t="b">
        <v>0</v>
      </c>
      <c r="O1186" s="41"/>
      <c r="P1186" s="45">
        <f t="shared" si="128"/>
        <v>1076.04</v>
      </c>
      <c r="Q1186" s="45">
        <f t="shared" si="129"/>
        <v>1485.96</v>
      </c>
      <c r="R1186" s="45">
        <v>0</v>
      </c>
      <c r="S1186" s="45">
        <f t="shared" si="130"/>
        <v>0</v>
      </c>
      <c r="T1186" s="45">
        <f t="shared" si="131"/>
        <v>0</v>
      </c>
      <c r="U1186" s="47">
        <f t="shared" si="132"/>
        <v>1485.96</v>
      </c>
    </row>
    <row r="1187" spans="1:21" x14ac:dyDescent="0.3">
      <c r="A1187" s="41" t="str">
        <f t="shared" si="126"/>
        <v>PUNIAC</v>
      </c>
      <c r="B1187" s="43">
        <v>45706</v>
      </c>
      <c r="C1187" s="10" t="s">
        <v>1229</v>
      </c>
      <c r="D1187" s="10" t="s">
        <v>10</v>
      </c>
      <c r="E1187" s="10" t="s">
        <v>15</v>
      </c>
      <c r="F1187" s="10" t="s">
        <v>4</v>
      </c>
      <c r="G1187" s="10" t="s">
        <v>7</v>
      </c>
      <c r="H1187" s="10" t="s">
        <v>47</v>
      </c>
      <c r="I1187" s="45">
        <v>264</v>
      </c>
      <c r="J1187" s="11">
        <v>0.26200000000000001</v>
      </c>
      <c r="K1187" s="45">
        <f t="shared" si="127"/>
        <v>194.83199999999999</v>
      </c>
      <c r="L1187" s="10">
        <v>23</v>
      </c>
      <c r="M1187" s="10">
        <v>1.7</v>
      </c>
      <c r="N1187" s="10" t="b">
        <v>0</v>
      </c>
      <c r="O1187" s="41"/>
      <c r="P1187" s="45">
        <f t="shared" si="128"/>
        <v>81.829439999999991</v>
      </c>
      <c r="Q1187" s="45">
        <f t="shared" si="129"/>
        <v>113.00256</v>
      </c>
      <c r="R1187" s="45">
        <v>0</v>
      </c>
      <c r="S1187" s="45">
        <f t="shared" si="130"/>
        <v>0</v>
      </c>
      <c r="T1187" s="45">
        <f t="shared" si="131"/>
        <v>0</v>
      </c>
      <c r="U1187" s="47">
        <f t="shared" si="132"/>
        <v>113.00256</v>
      </c>
    </row>
    <row r="1188" spans="1:21" x14ac:dyDescent="0.3">
      <c r="A1188" s="41" t="str">
        <f t="shared" si="126"/>
        <v>PANNOU</v>
      </c>
      <c r="B1188" s="43">
        <v>45707</v>
      </c>
      <c r="C1188" s="10" t="s">
        <v>1230</v>
      </c>
      <c r="D1188" s="10" t="s">
        <v>42</v>
      </c>
      <c r="E1188" s="10" t="s">
        <v>2</v>
      </c>
      <c r="F1188" s="10" t="s">
        <v>4</v>
      </c>
      <c r="G1188" s="10" t="s">
        <v>12</v>
      </c>
      <c r="H1188" s="10" t="s">
        <v>43</v>
      </c>
      <c r="I1188" s="45">
        <v>3905</v>
      </c>
      <c r="J1188" s="11">
        <v>0</v>
      </c>
      <c r="K1188" s="45">
        <f t="shared" si="127"/>
        <v>3905</v>
      </c>
      <c r="L1188" s="10">
        <v>40</v>
      </c>
      <c r="M1188" s="10">
        <v>1.5</v>
      </c>
      <c r="N1188" s="10" t="b">
        <v>1</v>
      </c>
      <c r="O1188" s="41" t="s">
        <v>44</v>
      </c>
      <c r="P1188" s="45">
        <f t="shared" si="128"/>
        <v>1640.1</v>
      </c>
      <c r="Q1188" s="45">
        <f t="shared" si="129"/>
        <v>2264.9</v>
      </c>
      <c r="R1188" s="45">
        <v>150</v>
      </c>
      <c r="S1188" s="45">
        <f t="shared" si="130"/>
        <v>390.5</v>
      </c>
      <c r="T1188" s="45">
        <f t="shared" si="131"/>
        <v>3905</v>
      </c>
      <c r="U1188" s="47">
        <f t="shared" si="132"/>
        <v>-2180.6</v>
      </c>
    </row>
    <row r="1189" spans="1:21" x14ac:dyDescent="0.3">
      <c r="A1189" s="41" t="str">
        <f t="shared" si="126"/>
        <v>PBANAC</v>
      </c>
      <c r="B1189" s="43">
        <v>45707</v>
      </c>
      <c r="C1189" s="10" t="s">
        <v>1231</v>
      </c>
      <c r="D1189" s="10" t="s">
        <v>21</v>
      </c>
      <c r="E1189" s="10" t="s">
        <v>15</v>
      </c>
      <c r="F1189" s="10" t="s">
        <v>23</v>
      </c>
      <c r="G1189" s="10" t="s">
        <v>7</v>
      </c>
      <c r="H1189" s="10" t="s">
        <v>6</v>
      </c>
      <c r="I1189" s="45">
        <v>453</v>
      </c>
      <c r="J1189" s="11">
        <v>0.16800000000000001</v>
      </c>
      <c r="K1189" s="45">
        <f t="shared" si="127"/>
        <v>376.89599999999996</v>
      </c>
      <c r="L1189" s="10">
        <v>47</v>
      </c>
      <c r="M1189" s="10">
        <v>1.2</v>
      </c>
      <c r="N1189" s="10" t="b">
        <v>1</v>
      </c>
      <c r="O1189" s="41" t="s">
        <v>33</v>
      </c>
      <c r="P1189" s="45">
        <f t="shared" si="128"/>
        <v>158.29631999999998</v>
      </c>
      <c r="Q1189" s="45">
        <f t="shared" si="129"/>
        <v>218.59967999999998</v>
      </c>
      <c r="R1189" s="45">
        <v>150</v>
      </c>
      <c r="S1189" s="45">
        <f t="shared" si="130"/>
        <v>37.689599999999999</v>
      </c>
      <c r="T1189" s="45">
        <f t="shared" si="131"/>
        <v>376.89599999999996</v>
      </c>
      <c r="U1189" s="47">
        <f t="shared" si="132"/>
        <v>-345.98591999999996</v>
      </c>
    </row>
    <row r="1190" spans="1:21" x14ac:dyDescent="0.3">
      <c r="A1190" s="41" t="str">
        <f t="shared" si="126"/>
        <v>PBANSH</v>
      </c>
      <c r="B1190" s="43">
        <v>45707</v>
      </c>
      <c r="C1190" s="10" t="s">
        <v>1232</v>
      </c>
      <c r="D1190" s="10" t="s">
        <v>21</v>
      </c>
      <c r="E1190" s="10" t="s">
        <v>18</v>
      </c>
      <c r="F1190" s="10" t="s">
        <v>11</v>
      </c>
      <c r="G1190" s="10" t="s">
        <v>7</v>
      </c>
      <c r="H1190" s="10" t="s">
        <v>28</v>
      </c>
      <c r="I1190" s="45">
        <v>3539</v>
      </c>
      <c r="J1190" s="11">
        <v>0.42700000000000005</v>
      </c>
      <c r="K1190" s="45">
        <f t="shared" si="127"/>
        <v>2027.8469999999998</v>
      </c>
      <c r="L1190" s="10">
        <v>1</v>
      </c>
      <c r="M1190" s="10">
        <v>3.1</v>
      </c>
      <c r="N1190" s="10" t="b">
        <v>0</v>
      </c>
      <c r="O1190" s="41"/>
      <c r="P1190" s="45">
        <f t="shared" si="128"/>
        <v>851.69573999999989</v>
      </c>
      <c r="Q1190" s="45">
        <f t="shared" si="129"/>
        <v>1176.1512599999999</v>
      </c>
      <c r="R1190" s="45">
        <v>0</v>
      </c>
      <c r="S1190" s="45">
        <f t="shared" si="130"/>
        <v>0</v>
      </c>
      <c r="T1190" s="45">
        <f t="shared" si="131"/>
        <v>0</v>
      </c>
      <c r="U1190" s="47">
        <f t="shared" si="132"/>
        <v>1176.1512599999999</v>
      </c>
    </row>
    <row r="1191" spans="1:21" x14ac:dyDescent="0.3">
      <c r="A1191" s="41" t="str">
        <f t="shared" si="126"/>
        <v>PH&amp;MTO</v>
      </c>
      <c r="B1191" s="43">
        <v>45707</v>
      </c>
      <c r="C1191" s="10" t="s">
        <v>1233</v>
      </c>
      <c r="D1191" s="10" t="s">
        <v>37</v>
      </c>
      <c r="E1191" s="10" t="s">
        <v>9</v>
      </c>
      <c r="F1191" s="10" t="s">
        <v>4</v>
      </c>
      <c r="G1191" s="10" t="s">
        <v>27</v>
      </c>
      <c r="H1191" s="10" t="s">
        <v>16</v>
      </c>
      <c r="I1191" s="45">
        <v>1003</v>
      </c>
      <c r="J1191" s="11">
        <v>0.20899999999999999</v>
      </c>
      <c r="K1191" s="45">
        <f t="shared" si="127"/>
        <v>793.37300000000005</v>
      </c>
      <c r="L1191" s="10">
        <v>33</v>
      </c>
      <c r="M1191" s="10">
        <v>1.3</v>
      </c>
      <c r="N1191" s="10" t="b">
        <v>0</v>
      </c>
      <c r="O1191" s="41"/>
      <c r="P1191" s="45">
        <f t="shared" si="128"/>
        <v>333.21665999999999</v>
      </c>
      <c r="Q1191" s="45">
        <f t="shared" si="129"/>
        <v>460.15634000000006</v>
      </c>
      <c r="R1191" s="45">
        <v>0</v>
      </c>
      <c r="S1191" s="45">
        <f t="shared" si="130"/>
        <v>0</v>
      </c>
      <c r="T1191" s="45">
        <f t="shared" si="131"/>
        <v>0</v>
      </c>
      <c r="U1191" s="47">
        <f t="shared" si="132"/>
        <v>460.15634000000006</v>
      </c>
    </row>
    <row r="1192" spans="1:21" x14ac:dyDescent="0.3">
      <c r="A1192" s="41" t="str">
        <f t="shared" si="126"/>
        <v>PUNIOU</v>
      </c>
      <c r="B1192" s="43">
        <v>45708</v>
      </c>
      <c r="C1192" s="10" t="s">
        <v>1234</v>
      </c>
      <c r="D1192" s="10" t="s">
        <v>10</v>
      </c>
      <c r="E1192" s="10" t="s">
        <v>2</v>
      </c>
      <c r="F1192" s="10" t="s">
        <v>23</v>
      </c>
      <c r="G1192" s="10" t="s">
        <v>38</v>
      </c>
      <c r="H1192" s="10" t="s">
        <v>28</v>
      </c>
      <c r="I1192" s="45">
        <v>3707</v>
      </c>
      <c r="J1192" s="11">
        <v>0.24299999999999999</v>
      </c>
      <c r="K1192" s="45">
        <f t="shared" si="127"/>
        <v>2806.1990000000001</v>
      </c>
      <c r="L1192" s="10">
        <v>26</v>
      </c>
      <c r="M1192" s="10"/>
      <c r="N1192" s="10" t="b">
        <v>1</v>
      </c>
      <c r="O1192" s="41" t="s">
        <v>33</v>
      </c>
      <c r="P1192" s="45">
        <f t="shared" si="128"/>
        <v>1178.60358</v>
      </c>
      <c r="Q1192" s="45">
        <f t="shared" si="129"/>
        <v>1627.5954200000001</v>
      </c>
      <c r="R1192" s="45">
        <v>150</v>
      </c>
      <c r="S1192" s="45">
        <f t="shared" si="130"/>
        <v>280.61990000000003</v>
      </c>
      <c r="T1192" s="45">
        <f t="shared" si="131"/>
        <v>2806.1990000000001</v>
      </c>
      <c r="U1192" s="47">
        <f t="shared" si="132"/>
        <v>-1609.2234800000001</v>
      </c>
    </row>
    <row r="1193" spans="1:21" x14ac:dyDescent="0.3">
      <c r="A1193" s="41" t="str">
        <f t="shared" si="126"/>
        <v>PH&amp;MSH</v>
      </c>
      <c r="B1193" s="43">
        <v>45708</v>
      </c>
      <c r="C1193" s="10" t="s">
        <v>1235</v>
      </c>
      <c r="D1193" s="10" t="s">
        <v>37</v>
      </c>
      <c r="E1193" s="10" t="s">
        <v>18</v>
      </c>
      <c r="F1193" s="10" t="s">
        <v>4</v>
      </c>
      <c r="G1193" s="10" t="s">
        <v>46</v>
      </c>
      <c r="H1193" s="10" t="s">
        <v>35</v>
      </c>
      <c r="I1193" s="45">
        <v>3233</v>
      </c>
      <c r="J1193" s="11">
        <v>0.58599999999999997</v>
      </c>
      <c r="K1193" s="45">
        <f t="shared" si="127"/>
        <v>1338.4620000000002</v>
      </c>
      <c r="L1193" s="10">
        <v>44</v>
      </c>
      <c r="M1193" s="10">
        <v>1.2</v>
      </c>
      <c r="N1193" s="10" t="b">
        <v>1</v>
      </c>
      <c r="O1193" s="41" t="s">
        <v>33</v>
      </c>
      <c r="P1193" s="45">
        <f t="shared" si="128"/>
        <v>562.15404000000012</v>
      </c>
      <c r="Q1193" s="45">
        <f t="shared" si="129"/>
        <v>776.30796000000009</v>
      </c>
      <c r="R1193" s="45">
        <v>150</v>
      </c>
      <c r="S1193" s="45">
        <f t="shared" si="130"/>
        <v>133.84620000000004</v>
      </c>
      <c r="T1193" s="45">
        <f t="shared" si="131"/>
        <v>1338.4620000000002</v>
      </c>
      <c r="U1193" s="47">
        <f t="shared" si="132"/>
        <v>-846.00024000000019</v>
      </c>
    </row>
    <row r="1194" spans="1:21" x14ac:dyDescent="0.3">
      <c r="A1194" s="41" t="str">
        <f t="shared" si="126"/>
        <v>PMANOU</v>
      </c>
      <c r="B1194" s="43">
        <v>45708</v>
      </c>
      <c r="C1194" s="10" t="s">
        <v>1236</v>
      </c>
      <c r="D1194" s="10" t="s">
        <v>31</v>
      </c>
      <c r="E1194" s="10" t="s">
        <v>2</v>
      </c>
      <c r="F1194" s="10" t="s">
        <v>11</v>
      </c>
      <c r="G1194" s="10" t="s">
        <v>38</v>
      </c>
      <c r="H1194" s="10" t="s">
        <v>88</v>
      </c>
      <c r="I1194" s="45">
        <v>3165</v>
      </c>
      <c r="J1194" s="11">
        <v>0.52600000000000002</v>
      </c>
      <c r="K1194" s="45">
        <f t="shared" si="127"/>
        <v>1500.21</v>
      </c>
      <c r="L1194" s="10">
        <v>43</v>
      </c>
      <c r="M1194" s="10">
        <v>2.4</v>
      </c>
      <c r="N1194" s="10" t="b">
        <v>0</v>
      </c>
      <c r="O1194" s="41"/>
      <c r="P1194" s="45">
        <f t="shared" si="128"/>
        <v>630.08820000000003</v>
      </c>
      <c r="Q1194" s="45">
        <f t="shared" si="129"/>
        <v>870.12180000000001</v>
      </c>
      <c r="R1194" s="45">
        <v>0</v>
      </c>
      <c r="S1194" s="45">
        <f t="shared" si="130"/>
        <v>0</v>
      </c>
      <c r="T1194" s="45">
        <f t="shared" si="131"/>
        <v>0</v>
      </c>
      <c r="U1194" s="47">
        <f t="shared" si="132"/>
        <v>870.12180000000001</v>
      </c>
    </row>
    <row r="1195" spans="1:21" x14ac:dyDescent="0.3">
      <c r="A1195" s="41" t="str">
        <f t="shared" si="126"/>
        <v>PH&amp;MSH</v>
      </c>
      <c r="B1195" s="43">
        <v>45708</v>
      </c>
      <c r="C1195" s="10" t="s">
        <v>1237</v>
      </c>
      <c r="D1195" s="10" t="s">
        <v>37</v>
      </c>
      <c r="E1195" s="10" t="s">
        <v>18</v>
      </c>
      <c r="F1195" s="10" t="s">
        <v>4</v>
      </c>
      <c r="G1195" s="10" t="s">
        <v>12</v>
      </c>
      <c r="H1195" s="10" t="s">
        <v>47</v>
      </c>
      <c r="I1195" s="45">
        <v>4418</v>
      </c>
      <c r="J1195" s="11">
        <v>8.3000000000000004E-2</v>
      </c>
      <c r="K1195" s="45">
        <f t="shared" si="127"/>
        <v>4051.306</v>
      </c>
      <c r="L1195" s="10">
        <v>48</v>
      </c>
      <c r="M1195" s="10">
        <v>2.9</v>
      </c>
      <c r="N1195" s="10" t="b">
        <v>0</v>
      </c>
      <c r="O1195" s="41"/>
      <c r="P1195" s="45">
        <f t="shared" si="128"/>
        <v>1701.5485200000001</v>
      </c>
      <c r="Q1195" s="45">
        <f t="shared" si="129"/>
        <v>2349.7574800000002</v>
      </c>
      <c r="R1195" s="45">
        <v>0</v>
      </c>
      <c r="S1195" s="45">
        <f t="shared" si="130"/>
        <v>0</v>
      </c>
      <c r="T1195" s="45">
        <f t="shared" si="131"/>
        <v>0</v>
      </c>
      <c r="U1195" s="47">
        <f t="shared" si="132"/>
        <v>2349.7574800000002</v>
      </c>
    </row>
    <row r="1196" spans="1:21" x14ac:dyDescent="0.3">
      <c r="A1196" s="41" t="str">
        <f t="shared" si="126"/>
        <v>PZAROU</v>
      </c>
      <c r="B1196" s="43">
        <v>45709</v>
      </c>
      <c r="C1196" s="10" t="s">
        <v>1238</v>
      </c>
      <c r="D1196" s="10" t="s">
        <v>3</v>
      </c>
      <c r="E1196" s="10" t="s">
        <v>2</v>
      </c>
      <c r="F1196" s="10" t="s">
        <v>11</v>
      </c>
      <c r="G1196" s="10" t="s">
        <v>5</v>
      </c>
      <c r="H1196" s="10" t="s">
        <v>28</v>
      </c>
      <c r="I1196" s="45">
        <v>4469</v>
      </c>
      <c r="J1196" s="11">
        <v>0</v>
      </c>
      <c r="K1196" s="45">
        <f t="shared" si="127"/>
        <v>4469</v>
      </c>
      <c r="L1196" s="10">
        <v>15</v>
      </c>
      <c r="M1196" s="10">
        <v>2.7</v>
      </c>
      <c r="N1196" s="10" t="b">
        <v>0</v>
      </c>
      <c r="O1196" s="41"/>
      <c r="P1196" s="45">
        <f t="shared" si="128"/>
        <v>1876.98</v>
      </c>
      <c r="Q1196" s="45">
        <f t="shared" si="129"/>
        <v>2592.02</v>
      </c>
      <c r="R1196" s="45">
        <v>0</v>
      </c>
      <c r="S1196" s="45">
        <f t="shared" si="130"/>
        <v>0</v>
      </c>
      <c r="T1196" s="45">
        <f t="shared" si="131"/>
        <v>0</v>
      </c>
      <c r="U1196" s="47">
        <f t="shared" si="132"/>
        <v>2592.02</v>
      </c>
    </row>
    <row r="1197" spans="1:21" x14ac:dyDescent="0.3">
      <c r="A1197" s="41" t="str">
        <f t="shared" si="126"/>
        <v>PZARDR</v>
      </c>
      <c r="B1197" s="43">
        <v>45709</v>
      </c>
      <c r="C1197" s="10" t="s">
        <v>1239</v>
      </c>
      <c r="D1197" s="10" t="s">
        <v>3</v>
      </c>
      <c r="E1197" s="10" t="s">
        <v>30</v>
      </c>
      <c r="F1197" s="10" t="s">
        <v>4</v>
      </c>
      <c r="G1197" s="10" t="s">
        <v>12</v>
      </c>
      <c r="H1197" s="10" t="s">
        <v>7</v>
      </c>
      <c r="I1197" s="45">
        <v>2567</v>
      </c>
      <c r="J1197" s="11">
        <v>0</v>
      </c>
      <c r="K1197" s="45">
        <f t="shared" si="127"/>
        <v>2567</v>
      </c>
      <c r="L1197" s="10">
        <v>3</v>
      </c>
      <c r="M1197" s="10"/>
      <c r="N1197" s="10" t="b">
        <v>0</v>
      </c>
      <c r="O1197" s="41"/>
      <c r="P1197" s="45">
        <f t="shared" si="128"/>
        <v>1078.1399999999999</v>
      </c>
      <c r="Q1197" s="45">
        <f t="shared" si="129"/>
        <v>1488.8600000000001</v>
      </c>
      <c r="R1197" s="45">
        <v>0</v>
      </c>
      <c r="S1197" s="45">
        <f t="shared" si="130"/>
        <v>0</v>
      </c>
      <c r="T1197" s="45">
        <f t="shared" si="131"/>
        <v>0</v>
      </c>
      <c r="U1197" s="47">
        <f t="shared" si="132"/>
        <v>1488.8600000000001</v>
      </c>
    </row>
    <row r="1198" spans="1:21" x14ac:dyDescent="0.3">
      <c r="A1198" s="41" t="str">
        <f t="shared" si="126"/>
        <v>PZARAC</v>
      </c>
      <c r="B1198" s="43">
        <v>45709</v>
      </c>
      <c r="C1198" s="10" t="s">
        <v>1240</v>
      </c>
      <c r="D1198" s="10" t="s">
        <v>3</v>
      </c>
      <c r="E1198" s="10" t="s">
        <v>15</v>
      </c>
      <c r="F1198" s="10" t="s">
        <v>11</v>
      </c>
      <c r="G1198" s="10" t="s">
        <v>7</v>
      </c>
      <c r="H1198" s="10" t="s">
        <v>35</v>
      </c>
      <c r="I1198" s="45">
        <v>315</v>
      </c>
      <c r="J1198" s="11">
        <v>0</v>
      </c>
      <c r="K1198" s="45">
        <f t="shared" si="127"/>
        <v>315</v>
      </c>
      <c r="L1198" s="10">
        <v>3</v>
      </c>
      <c r="M1198" s="10">
        <v>1.9</v>
      </c>
      <c r="N1198" s="10" t="b">
        <v>0</v>
      </c>
      <c r="O1198" s="41"/>
      <c r="P1198" s="45">
        <f t="shared" si="128"/>
        <v>132.29999999999998</v>
      </c>
      <c r="Q1198" s="45">
        <f t="shared" si="129"/>
        <v>182.70000000000002</v>
      </c>
      <c r="R1198" s="45">
        <v>0</v>
      </c>
      <c r="S1198" s="45">
        <f t="shared" si="130"/>
        <v>0</v>
      </c>
      <c r="T1198" s="45">
        <f t="shared" si="131"/>
        <v>0</v>
      </c>
      <c r="U1198" s="47">
        <f t="shared" si="132"/>
        <v>182.70000000000002</v>
      </c>
    </row>
    <row r="1199" spans="1:21" x14ac:dyDescent="0.3">
      <c r="A1199" s="41" t="str">
        <f t="shared" si="126"/>
        <v>PGAPDR</v>
      </c>
      <c r="B1199" s="43">
        <v>45710</v>
      </c>
      <c r="C1199" s="10" t="s">
        <v>1241</v>
      </c>
      <c r="D1199" s="10" t="s">
        <v>53</v>
      </c>
      <c r="E1199" s="10" t="s">
        <v>30</v>
      </c>
      <c r="F1199" s="10" t="s">
        <v>54</v>
      </c>
      <c r="G1199" s="10" t="s">
        <v>27</v>
      </c>
      <c r="H1199" s="10" t="s">
        <v>88</v>
      </c>
      <c r="I1199" s="45">
        <v>1988</v>
      </c>
      <c r="J1199" s="11">
        <v>0.45899999999999996</v>
      </c>
      <c r="K1199" s="45">
        <f t="shared" si="127"/>
        <v>1075.508</v>
      </c>
      <c r="L1199" s="10">
        <v>44</v>
      </c>
      <c r="M1199" s="10">
        <v>1.5</v>
      </c>
      <c r="N1199" s="10" t="b">
        <v>1</v>
      </c>
      <c r="O1199" s="41" t="s">
        <v>80</v>
      </c>
      <c r="P1199" s="45">
        <f t="shared" si="128"/>
        <v>451.71336000000002</v>
      </c>
      <c r="Q1199" s="45">
        <f t="shared" si="129"/>
        <v>623.79464000000007</v>
      </c>
      <c r="R1199" s="45">
        <v>150</v>
      </c>
      <c r="S1199" s="45">
        <f t="shared" si="130"/>
        <v>107.55080000000001</v>
      </c>
      <c r="T1199" s="45">
        <f t="shared" si="131"/>
        <v>1075.508</v>
      </c>
      <c r="U1199" s="47">
        <f t="shared" si="132"/>
        <v>-709.26415999999995</v>
      </c>
    </row>
    <row r="1200" spans="1:21" x14ac:dyDescent="0.3">
      <c r="A1200" s="41" t="str">
        <f t="shared" si="126"/>
        <v>PANNTO</v>
      </c>
      <c r="B1200" s="43">
        <v>45710</v>
      </c>
      <c r="C1200" s="10" t="s">
        <v>1242</v>
      </c>
      <c r="D1200" s="10" t="s">
        <v>42</v>
      </c>
      <c r="E1200" s="10" t="s">
        <v>9</v>
      </c>
      <c r="F1200" s="10" t="s">
        <v>23</v>
      </c>
      <c r="G1200" s="10" t="s">
        <v>49</v>
      </c>
      <c r="H1200" s="10" t="s">
        <v>6</v>
      </c>
      <c r="I1200" s="45">
        <v>1707</v>
      </c>
      <c r="J1200" s="11">
        <v>0</v>
      </c>
      <c r="K1200" s="45">
        <f t="shared" si="127"/>
        <v>1707</v>
      </c>
      <c r="L1200" s="10">
        <v>47</v>
      </c>
      <c r="M1200" s="10">
        <v>1.4</v>
      </c>
      <c r="N1200" s="10" t="b">
        <v>0</v>
      </c>
      <c r="O1200" s="41"/>
      <c r="P1200" s="45">
        <f t="shared" si="128"/>
        <v>716.93999999999994</v>
      </c>
      <c r="Q1200" s="45">
        <f t="shared" si="129"/>
        <v>990.06000000000006</v>
      </c>
      <c r="R1200" s="45">
        <v>0</v>
      </c>
      <c r="S1200" s="45">
        <f t="shared" si="130"/>
        <v>0</v>
      </c>
      <c r="T1200" s="45">
        <f t="shared" si="131"/>
        <v>0</v>
      </c>
      <c r="U1200" s="47">
        <f t="shared" si="132"/>
        <v>990.06000000000006</v>
      </c>
    </row>
    <row r="1201" spans="1:21" x14ac:dyDescent="0.3">
      <c r="A1201" s="41" t="str">
        <f t="shared" si="126"/>
        <v>PFORTO</v>
      </c>
      <c r="B1201" s="43">
        <v>45710</v>
      </c>
      <c r="C1201" s="10" t="s">
        <v>1243</v>
      </c>
      <c r="D1201" s="10" t="s">
        <v>65</v>
      </c>
      <c r="E1201" s="10" t="s">
        <v>9</v>
      </c>
      <c r="F1201" s="10" t="s">
        <v>11</v>
      </c>
      <c r="G1201" s="10" t="s">
        <v>38</v>
      </c>
      <c r="H1201" s="10" t="s">
        <v>88</v>
      </c>
      <c r="I1201" s="45">
        <v>1050</v>
      </c>
      <c r="J1201" s="11">
        <v>0</v>
      </c>
      <c r="K1201" s="45">
        <f t="shared" si="127"/>
        <v>1050</v>
      </c>
      <c r="L1201" s="10">
        <v>7</v>
      </c>
      <c r="M1201" s="10">
        <v>2.5</v>
      </c>
      <c r="N1201" s="10" t="b">
        <v>0</v>
      </c>
      <c r="O1201" s="41"/>
      <c r="P1201" s="45">
        <f t="shared" si="128"/>
        <v>441</v>
      </c>
      <c r="Q1201" s="45">
        <f t="shared" si="129"/>
        <v>609</v>
      </c>
      <c r="R1201" s="45">
        <v>0</v>
      </c>
      <c r="S1201" s="45">
        <f t="shared" si="130"/>
        <v>0</v>
      </c>
      <c r="T1201" s="45">
        <f t="shared" si="131"/>
        <v>0</v>
      </c>
      <c r="U1201" s="47">
        <f t="shared" si="132"/>
        <v>609</v>
      </c>
    </row>
    <row r="1202" spans="1:21" x14ac:dyDescent="0.3">
      <c r="A1202" s="41" t="str">
        <f t="shared" si="126"/>
        <v>PMANSH</v>
      </c>
      <c r="B1202" s="43">
        <v>45710</v>
      </c>
      <c r="C1202" s="10" t="s">
        <v>1244</v>
      </c>
      <c r="D1202" s="10" t="s">
        <v>31</v>
      </c>
      <c r="E1202" s="10" t="s">
        <v>18</v>
      </c>
      <c r="F1202" s="10" t="s">
        <v>54</v>
      </c>
      <c r="G1202" s="10" t="s">
        <v>49</v>
      </c>
      <c r="H1202" s="10" t="s">
        <v>6</v>
      </c>
      <c r="I1202" s="45">
        <v>3512</v>
      </c>
      <c r="J1202" s="11">
        <v>9.6000000000000002E-2</v>
      </c>
      <c r="K1202" s="45">
        <f t="shared" si="127"/>
        <v>3174.848</v>
      </c>
      <c r="L1202" s="10">
        <v>28</v>
      </c>
      <c r="M1202" s="10">
        <v>4</v>
      </c>
      <c r="N1202" s="10" t="b">
        <v>0</v>
      </c>
      <c r="O1202" s="41"/>
      <c r="P1202" s="45">
        <f t="shared" si="128"/>
        <v>1333.43616</v>
      </c>
      <c r="Q1202" s="45">
        <f t="shared" si="129"/>
        <v>1841.41184</v>
      </c>
      <c r="R1202" s="45">
        <v>0</v>
      </c>
      <c r="S1202" s="45">
        <f t="shared" si="130"/>
        <v>0</v>
      </c>
      <c r="T1202" s="45">
        <f t="shared" si="131"/>
        <v>0</v>
      </c>
      <c r="U1202" s="47">
        <f t="shared" si="132"/>
        <v>1841.41184</v>
      </c>
    </row>
    <row r="1203" spans="1:21" x14ac:dyDescent="0.3">
      <c r="A1203" s="41" t="str">
        <f t="shared" si="126"/>
        <v>PUNIAC</v>
      </c>
      <c r="B1203" s="43">
        <v>45711</v>
      </c>
      <c r="C1203" s="10" t="s">
        <v>1245</v>
      </c>
      <c r="D1203" s="10" t="s">
        <v>10</v>
      </c>
      <c r="E1203" s="10" t="s">
        <v>15</v>
      </c>
      <c r="F1203" s="10" t="s">
        <v>4</v>
      </c>
      <c r="G1203" s="10" t="s">
        <v>7</v>
      </c>
      <c r="H1203" s="10" t="s">
        <v>35</v>
      </c>
      <c r="I1203" s="45">
        <v>431</v>
      </c>
      <c r="J1203" s="11">
        <v>0.14099999999999999</v>
      </c>
      <c r="K1203" s="45">
        <f t="shared" si="127"/>
        <v>370.22899999999998</v>
      </c>
      <c r="L1203" s="10">
        <v>29</v>
      </c>
      <c r="M1203" s="10"/>
      <c r="N1203" s="10" t="b">
        <v>1</v>
      </c>
      <c r="O1203" s="41" t="s">
        <v>44</v>
      </c>
      <c r="P1203" s="45">
        <f t="shared" si="128"/>
        <v>155.49617999999998</v>
      </c>
      <c r="Q1203" s="45">
        <f t="shared" si="129"/>
        <v>214.73282</v>
      </c>
      <c r="R1203" s="45">
        <v>150</v>
      </c>
      <c r="S1203" s="45">
        <f t="shared" si="130"/>
        <v>37.0229</v>
      </c>
      <c r="T1203" s="45">
        <f t="shared" si="131"/>
        <v>370.22899999999998</v>
      </c>
      <c r="U1203" s="47">
        <f t="shared" si="132"/>
        <v>-342.51907999999997</v>
      </c>
    </row>
    <row r="1204" spans="1:21" x14ac:dyDescent="0.3">
      <c r="A1204" s="41" t="str">
        <f t="shared" si="126"/>
        <v>PBANOU</v>
      </c>
      <c r="B1204" s="43">
        <v>45711</v>
      </c>
      <c r="C1204" s="10" t="s">
        <v>1246</v>
      </c>
      <c r="D1204" s="10" t="s">
        <v>21</v>
      </c>
      <c r="E1204" s="10" t="s">
        <v>2</v>
      </c>
      <c r="F1204" s="10" t="s">
        <v>23</v>
      </c>
      <c r="G1204" s="10" t="s">
        <v>5</v>
      </c>
      <c r="H1204" s="10" t="s">
        <v>88</v>
      </c>
      <c r="I1204" s="45">
        <v>3360</v>
      </c>
      <c r="J1204" s="11">
        <v>0</v>
      </c>
      <c r="K1204" s="45">
        <f t="shared" si="127"/>
        <v>3360</v>
      </c>
      <c r="L1204" s="10">
        <v>8</v>
      </c>
      <c r="M1204" s="10">
        <v>2.8</v>
      </c>
      <c r="N1204" s="10" t="b">
        <v>0</v>
      </c>
      <c r="O1204" s="41"/>
      <c r="P1204" s="45">
        <f t="shared" si="128"/>
        <v>1411.2</v>
      </c>
      <c r="Q1204" s="45">
        <f t="shared" si="129"/>
        <v>1948.8</v>
      </c>
      <c r="R1204" s="45">
        <v>0</v>
      </c>
      <c r="S1204" s="45">
        <f t="shared" si="130"/>
        <v>0</v>
      </c>
      <c r="T1204" s="45">
        <f t="shared" si="131"/>
        <v>0</v>
      </c>
      <c r="U1204" s="47">
        <f t="shared" si="132"/>
        <v>1948.8</v>
      </c>
    </row>
    <row r="1205" spans="1:21" x14ac:dyDescent="0.3">
      <c r="A1205" s="41" t="str">
        <f t="shared" si="126"/>
        <v>PH&amp;MOU</v>
      </c>
      <c r="B1205" s="43">
        <v>45711</v>
      </c>
      <c r="C1205" s="10" t="s">
        <v>1247</v>
      </c>
      <c r="D1205" s="10" t="s">
        <v>37</v>
      </c>
      <c r="E1205" s="10" t="s">
        <v>2</v>
      </c>
      <c r="F1205" s="10" t="s">
        <v>54</v>
      </c>
      <c r="G1205" s="10" t="s">
        <v>46</v>
      </c>
      <c r="H1205" s="10" t="s">
        <v>88</v>
      </c>
      <c r="I1205" s="45">
        <v>3062</v>
      </c>
      <c r="J1205" s="11">
        <v>0.56799999999999995</v>
      </c>
      <c r="K1205" s="45">
        <f t="shared" si="127"/>
        <v>1322.7840000000001</v>
      </c>
      <c r="L1205" s="10">
        <v>23</v>
      </c>
      <c r="M1205" s="10">
        <v>2.9</v>
      </c>
      <c r="N1205" s="10" t="b">
        <v>0</v>
      </c>
      <c r="O1205" s="41"/>
      <c r="P1205" s="45">
        <f t="shared" si="128"/>
        <v>555.56928000000005</v>
      </c>
      <c r="Q1205" s="45">
        <f t="shared" si="129"/>
        <v>767.21472000000006</v>
      </c>
      <c r="R1205" s="45">
        <v>0</v>
      </c>
      <c r="S1205" s="45">
        <f t="shared" si="130"/>
        <v>0</v>
      </c>
      <c r="T1205" s="45">
        <f t="shared" si="131"/>
        <v>0</v>
      </c>
      <c r="U1205" s="47">
        <f t="shared" si="132"/>
        <v>767.21472000000006</v>
      </c>
    </row>
    <row r="1206" spans="1:21" x14ac:dyDescent="0.3">
      <c r="A1206" s="41" t="str">
        <f t="shared" si="126"/>
        <v>PANNSH</v>
      </c>
      <c r="B1206" s="43">
        <v>45711</v>
      </c>
      <c r="C1206" s="10" t="s">
        <v>1248</v>
      </c>
      <c r="D1206" s="10" t="s">
        <v>42</v>
      </c>
      <c r="E1206" s="10" t="s">
        <v>18</v>
      </c>
      <c r="F1206" s="10" t="s">
        <v>4</v>
      </c>
      <c r="G1206" s="10" t="s">
        <v>46</v>
      </c>
      <c r="H1206" s="10" t="s">
        <v>58</v>
      </c>
      <c r="I1206" s="45">
        <v>3592</v>
      </c>
      <c r="J1206" s="11">
        <v>0</v>
      </c>
      <c r="K1206" s="45">
        <f t="shared" si="127"/>
        <v>3592</v>
      </c>
      <c r="L1206" s="10">
        <v>32</v>
      </c>
      <c r="M1206" s="10">
        <v>1.8</v>
      </c>
      <c r="N1206" s="10" t="b">
        <v>1</v>
      </c>
      <c r="O1206" s="41" t="s">
        <v>24</v>
      </c>
      <c r="P1206" s="45">
        <f t="shared" si="128"/>
        <v>1508.6399999999999</v>
      </c>
      <c r="Q1206" s="45">
        <f t="shared" si="129"/>
        <v>2083.36</v>
      </c>
      <c r="R1206" s="45">
        <v>150</v>
      </c>
      <c r="S1206" s="45">
        <f t="shared" si="130"/>
        <v>359.20000000000005</v>
      </c>
      <c r="T1206" s="45">
        <f t="shared" si="131"/>
        <v>3592</v>
      </c>
      <c r="U1206" s="47">
        <f t="shared" si="132"/>
        <v>-2017.84</v>
      </c>
    </row>
    <row r="1207" spans="1:21" x14ac:dyDescent="0.3">
      <c r="A1207" s="41" t="str">
        <f t="shared" si="126"/>
        <v>PGAPTO</v>
      </c>
      <c r="B1207" s="43">
        <v>45712</v>
      </c>
      <c r="C1207" s="10" t="s">
        <v>1249</v>
      </c>
      <c r="D1207" s="10" t="s">
        <v>53</v>
      </c>
      <c r="E1207" s="10" t="s">
        <v>9</v>
      </c>
      <c r="F1207" s="10" t="s">
        <v>23</v>
      </c>
      <c r="G1207" s="10" t="s">
        <v>46</v>
      </c>
      <c r="H1207" s="10" t="s">
        <v>28</v>
      </c>
      <c r="I1207" s="45">
        <v>1638</v>
      </c>
      <c r="J1207" s="11">
        <v>0</v>
      </c>
      <c r="K1207" s="45">
        <f t="shared" si="127"/>
        <v>1638</v>
      </c>
      <c r="L1207" s="10">
        <v>50</v>
      </c>
      <c r="M1207" s="10">
        <v>3.4</v>
      </c>
      <c r="N1207" s="10" t="b">
        <v>0</v>
      </c>
      <c r="O1207" s="41"/>
      <c r="P1207" s="45">
        <f t="shared" si="128"/>
        <v>687.95999999999992</v>
      </c>
      <c r="Q1207" s="45">
        <f t="shared" si="129"/>
        <v>950.04000000000008</v>
      </c>
      <c r="R1207" s="45">
        <v>0</v>
      </c>
      <c r="S1207" s="45">
        <f t="shared" si="130"/>
        <v>0</v>
      </c>
      <c r="T1207" s="45">
        <f t="shared" si="131"/>
        <v>0</v>
      </c>
      <c r="U1207" s="47">
        <f t="shared" si="132"/>
        <v>950.04000000000008</v>
      </c>
    </row>
    <row r="1208" spans="1:21" x14ac:dyDescent="0.3">
      <c r="A1208" s="41" t="str">
        <f t="shared" si="126"/>
        <v>PH&amp;MAC</v>
      </c>
      <c r="B1208" s="43">
        <v>45712</v>
      </c>
      <c r="C1208" s="10" t="s">
        <v>1250</v>
      </c>
      <c r="D1208" s="10" t="s">
        <v>37</v>
      </c>
      <c r="E1208" s="10" t="s">
        <v>15</v>
      </c>
      <c r="F1208" s="10" t="s">
        <v>11</v>
      </c>
      <c r="G1208" s="10" t="s">
        <v>7</v>
      </c>
      <c r="H1208" s="10" t="s">
        <v>56</v>
      </c>
      <c r="I1208" s="45">
        <v>235</v>
      </c>
      <c r="J1208" s="11">
        <v>0.24600000000000002</v>
      </c>
      <c r="K1208" s="45">
        <f t="shared" si="127"/>
        <v>177.19</v>
      </c>
      <c r="L1208" s="10">
        <v>33</v>
      </c>
      <c r="M1208" s="10">
        <v>3.5</v>
      </c>
      <c r="N1208" s="10" t="b">
        <v>1</v>
      </c>
      <c r="O1208" s="41" t="s">
        <v>50</v>
      </c>
      <c r="P1208" s="45">
        <f t="shared" si="128"/>
        <v>74.419799999999995</v>
      </c>
      <c r="Q1208" s="45">
        <f t="shared" si="129"/>
        <v>102.7702</v>
      </c>
      <c r="R1208" s="45">
        <v>150</v>
      </c>
      <c r="S1208" s="45">
        <f t="shared" si="130"/>
        <v>17.719000000000001</v>
      </c>
      <c r="T1208" s="45">
        <f t="shared" si="131"/>
        <v>177.19</v>
      </c>
      <c r="U1208" s="47">
        <f t="shared" si="132"/>
        <v>-242.1388</v>
      </c>
    </row>
    <row r="1209" spans="1:21" x14ac:dyDescent="0.3">
      <c r="A1209" s="41" t="str">
        <f t="shared" si="126"/>
        <v>PMANAC</v>
      </c>
      <c r="B1209" s="43">
        <v>45712</v>
      </c>
      <c r="C1209" s="10" t="s">
        <v>1251</v>
      </c>
      <c r="D1209" s="10" t="s">
        <v>31</v>
      </c>
      <c r="E1209" s="10" t="s">
        <v>15</v>
      </c>
      <c r="F1209" s="10" t="s">
        <v>54</v>
      </c>
      <c r="G1209" s="10" t="s">
        <v>7</v>
      </c>
      <c r="H1209" s="10" t="s">
        <v>56</v>
      </c>
      <c r="I1209" s="45">
        <v>272</v>
      </c>
      <c r="J1209" s="11">
        <v>0.42200000000000004</v>
      </c>
      <c r="K1209" s="45">
        <f t="shared" si="127"/>
        <v>157.21599999999998</v>
      </c>
      <c r="L1209" s="10">
        <v>26</v>
      </c>
      <c r="M1209" s="10">
        <v>1.3</v>
      </c>
      <c r="N1209" s="10" t="b">
        <v>0</v>
      </c>
      <c r="O1209" s="41"/>
      <c r="P1209" s="45">
        <f t="shared" si="128"/>
        <v>66.030719999999988</v>
      </c>
      <c r="Q1209" s="45">
        <f t="shared" si="129"/>
        <v>91.185279999999992</v>
      </c>
      <c r="R1209" s="45">
        <v>0</v>
      </c>
      <c r="S1209" s="45">
        <f t="shared" si="130"/>
        <v>0</v>
      </c>
      <c r="T1209" s="45">
        <f t="shared" si="131"/>
        <v>0</v>
      </c>
      <c r="U1209" s="47">
        <f t="shared" si="132"/>
        <v>91.185279999999992</v>
      </c>
    </row>
    <row r="1210" spans="1:21" x14ac:dyDescent="0.3">
      <c r="A1210" s="41" t="str">
        <f t="shared" si="126"/>
        <v>PZARAC</v>
      </c>
      <c r="B1210" s="43">
        <v>45712</v>
      </c>
      <c r="C1210" s="10" t="s">
        <v>1252</v>
      </c>
      <c r="D1210" s="10" t="s">
        <v>3</v>
      </c>
      <c r="E1210" s="10" t="s">
        <v>15</v>
      </c>
      <c r="F1210" s="10" t="s">
        <v>4</v>
      </c>
      <c r="G1210" s="10" t="s">
        <v>7</v>
      </c>
      <c r="H1210" s="10" t="s">
        <v>32</v>
      </c>
      <c r="I1210" s="45">
        <v>354</v>
      </c>
      <c r="J1210" s="11">
        <v>0</v>
      </c>
      <c r="K1210" s="45">
        <f t="shared" si="127"/>
        <v>354</v>
      </c>
      <c r="L1210" s="10">
        <v>7</v>
      </c>
      <c r="M1210" s="10">
        <v>4.0999999999999996</v>
      </c>
      <c r="N1210" s="10" t="b">
        <v>0</v>
      </c>
      <c r="O1210" s="41"/>
      <c r="P1210" s="45">
        <f t="shared" si="128"/>
        <v>148.68</v>
      </c>
      <c r="Q1210" s="45">
        <f t="shared" si="129"/>
        <v>205.32</v>
      </c>
      <c r="R1210" s="45">
        <v>0</v>
      </c>
      <c r="S1210" s="45">
        <f t="shared" si="130"/>
        <v>0</v>
      </c>
      <c r="T1210" s="45">
        <f t="shared" si="131"/>
        <v>0</v>
      </c>
      <c r="U1210" s="47">
        <f t="shared" si="132"/>
        <v>205.32</v>
      </c>
    </row>
    <row r="1211" spans="1:21" x14ac:dyDescent="0.3">
      <c r="A1211" s="41" t="str">
        <f t="shared" si="126"/>
        <v>PH&amp;MOU</v>
      </c>
      <c r="B1211" s="43">
        <v>45712</v>
      </c>
      <c r="C1211" s="10" t="s">
        <v>1253</v>
      </c>
      <c r="D1211" s="10" t="s">
        <v>37</v>
      </c>
      <c r="E1211" s="10" t="s">
        <v>2</v>
      </c>
      <c r="F1211" s="10" t="s">
        <v>4</v>
      </c>
      <c r="G1211" s="10" t="s">
        <v>49</v>
      </c>
      <c r="H1211" s="10" t="s">
        <v>58</v>
      </c>
      <c r="I1211" s="45">
        <v>3561</v>
      </c>
      <c r="J1211" s="11">
        <v>0</v>
      </c>
      <c r="K1211" s="45">
        <f t="shared" si="127"/>
        <v>3561</v>
      </c>
      <c r="L1211" s="10">
        <v>20</v>
      </c>
      <c r="M1211" s="10">
        <v>2</v>
      </c>
      <c r="N1211" s="10" t="b">
        <v>0</v>
      </c>
      <c r="O1211" s="41"/>
      <c r="P1211" s="45">
        <f t="shared" si="128"/>
        <v>1495.62</v>
      </c>
      <c r="Q1211" s="45">
        <f t="shared" si="129"/>
        <v>2065.38</v>
      </c>
      <c r="R1211" s="45">
        <v>0</v>
      </c>
      <c r="S1211" s="45">
        <f t="shared" si="130"/>
        <v>0</v>
      </c>
      <c r="T1211" s="45">
        <f t="shared" si="131"/>
        <v>0</v>
      </c>
      <c r="U1211" s="47">
        <f t="shared" si="132"/>
        <v>2065.38</v>
      </c>
    </row>
    <row r="1212" spans="1:21" x14ac:dyDescent="0.3">
      <c r="A1212" s="41" t="str">
        <f t="shared" si="126"/>
        <v>PFORSH</v>
      </c>
      <c r="B1212" s="43">
        <v>45713</v>
      </c>
      <c r="C1212" s="10" t="s">
        <v>1254</v>
      </c>
      <c r="D1212" s="10" t="s">
        <v>65</v>
      </c>
      <c r="E1212" s="10" t="s">
        <v>18</v>
      </c>
      <c r="F1212" s="10" t="s">
        <v>54</v>
      </c>
      <c r="G1212" s="10" t="s">
        <v>12</v>
      </c>
      <c r="H1212" s="10" t="s">
        <v>88</v>
      </c>
      <c r="I1212" s="45">
        <v>3917</v>
      </c>
      <c r="J1212" s="11">
        <v>0</v>
      </c>
      <c r="K1212" s="45">
        <f t="shared" si="127"/>
        <v>3917</v>
      </c>
      <c r="L1212" s="10">
        <v>44</v>
      </c>
      <c r="M1212" s="10">
        <v>1.3</v>
      </c>
      <c r="N1212" s="10" t="b">
        <v>1</v>
      </c>
      <c r="O1212" s="41" t="s">
        <v>44</v>
      </c>
      <c r="P1212" s="45">
        <f t="shared" si="128"/>
        <v>1645.1399999999999</v>
      </c>
      <c r="Q1212" s="45">
        <f t="shared" si="129"/>
        <v>2271.86</v>
      </c>
      <c r="R1212" s="45">
        <v>150</v>
      </c>
      <c r="S1212" s="45">
        <f t="shared" si="130"/>
        <v>391.70000000000005</v>
      </c>
      <c r="T1212" s="45">
        <f t="shared" si="131"/>
        <v>3917</v>
      </c>
      <c r="U1212" s="47">
        <f t="shared" si="132"/>
        <v>-2186.84</v>
      </c>
    </row>
    <row r="1213" spans="1:21" x14ac:dyDescent="0.3">
      <c r="A1213" s="41" t="str">
        <f t="shared" si="126"/>
        <v>PANNSH</v>
      </c>
      <c r="B1213" s="43">
        <v>45713</v>
      </c>
      <c r="C1213" s="10" t="s">
        <v>1255</v>
      </c>
      <c r="D1213" s="10" t="s">
        <v>42</v>
      </c>
      <c r="E1213" s="10" t="s">
        <v>18</v>
      </c>
      <c r="F1213" s="10" t="s">
        <v>54</v>
      </c>
      <c r="G1213" s="10" t="s">
        <v>38</v>
      </c>
      <c r="H1213" s="10" t="s">
        <v>47</v>
      </c>
      <c r="I1213" s="45">
        <v>3343</v>
      </c>
      <c r="J1213" s="11">
        <v>0</v>
      </c>
      <c r="K1213" s="45">
        <f t="shared" si="127"/>
        <v>3343</v>
      </c>
      <c r="L1213" s="10">
        <v>0</v>
      </c>
      <c r="M1213" s="10">
        <v>3.4</v>
      </c>
      <c r="N1213" s="10" t="b">
        <v>0</v>
      </c>
      <c r="O1213" s="41"/>
      <c r="P1213" s="45">
        <f t="shared" si="128"/>
        <v>1404.06</v>
      </c>
      <c r="Q1213" s="45">
        <f t="shared" si="129"/>
        <v>1938.94</v>
      </c>
      <c r="R1213" s="45">
        <v>0</v>
      </c>
      <c r="S1213" s="45">
        <f t="shared" si="130"/>
        <v>0</v>
      </c>
      <c r="T1213" s="45">
        <f t="shared" si="131"/>
        <v>0</v>
      </c>
      <c r="U1213" s="47">
        <f t="shared" si="132"/>
        <v>1938.94</v>
      </c>
    </row>
    <row r="1214" spans="1:21" x14ac:dyDescent="0.3">
      <c r="A1214" s="41" t="str">
        <f t="shared" si="126"/>
        <v>PH&amp;MBO</v>
      </c>
      <c r="B1214" s="43">
        <v>45713</v>
      </c>
      <c r="C1214" s="10" t="s">
        <v>1256</v>
      </c>
      <c r="D1214" s="10" t="s">
        <v>37</v>
      </c>
      <c r="E1214" s="10" t="s">
        <v>26</v>
      </c>
      <c r="F1214" s="10" t="s">
        <v>23</v>
      </c>
      <c r="G1214" s="10" t="s">
        <v>7</v>
      </c>
      <c r="H1214" s="10" t="s">
        <v>88</v>
      </c>
      <c r="I1214" s="45">
        <v>2617</v>
      </c>
      <c r="J1214" s="11">
        <v>0</v>
      </c>
      <c r="K1214" s="45">
        <f t="shared" si="127"/>
        <v>2617</v>
      </c>
      <c r="L1214" s="10">
        <v>12</v>
      </c>
      <c r="M1214" s="10"/>
      <c r="N1214" s="10" t="b">
        <v>0</v>
      </c>
      <c r="O1214" s="41"/>
      <c r="P1214" s="45">
        <f t="shared" si="128"/>
        <v>1099.1399999999999</v>
      </c>
      <c r="Q1214" s="45">
        <f t="shared" si="129"/>
        <v>1517.8600000000001</v>
      </c>
      <c r="R1214" s="45">
        <v>0</v>
      </c>
      <c r="S1214" s="45">
        <f t="shared" si="130"/>
        <v>0</v>
      </c>
      <c r="T1214" s="45">
        <f t="shared" si="131"/>
        <v>0</v>
      </c>
      <c r="U1214" s="47">
        <f t="shared" si="132"/>
        <v>1517.8600000000001</v>
      </c>
    </row>
    <row r="1215" spans="1:21" x14ac:dyDescent="0.3">
      <c r="A1215" s="41" t="str">
        <f t="shared" si="126"/>
        <v>PFORBO</v>
      </c>
      <c r="B1215" s="43">
        <v>45714</v>
      </c>
      <c r="C1215" s="10" t="s">
        <v>1257</v>
      </c>
      <c r="D1215" s="10" t="s">
        <v>65</v>
      </c>
      <c r="E1215" s="10" t="s">
        <v>26</v>
      </c>
      <c r="F1215" s="10" t="s">
        <v>11</v>
      </c>
      <c r="G1215" s="10" t="s">
        <v>46</v>
      </c>
      <c r="H1215" s="10" t="s">
        <v>6</v>
      </c>
      <c r="I1215" s="45">
        <v>2352</v>
      </c>
      <c r="J1215" s="11">
        <v>0.23</v>
      </c>
      <c r="K1215" s="45">
        <f t="shared" si="127"/>
        <v>1811.04</v>
      </c>
      <c r="L1215" s="10">
        <v>24</v>
      </c>
      <c r="M1215" s="10">
        <v>1.1000000000000001</v>
      </c>
      <c r="N1215" s="10" t="b">
        <v>0</v>
      </c>
      <c r="O1215" s="41"/>
      <c r="P1215" s="45">
        <f t="shared" si="128"/>
        <v>760.63679999999999</v>
      </c>
      <c r="Q1215" s="45">
        <f t="shared" si="129"/>
        <v>1050.4032</v>
      </c>
      <c r="R1215" s="45">
        <v>0</v>
      </c>
      <c r="S1215" s="45">
        <f t="shared" si="130"/>
        <v>0</v>
      </c>
      <c r="T1215" s="45">
        <f t="shared" si="131"/>
        <v>0</v>
      </c>
      <c r="U1215" s="47">
        <f t="shared" si="132"/>
        <v>1050.4032</v>
      </c>
    </row>
    <row r="1216" spans="1:21" x14ac:dyDescent="0.3">
      <c r="A1216" s="41" t="str">
        <f t="shared" si="126"/>
        <v>PBANTO</v>
      </c>
      <c r="B1216" s="43">
        <v>45714</v>
      </c>
      <c r="C1216" s="10" t="s">
        <v>1258</v>
      </c>
      <c r="D1216" s="10" t="s">
        <v>21</v>
      </c>
      <c r="E1216" s="10" t="s">
        <v>9</v>
      </c>
      <c r="F1216" s="10" t="s">
        <v>11</v>
      </c>
      <c r="G1216" s="10" t="s">
        <v>27</v>
      </c>
      <c r="H1216" s="10" t="s">
        <v>58</v>
      </c>
      <c r="I1216" s="45">
        <v>1022</v>
      </c>
      <c r="J1216" s="11">
        <v>0</v>
      </c>
      <c r="K1216" s="45">
        <f t="shared" si="127"/>
        <v>1022</v>
      </c>
      <c r="L1216" s="10">
        <v>6</v>
      </c>
      <c r="M1216" s="10">
        <v>1.8</v>
      </c>
      <c r="N1216" s="10" t="b">
        <v>0</v>
      </c>
      <c r="O1216" s="41"/>
      <c r="P1216" s="45">
        <f t="shared" si="128"/>
        <v>429.24</v>
      </c>
      <c r="Q1216" s="45">
        <f t="shared" si="129"/>
        <v>592.76</v>
      </c>
      <c r="R1216" s="45">
        <v>0</v>
      </c>
      <c r="S1216" s="45">
        <f t="shared" si="130"/>
        <v>0</v>
      </c>
      <c r="T1216" s="45">
        <f t="shared" si="131"/>
        <v>0</v>
      </c>
      <c r="U1216" s="47">
        <f t="shared" si="132"/>
        <v>592.76</v>
      </c>
    </row>
    <row r="1217" spans="1:21" x14ac:dyDescent="0.3">
      <c r="A1217" s="41" t="str">
        <f t="shared" si="126"/>
        <v>PFORSH</v>
      </c>
      <c r="B1217" s="43">
        <v>45714</v>
      </c>
      <c r="C1217" s="10" t="s">
        <v>1259</v>
      </c>
      <c r="D1217" s="10" t="s">
        <v>65</v>
      </c>
      <c r="E1217" s="10" t="s">
        <v>18</v>
      </c>
      <c r="F1217" s="10" t="s">
        <v>11</v>
      </c>
      <c r="G1217" s="10" t="s">
        <v>7</v>
      </c>
      <c r="H1217" s="10" t="s">
        <v>56</v>
      </c>
      <c r="I1217" s="45">
        <v>3902</v>
      </c>
      <c r="J1217" s="11">
        <v>0.47499999999999998</v>
      </c>
      <c r="K1217" s="45">
        <f t="shared" si="127"/>
        <v>2048.5500000000002</v>
      </c>
      <c r="L1217" s="10">
        <v>8</v>
      </c>
      <c r="M1217" s="10">
        <v>1.1000000000000001</v>
      </c>
      <c r="N1217" s="10" t="b">
        <v>0</v>
      </c>
      <c r="O1217" s="41"/>
      <c r="P1217" s="45">
        <f t="shared" si="128"/>
        <v>860.39100000000008</v>
      </c>
      <c r="Q1217" s="45">
        <f t="shared" si="129"/>
        <v>1188.1590000000001</v>
      </c>
      <c r="R1217" s="45">
        <v>0</v>
      </c>
      <c r="S1217" s="45">
        <f t="shared" si="130"/>
        <v>0</v>
      </c>
      <c r="T1217" s="45">
        <f t="shared" si="131"/>
        <v>0</v>
      </c>
      <c r="U1217" s="47">
        <f t="shared" si="132"/>
        <v>1188.1590000000001</v>
      </c>
    </row>
    <row r="1218" spans="1:21" x14ac:dyDescent="0.3">
      <c r="A1218" s="41" t="str">
        <f t="shared" ref="A1218:A1281" si="133">UPPER("P"&amp;LEFT(D1218,3)&amp;LEFT(E1218,2))</f>
        <v>PZARAC</v>
      </c>
      <c r="B1218" s="43">
        <v>45714</v>
      </c>
      <c r="C1218" s="10" t="s">
        <v>1260</v>
      </c>
      <c r="D1218" s="10" t="s">
        <v>3</v>
      </c>
      <c r="E1218" s="10" t="s">
        <v>15</v>
      </c>
      <c r="F1218" s="10" t="s">
        <v>4</v>
      </c>
      <c r="G1218" s="10" t="s">
        <v>7</v>
      </c>
      <c r="H1218" s="10" t="s">
        <v>32</v>
      </c>
      <c r="I1218" s="45">
        <v>400</v>
      </c>
      <c r="J1218" s="11">
        <v>0</v>
      </c>
      <c r="K1218" s="45">
        <f t="shared" si="127"/>
        <v>400</v>
      </c>
      <c r="L1218" s="10">
        <v>3</v>
      </c>
      <c r="M1218" s="10">
        <v>3.7</v>
      </c>
      <c r="N1218" s="10" t="b">
        <v>0</v>
      </c>
      <c r="O1218" s="41"/>
      <c r="P1218" s="45">
        <f t="shared" si="128"/>
        <v>168</v>
      </c>
      <c r="Q1218" s="45">
        <f t="shared" si="129"/>
        <v>232</v>
      </c>
      <c r="R1218" s="45">
        <v>0</v>
      </c>
      <c r="S1218" s="45">
        <f t="shared" si="130"/>
        <v>0</v>
      </c>
      <c r="T1218" s="45">
        <f t="shared" si="131"/>
        <v>0</v>
      </c>
      <c r="U1218" s="47">
        <f t="shared" si="132"/>
        <v>232</v>
      </c>
    </row>
    <row r="1219" spans="1:21" x14ac:dyDescent="0.3">
      <c r="A1219" s="41" t="str">
        <f t="shared" si="133"/>
        <v>PH&amp;MSH</v>
      </c>
      <c r="B1219" s="43">
        <v>45715</v>
      </c>
      <c r="C1219" s="10" t="s">
        <v>1261</v>
      </c>
      <c r="D1219" s="10" t="s">
        <v>37</v>
      </c>
      <c r="E1219" s="10" t="s">
        <v>18</v>
      </c>
      <c r="F1219" s="10" t="s">
        <v>54</v>
      </c>
      <c r="G1219" s="10" t="s">
        <v>5</v>
      </c>
      <c r="H1219" s="10" t="s">
        <v>16</v>
      </c>
      <c r="I1219" s="45">
        <v>3403</v>
      </c>
      <c r="J1219" s="11">
        <v>5.4000000000000006E-2</v>
      </c>
      <c r="K1219" s="45">
        <f t="shared" ref="K1219:K1282" si="134">I1219*(1-J1219)</f>
        <v>3219.2379999999998</v>
      </c>
      <c r="L1219" s="10">
        <v>34</v>
      </c>
      <c r="M1219" s="10">
        <v>2.5</v>
      </c>
      <c r="N1219" s="10" t="b">
        <v>1</v>
      </c>
      <c r="O1219" s="41" t="s">
        <v>44</v>
      </c>
      <c r="P1219" s="45">
        <f t="shared" ref="P1219:P1282" si="135">K1219*0.42</f>
        <v>1352.0799599999998</v>
      </c>
      <c r="Q1219" s="45">
        <f t="shared" ref="Q1219:Q1282" si="136">K1219-P1219</f>
        <v>1867.15804</v>
      </c>
      <c r="R1219" s="45">
        <v>150</v>
      </c>
      <c r="S1219" s="45">
        <f t="shared" ref="S1219:S1282" si="137">IF(N1219=TRUE,K1219*0.1,0)</f>
        <v>321.92380000000003</v>
      </c>
      <c r="T1219" s="45">
        <f t="shared" ref="T1219:T1282" si="138">IF(N1219=TRUE,K1219,0)</f>
        <v>3219.2379999999998</v>
      </c>
      <c r="U1219" s="47">
        <f t="shared" ref="U1219:U1282" si="139">Q1219-R1219-S1219-T1219</f>
        <v>-1824.0037599999998</v>
      </c>
    </row>
    <row r="1220" spans="1:21" x14ac:dyDescent="0.3">
      <c r="A1220" s="41" t="str">
        <f t="shared" si="133"/>
        <v>PANNTO</v>
      </c>
      <c r="B1220" s="43">
        <v>45715</v>
      </c>
      <c r="C1220" s="10" t="s">
        <v>1262</v>
      </c>
      <c r="D1220" s="10" t="s">
        <v>42</v>
      </c>
      <c r="E1220" s="10" t="s">
        <v>9</v>
      </c>
      <c r="F1220" s="10" t="s">
        <v>23</v>
      </c>
      <c r="G1220" s="10" t="s">
        <v>7</v>
      </c>
      <c r="H1220" s="10" t="s">
        <v>6</v>
      </c>
      <c r="I1220" s="45">
        <v>1511</v>
      </c>
      <c r="J1220" s="11">
        <v>0</v>
      </c>
      <c r="K1220" s="45">
        <f t="shared" si="134"/>
        <v>1511</v>
      </c>
      <c r="L1220" s="10">
        <v>33</v>
      </c>
      <c r="M1220" s="10"/>
      <c r="N1220" s="10" t="b">
        <v>1</v>
      </c>
      <c r="O1220" s="41" t="s">
        <v>44</v>
      </c>
      <c r="P1220" s="45">
        <f t="shared" si="135"/>
        <v>634.62</v>
      </c>
      <c r="Q1220" s="45">
        <f t="shared" si="136"/>
        <v>876.38</v>
      </c>
      <c r="R1220" s="45">
        <v>150</v>
      </c>
      <c r="S1220" s="45">
        <f t="shared" si="137"/>
        <v>151.1</v>
      </c>
      <c r="T1220" s="45">
        <f t="shared" si="138"/>
        <v>1511</v>
      </c>
      <c r="U1220" s="47">
        <f t="shared" si="139"/>
        <v>-935.72</v>
      </c>
    </row>
    <row r="1221" spans="1:21" x14ac:dyDescent="0.3">
      <c r="A1221" s="41" t="str">
        <f t="shared" si="133"/>
        <v>PH&amp;MAC</v>
      </c>
      <c r="B1221" s="43">
        <v>45715</v>
      </c>
      <c r="C1221" s="10" t="s">
        <v>1263</v>
      </c>
      <c r="D1221" s="10" t="s">
        <v>37</v>
      </c>
      <c r="E1221" s="10" t="s">
        <v>15</v>
      </c>
      <c r="F1221" s="10" t="s">
        <v>54</v>
      </c>
      <c r="G1221" s="10" t="s">
        <v>7</v>
      </c>
      <c r="H1221" s="10" t="s">
        <v>28</v>
      </c>
      <c r="I1221" s="45">
        <v>427</v>
      </c>
      <c r="J1221" s="11">
        <v>0.27899999999999997</v>
      </c>
      <c r="K1221" s="45">
        <f t="shared" si="134"/>
        <v>307.86700000000002</v>
      </c>
      <c r="L1221" s="10">
        <v>5</v>
      </c>
      <c r="M1221" s="10">
        <v>1.1000000000000001</v>
      </c>
      <c r="N1221" s="10" t="b">
        <v>0</v>
      </c>
      <c r="O1221" s="41"/>
      <c r="P1221" s="45">
        <f t="shared" si="135"/>
        <v>129.30413999999999</v>
      </c>
      <c r="Q1221" s="45">
        <f t="shared" si="136"/>
        <v>178.56286000000003</v>
      </c>
      <c r="R1221" s="45">
        <v>0</v>
      </c>
      <c r="S1221" s="45">
        <f t="shared" si="137"/>
        <v>0</v>
      </c>
      <c r="T1221" s="45">
        <f t="shared" si="138"/>
        <v>0</v>
      </c>
      <c r="U1221" s="47">
        <f t="shared" si="139"/>
        <v>178.56286000000003</v>
      </c>
    </row>
    <row r="1222" spans="1:21" x14ac:dyDescent="0.3">
      <c r="A1222" s="41" t="str">
        <f t="shared" si="133"/>
        <v>PZARTO</v>
      </c>
      <c r="B1222" s="43">
        <v>45715</v>
      </c>
      <c r="C1222" s="10" t="s">
        <v>1264</v>
      </c>
      <c r="D1222" s="10" t="s">
        <v>3</v>
      </c>
      <c r="E1222" s="10" t="s">
        <v>9</v>
      </c>
      <c r="F1222" s="10" t="s">
        <v>11</v>
      </c>
      <c r="G1222" s="10" t="s">
        <v>7</v>
      </c>
      <c r="H1222" s="10" t="s">
        <v>16</v>
      </c>
      <c r="I1222" s="45">
        <v>976</v>
      </c>
      <c r="J1222" s="11">
        <v>0.28800000000000003</v>
      </c>
      <c r="K1222" s="45">
        <f t="shared" si="134"/>
        <v>694.91199999999992</v>
      </c>
      <c r="L1222" s="10">
        <v>37</v>
      </c>
      <c r="M1222" s="10">
        <v>1.9</v>
      </c>
      <c r="N1222" s="10" t="b">
        <v>0</v>
      </c>
      <c r="O1222" s="41"/>
      <c r="P1222" s="45">
        <f t="shared" si="135"/>
        <v>291.86303999999996</v>
      </c>
      <c r="Q1222" s="45">
        <f t="shared" si="136"/>
        <v>403.04895999999997</v>
      </c>
      <c r="R1222" s="45">
        <v>0</v>
      </c>
      <c r="S1222" s="45">
        <f t="shared" si="137"/>
        <v>0</v>
      </c>
      <c r="T1222" s="45">
        <f t="shared" si="138"/>
        <v>0</v>
      </c>
      <c r="U1222" s="47">
        <f t="shared" si="139"/>
        <v>403.04895999999997</v>
      </c>
    </row>
    <row r="1223" spans="1:21" x14ac:dyDescent="0.3">
      <c r="A1223" s="41" t="str">
        <f t="shared" si="133"/>
        <v>PMANSH</v>
      </c>
      <c r="B1223" s="43">
        <v>45716</v>
      </c>
      <c r="C1223" s="10" t="s">
        <v>1265</v>
      </c>
      <c r="D1223" s="10" t="s">
        <v>31</v>
      </c>
      <c r="E1223" s="10" t="s">
        <v>18</v>
      </c>
      <c r="F1223" s="10" t="s">
        <v>23</v>
      </c>
      <c r="G1223" s="10" t="s">
        <v>49</v>
      </c>
      <c r="H1223" s="10" t="s">
        <v>16</v>
      </c>
      <c r="I1223" s="45">
        <v>3859</v>
      </c>
      <c r="J1223" s="11">
        <v>0</v>
      </c>
      <c r="K1223" s="45">
        <f t="shared" si="134"/>
        <v>3859</v>
      </c>
      <c r="L1223" s="10">
        <v>13</v>
      </c>
      <c r="M1223" s="10">
        <v>3.6</v>
      </c>
      <c r="N1223" s="10" t="b">
        <v>0</v>
      </c>
      <c r="O1223" s="41"/>
      <c r="P1223" s="45">
        <f t="shared" si="135"/>
        <v>1620.78</v>
      </c>
      <c r="Q1223" s="45">
        <f t="shared" si="136"/>
        <v>2238.2200000000003</v>
      </c>
      <c r="R1223" s="45">
        <v>0</v>
      </c>
      <c r="S1223" s="45">
        <f t="shared" si="137"/>
        <v>0</v>
      </c>
      <c r="T1223" s="45">
        <f t="shared" si="138"/>
        <v>0</v>
      </c>
      <c r="U1223" s="47">
        <f t="shared" si="139"/>
        <v>2238.2200000000003</v>
      </c>
    </row>
    <row r="1224" spans="1:21" x14ac:dyDescent="0.3">
      <c r="A1224" s="41" t="str">
        <f t="shared" si="133"/>
        <v>PZARBO</v>
      </c>
      <c r="B1224" s="43">
        <v>45716</v>
      </c>
      <c r="C1224" s="10" t="s">
        <v>1266</v>
      </c>
      <c r="D1224" s="10" t="s">
        <v>3</v>
      </c>
      <c r="E1224" s="10" t="s">
        <v>26</v>
      </c>
      <c r="F1224" s="10" t="s">
        <v>23</v>
      </c>
      <c r="G1224" s="10" t="s">
        <v>38</v>
      </c>
      <c r="H1224" s="10" t="s">
        <v>6</v>
      </c>
      <c r="I1224" s="45">
        <v>2723</v>
      </c>
      <c r="J1224" s="11">
        <v>0</v>
      </c>
      <c r="K1224" s="45">
        <f t="shared" si="134"/>
        <v>2723</v>
      </c>
      <c r="L1224" s="10">
        <v>13</v>
      </c>
      <c r="M1224" s="10">
        <v>3.7</v>
      </c>
      <c r="N1224" s="10" t="b">
        <v>0</v>
      </c>
      <c r="O1224" s="41"/>
      <c r="P1224" s="45">
        <f t="shared" si="135"/>
        <v>1143.6599999999999</v>
      </c>
      <c r="Q1224" s="45">
        <f t="shared" si="136"/>
        <v>1579.3400000000001</v>
      </c>
      <c r="R1224" s="45">
        <v>0</v>
      </c>
      <c r="S1224" s="45">
        <f t="shared" si="137"/>
        <v>0</v>
      </c>
      <c r="T1224" s="45">
        <f t="shared" si="138"/>
        <v>0</v>
      </c>
      <c r="U1224" s="47">
        <f t="shared" si="139"/>
        <v>1579.3400000000001</v>
      </c>
    </row>
    <row r="1225" spans="1:21" x14ac:dyDescent="0.3">
      <c r="A1225" s="41" t="str">
        <f t="shared" si="133"/>
        <v>PFORAC</v>
      </c>
      <c r="B1225" s="43">
        <v>45716</v>
      </c>
      <c r="C1225" s="10" t="s">
        <v>1267</v>
      </c>
      <c r="D1225" s="10" t="s">
        <v>65</v>
      </c>
      <c r="E1225" s="10" t="s">
        <v>15</v>
      </c>
      <c r="F1225" s="10" t="s">
        <v>11</v>
      </c>
      <c r="G1225" s="10" t="s">
        <v>7</v>
      </c>
      <c r="H1225" s="10" t="s">
        <v>47</v>
      </c>
      <c r="I1225" s="45">
        <v>418</v>
      </c>
      <c r="J1225" s="11">
        <v>0</v>
      </c>
      <c r="K1225" s="45">
        <f t="shared" si="134"/>
        <v>418</v>
      </c>
      <c r="L1225" s="10">
        <v>28</v>
      </c>
      <c r="M1225" s="10">
        <v>1.4</v>
      </c>
      <c r="N1225" s="10" t="b">
        <v>0</v>
      </c>
      <c r="O1225" s="41"/>
      <c r="P1225" s="45">
        <f t="shared" si="135"/>
        <v>175.56</v>
      </c>
      <c r="Q1225" s="45">
        <f t="shared" si="136"/>
        <v>242.44</v>
      </c>
      <c r="R1225" s="45">
        <v>0</v>
      </c>
      <c r="S1225" s="45">
        <f t="shared" si="137"/>
        <v>0</v>
      </c>
      <c r="T1225" s="45">
        <f t="shared" si="138"/>
        <v>0</v>
      </c>
      <c r="U1225" s="47">
        <f t="shared" si="139"/>
        <v>242.44</v>
      </c>
    </row>
    <row r="1226" spans="1:21" x14ac:dyDescent="0.3">
      <c r="A1226" s="41" t="str">
        <f t="shared" si="133"/>
        <v>PANNSH</v>
      </c>
      <c r="B1226" s="43">
        <v>45716</v>
      </c>
      <c r="C1226" s="10" t="s">
        <v>1268</v>
      </c>
      <c r="D1226" s="10" t="s">
        <v>42</v>
      </c>
      <c r="E1226" s="10" t="s">
        <v>18</v>
      </c>
      <c r="F1226" s="10" t="s">
        <v>11</v>
      </c>
      <c r="G1226" s="10" t="s">
        <v>49</v>
      </c>
      <c r="H1226" s="10" t="s">
        <v>43</v>
      </c>
      <c r="I1226" s="45">
        <v>3817</v>
      </c>
      <c r="J1226" s="11">
        <v>0.10199999999999999</v>
      </c>
      <c r="K1226" s="45">
        <f t="shared" si="134"/>
        <v>3427.6660000000002</v>
      </c>
      <c r="L1226" s="10">
        <v>47</v>
      </c>
      <c r="M1226" s="10"/>
      <c r="N1226" s="10" t="b">
        <v>0</v>
      </c>
      <c r="O1226" s="41"/>
      <c r="P1226" s="45">
        <f t="shared" si="135"/>
        <v>1439.6197199999999</v>
      </c>
      <c r="Q1226" s="45">
        <f t="shared" si="136"/>
        <v>1988.0462800000003</v>
      </c>
      <c r="R1226" s="45">
        <v>0</v>
      </c>
      <c r="S1226" s="45">
        <f t="shared" si="137"/>
        <v>0</v>
      </c>
      <c r="T1226" s="45">
        <f t="shared" si="138"/>
        <v>0</v>
      </c>
      <c r="U1226" s="47">
        <f t="shared" si="139"/>
        <v>1988.0462800000003</v>
      </c>
    </row>
    <row r="1227" spans="1:21" x14ac:dyDescent="0.3">
      <c r="A1227" s="41" t="str">
        <f t="shared" si="133"/>
        <v>PBANSH</v>
      </c>
      <c r="B1227" s="43">
        <v>45717</v>
      </c>
      <c r="C1227" s="10" t="s">
        <v>1269</v>
      </c>
      <c r="D1227" s="10" t="s">
        <v>21</v>
      </c>
      <c r="E1227" s="10" t="s">
        <v>18</v>
      </c>
      <c r="F1227" s="10" t="s">
        <v>54</v>
      </c>
      <c r="G1227" s="10" t="s">
        <v>5</v>
      </c>
      <c r="H1227" s="10" t="s">
        <v>7</v>
      </c>
      <c r="I1227" s="45">
        <v>3887</v>
      </c>
      <c r="J1227" s="11">
        <v>0</v>
      </c>
      <c r="K1227" s="45">
        <f t="shared" si="134"/>
        <v>3887</v>
      </c>
      <c r="L1227" s="10">
        <v>45</v>
      </c>
      <c r="M1227" s="10"/>
      <c r="N1227" s="10" t="b">
        <v>0</v>
      </c>
      <c r="O1227" s="41"/>
      <c r="P1227" s="45">
        <f t="shared" si="135"/>
        <v>1632.54</v>
      </c>
      <c r="Q1227" s="45">
        <f t="shared" si="136"/>
        <v>2254.46</v>
      </c>
      <c r="R1227" s="45">
        <v>0</v>
      </c>
      <c r="S1227" s="45">
        <f t="shared" si="137"/>
        <v>0</v>
      </c>
      <c r="T1227" s="45">
        <f t="shared" si="138"/>
        <v>0</v>
      </c>
      <c r="U1227" s="47">
        <f t="shared" si="139"/>
        <v>2254.46</v>
      </c>
    </row>
    <row r="1228" spans="1:21" x14ac:dyDescent="0.3">
      <c r="A1228" s="41" t="str">
        <f t="shared" si="133"/>
        <v>PUNIAC</v>
      </c>
      <c r="B1228" s="43">
        <v>45717</v>
      </c>
      <c r="C1228" s="10" t="s">
        <v>1270</v>
      </c>
      <c r="D1228" s="10" t="s">
        <v>10</v>
      </c>
      <c r="E1228" s="10" t="s">
        <v>15</v>
      </c>
      <c r="F1228" s="10" t="s">
        <v>54</v>
      </c>
      <c r="G1228" s="10" t="s">
        <v>7</v>
      </c>
      <c r="H1228" s="10" t="s">
        <v>16</v>
      </c>
      <c r="I1228" s="45">
        <v>336</v>
      </c>
      <c r="J1228" s="11">
        <v>8.3000000000000004E-2</v>
      </c>
      <c r="K1228" s="45">
        <f t="shared" si="134"/>
        <v>308.11200000000002</v>
      </c>
      <c r="L1228" s="10">
        <v>0</v>
      </c>
      <c r="M1228" s="10">
        <v>3.5</v>
      </c>
      <c r="N1228" s="10" t="b">
        <v>1</v>
      </c>
      <c r="O1228" s="41" t="s">
        <v>50</v>
      </c>
      <c r="P1228" s="45">
        <f t="shared" si="135"/>
        <v>129.40703999999999</v>
      </c>
      <c r="Q1228" s="45">
        <f t="shared" si="136"/>
        <v>178.70496000000003</v>
      </c>
      <c r="R1228" s="45">
        <v>150</v>
      </c>
      <c r="S1228" s="45">
        <f t="shared" si="137"/>
        <v>30.811200000000003</v>
      </c>
      <c r="T1228" s="45">
        <f t="shared" si="138"/>
        <v>308.11200000000002</v>
      </c>
      <c r="U1228" s="47">
        <f t="shared" si="139"/>
        <v>-310.21823999999998</v>
      </c>
    </row>
    <row r="1229" spans="1:21" x14ac:dyDescent="0.3">
      <c r="A1229" s="41" t="str">
        <f t="shared" si="133"/>
        <v>PBANBO</v>
      </c>
      <c r="B1229" s="43">
        <v>45717</v>
      </c>
      <c r="C1229" s="10" t="s">
        <v>1271</v>
      </c>
      <c r="D1229" s="10" t="s">
        <v>21</v>
      </c>
      <c r="E1229" s="10" t="s">
        <v>26</v>
      </c>
      <c r="F1229" s="10" t="s">
        <v>23</v>
      </c>
      <c r="G1229" s="10" t="s">
        <v>46</v>
      </c>
      <c r="H1229" s="10" t="s">
        <v>88</v>
      </c>
      <c r="I1229" s="45">
        <v>2022</v>
      </c>
      <c r="J1229" s="11">
        <v>0</v>
      </c>
      <c r="K1229" s="45">
        <f t="shared" si="134"/>
        <v>2022</v>
      </c>
      <c r="L1229" s="10">
        <v>34</v>
      </c>
      <c r="M1229" s="10">
        <v>2.9</v>
      </c>
      <c r="N1229" s="10" t="b">
        <v>1</v>
      </c>
      <c r="O1229" s="41" t="s">
        <v>33</v>
      </c>
      <c r="P1229" s="45">
        <f t="shared" si="135"/>
        <v>849.24</v>
      </c>
      <c r="Q1229" s="45">
        <f t="shared" si="136"/>
        <v>1172.76</v>
      </c>
      <c r="R1229" s="45">
        <v>150</v>
      </c>
      <c r="S1229" s="45">
        <f t="shared" si="137"/>
        <v>202.20000000000002</v>
      </c>
      <c r="T1229" s="45">
        <f t="shared" si="138"/>
        <v>2022</v>
      </c>
      <c r="U1229" s="47">
        <f t="shared" si="139"/>
        <v>-1201.44</v>
      </c>
    </row>
    <row r="1230" spans="1:21" x14ac:dyDescent="0.3">
      <c r="A1230" s="41" t="str">
        <f t="shared" si="133"/>
        <v>PH&amp;MOU</v>
      </c>
      <c r="B1230" s="43">
        <v>45717</v>
      </c>
      <c r="C1230" s="10" t="s">
        <v>1272</v>
      </c>
      <c r="D1230" s="10" t="s">
        <v>37</v>
      </c>
      <c r="E1230" s="10" t="s">
        <v>2</v>
      </c>
      <c r="F1230" s="10" t="s">
        <v>4</v>
      </c>
      <c r="G1230" s="10" t="s">
        <v>49</v>
      </c>
      <c r="H1230" s="10" t="s">
        <v>6</v>
      </c>
      <c r="I1230" s="45">
        <v>4002</v>
      </c>
      <c r="J1230" s="11">
        <v>0.42499999999999999</v>
      </c>
      <c r="K1230" s="45">
        <f t="shared" si="134"/>
        <v>2301.1499999999996</v>
      </c>
      <c r="L1230" s="10">
        <v>27</v>
      </c>
      <c r="M1230" s="10">
        <v>2.9</v>
      </c>
      <c r="N1230" s="10" t="b">
        <v>0</v>
      </c>
      <c r="O1230" s="41"/>
      <c r="P1230" s="45">
        <f t="shared" si="135"/>
        <v>966.48299999999983</v>
      </c>
      <c r="Q1230" s="45">
        <f t="shared" si="136"/>
        <v>1334.6669999999999</v>
      </c>
      <c r="R1230" s="45">
        <v>0</v>
      </c>
      <c r="S1230" s="45">
        <f t="shared" si="137"/>
        <v>0</v>
      </c>
      <c r="T1230" s="45">
        <f t="shared" si="138"/>
        <v>0</v>
      </c>
      <c r="U1230" s="47">
        <f t="shared" si="139"/>
        <v>1334.6669999999999</v>
      </c>
    </row>
    <row r="1231" spans="1:21" x14ac:dyDescent="0.3">
      <c r="A1231" s="41" t="str">
        <f t="shared" si="133"/>
        <v>PFORDR</v>
      </c>
      <c r="B1231" s="43">
        <v>45718</v>
      </c>
      <c r="C1231" s="10" t="s">
        <v>1273</v>
      </c>
      <c r="D1231" s="10" t="s">
        <v>65</v>
      </c>
      <c r="E1231" s="10" t="s">
        <v>30</v>
      </c>
      <c r="F1231" s="10" t="s">
        <v>23</v>
      </c>
      <c r="G1231" s="10" t="s">
        <v>27</v>
      </c>
      <c r="H1231" s="10" t="s">
        <v>56</v>
      </c>
      <c r="I1231" s="45">
        <v>2685</v>
      </c>
      <c r="J1231" s="11">
        <v>0.36700000000000005</v>
      </c>
      <c r="K1231" s="45">
        <f t="shared" si="134"/>
        <v>1699.605</v>
      </c>
      <c r="L1231" s="10">
        <v>46</v>
      </c>
      <c r="M1231" s="10">
        <v>2.4</v>
      </c>
      <c r="N1231" s="10" t="b">
        <v>0</v>
      </c>
      <c r="O1231" s="41"/>
      <c r="P1231" s="45">
        <f t="shared" si="135"/>
        <v>713.83410000000003</v>
      </c>
      <c r="Q1231" s="45">
        <f t="shared" si="136"/>
        <v>985.77089999999998</v>
      </c>
      <c r="R1231" s="45">
        <v>0</v>
      </c>
      <c r="S1231" s="45">
        <f t="shared" si="137"/>
        <v>0</v>
      </c>
      <c r="T1231" s="45">
        <f t="shared" si="138"/>
        <v>0</v>
      </c>
      <c r="U1231" s="47">
        <f t="shared" si="139"/>
        <v>985.77089999999998</v>
      </c>
    </row>
    <row r="1232" spans="1:21" x14ac:dyDescent="0.3">
      <c r="A1232" s="41" t="str">
        <f t="shared" si="133"/>
        <v>PBANAC</v>
      </c>
      <c r="B1232" s="43">
        <v>45718</v>
      </c>
      <c r="C1232" s="10" t="s">
        <v>1274</v>
      </c>
      <c r="D1232" s="10" t="s">
        <v>21</v>
      </c>
      <c r="E1232" s="10" t="s">
        <v>15</v>
      </c>
      <c r="F1232" s="10" t="s">
        <v>23</v>
      </c>
      <c r="G1232" s="10" t="s">
        <v>7</v>
      </c>
      <c r="H1232" s="10" t="s">
        <v>7</v>
      </c>
      <c r="I1232" s="45">
        <v>416</v>
      </c>
      <c r="J1232" s="11">
        <v>0</v>
      </c>
      <c r="K1232" s="45">
        <f t="shared" si="134"/>
        <v>416</v>
      </c>
      <c r="L1232" s="10">
        <v>4</v>
      </c>
      <c r="M1232" s="10">
        <v>4.3</v>
      </c>
      <c r="N1232" s="10" t="b">
        <v>1</v>
      </c>
      <c r="O1232" s="41" t="s">
        <v>33</v>
      </c>
      <c r="P1232" s="45">
        <f t="shared" si="135"/>
        <v>174.72</v>
      </c>
      <c r="Q1232" s="45">
        <f t="shared" si="136"/>
        <v>241.28</v>
      </c>
      <c r="R1232" s="45">
        <v>150</v>
      </c>
      <c r="S1232" s="45">
        <f t="shared" si="137"/>
        <v>41.6</v>
      </c>
      <c r="T1232" s="45">
        <f t="shared" si="138"/>
        <v>416</v>
      </c>
      <c r="U1232" s="47">
        <f t="shared" si="139"/>
        <v>-366.32</v>
      </c>
    </row>
    <row r="1233" spans="1:21" x14ac:dyDescent="0.3">
      <c r="A1233" s="41" t="str">
        <f t="shared" si="133"/>
        <v>PZARAC</v>
      </c>
      <c r="B1233" s="43">
        <v>45718</v>
      </c>
      <c r="C1233" s="10" t="s">
        <v>1275</v>
      </c>
      <c r="D1233" s="10" t="s">
        <v>3</v>
      </c>
      <c r="E1233" s="10" t="s">
        <v>15</v>
      </c>
      <c r="F1233" s="10" t="s">
        <v>4</v>
      </c>
      <c r="G1233" s="10" t="s">
        <v>7</v>
      </c>
      <c r="H1233" s="10" t="s">
        <v>88</v>
      </c>
      <c r="I1233" s="45">
        <v>166</v>
      </c>
      <c r="J1233" s="11">
        <v>0</v>
      </c>
      <c r="K1233" s="45">
        <f t="shared" si="134"/>
        <v>166</v>
      </c>
      <c r="L1233" s="10">
        <v>37</v>
      </c>
      <c r="M1233" s="10">
        <v>3.9</v>
      </c>
      <c r="N1233" s="10" t="b">
        <v>1</v>
      </c>
      <c r="O1233" s="41" t="s">
        <v>44</v>
      </c>
      <c r="P1233" s="45">
        <f t="shared" si="135"/>
        <v>69.72</v>
      </c>
      <c r="Q1233" s="45">
        <f t="shared" si="136"/>
        <v>96.28</v>
      </c>
      <c r="R1233" s="45">
        <v>150</v>
      </c>
      <c r="S1233" s="45">
        <f t="shared" si="137"/>
        <v>16.600000000000001</v>
      </c>
      <c r="T1233" s="45">
        <f t="shared" si="138"/>
        <v>166</v>
      </c>
      <c r="U1233" s="47">
        <f t="shared" si="139"/>
        <v>-236.32</v>
      </c>
    </row>
    <row r="1234" spans="1:21" x14ac:dyDescent="0.3">
      <c r="A1234" s="41" t="str">
        <f t="shared" si="133"/>
        <v>PGAPTO</v>
      </c>
      <c r="B1234" s="43">
        <v>45718</v>
      </c>
      <c r="C1234" s="10" t="s">
        <v>1276</v>
      </c>
      <c r="D1234" s="10" t="s">
        <v>53</v>
      </c>
      <c r="E1234" s="10" t="s">
        <v>9</v>
      </c>
      <c r="F1234" s="10" t="s">
        <v>54</v>
      </c>
      <c r="G1234" s="10" t="s">
        <v>5</v>
      </c>
      <c r="H1234" s="10" t="s">
        <v>16</v>
      </c>
      <c r="I1234" s="45">
        <v>999</v>
      </c>
      <c r="J1234" s="11">
        <v>0</v>
      </c>
      <c r="K1234" s="45">
        <f t="shared" si="134"/>
        <v>999</v>
      </c>
      <c r="L1234" s="10">
        <v>13</v>
      </c>
      <c r="M1234" s="10">
        <v>4.7</v>
      </c>
      <c r="N1234" s="10" t="b">
        <v>1</v>
      </c>
      <c r="O1234" s="41" t="s">
        <v>33</v>
      </c>
      <c r="P1234" s="45">
        <f t="shared" si="135"/>
        <v>419.58</v>
      </c>
      <c r="Q1234" s="45">
        <f t="shared" si="136"/>
        <v>579.42000000000007</v>
      </c>
      <c r="R1234" s="45">
        <v>150</v>
      </c>
      <c r="S1234" s="45">
        <f t="shared" si="137"/>
        <v>99.9</v>
      </c>
      <c r="T1234" s="45">
        <f t="shared" si="138"/>
        <v>999</v>
      </c>
      <c r="U1234" s="47">
        <f t="shared" si="139"/>
        <v>-669.4799999999999</v>
      </c>
    </row>
    <row r="1235" spans="1:21" x14ac:dyDescent="0.3">
      <c r="A1235" s="41" t="str">
        <f t="shared" si="133"/>
        <v>PBANOU</v>
      </c>
      <c r="B1235" s="43">
        <v>45719</v>
      </c>
      <c r="C1235" s="10" t="s">
        <v>1277</v>
      </c>
      <c r="D1235" s="10" t="s">
        <v>21</v>
      </c>
      <c r="E1235" s="10" t="s">
        <v>2</v>
      </c>
      <c r="F1235" s="10" t="s">
        <v>23</v>
      </c>
      <c r="G1235" s="10" t="s">
        <v>27</v>
      </c>
      <c r="H1235" s="10" t="s">
        <v>88</v>
      </c>
      <c r="I1235" s="45">
        <v>4076</v>
      </c>
      <c r="J1235" s="11">
        <v>0</v>
      </c>
      <c r="K1235" s="45">
        <f t="shared" si="134"/>
        <v>4076</v>
      </c>
      <c r="L1235" s="10">
        <v>31</v>
      </c>
      <c r="M1235" s="10"/>
      <c r="N1235" s="10" t="b">
        <v>0</v>
      </c>
      <c r="O1235" s="41"/>
      <c r="P1235" s="45">
        <f t="shared" si="135"/>
        <v>1711.9199999999998</v>
      </c>
      <c r="Q1235" s="45">
        <f t="shared" si="136"/>
        <v>2364.08</v>
      </c>
      <c r="R1235" s="45">
        <v>0</v>
      </c>
      <c r="S1235" s="45">
        <f t="shared" si="137"/>
        <v>0</v>
      </c>
      <c r="T1235" s="45">
        <f t="shared" si="138"/>
        <v>0</v>
      </c>
      <c r="U1235" s="47">
        <f t="shared" si="139"/>
        <v>2364.08</v>
      </c>
    </row>
    <row r="1236" spans="1:21" x14ac:dyDescent="0.3">
      <c r="A1236" s="41" t="str">
        <f t="shared" si="133"/>
        <v>PMANAC</v>
      </c>
      <c r="B1236" s="43">
        <v>45719</v>
      </c>
      <c r="C1236" s="10" t="s">
        <v>1278</v>
      </c>
      <c r="D1236" s="10" t="s">
        <v>31</v>
      </c>
      <c r="E1236" s="10" t="s">
        <v>15</v>
      </c>
      <c r="F1236" s="10" t="s">
        <v>11</v>
      </c>
      <c r="G1236" s="10" t="s">
        <v>7</v>
      </c>
      <c r="H1236" s="10" t="s">
        <v>43</v>
      </c>
      <c r="I1236" s="45">
        <v>321</v>
      </c>
      <c r="J1236" s="11">
        <v>0</v>
      </c>
      <c r="K1236" s="45">
        <f t="shared" si="134"/>
        <v>321</v>
      </c>
      <c r="L1236" s="10">
        <v>10</v>
      </c>
      <c r="M1236" s="10"/>
      <c r="N1236" s="10" t="b">
        <v>1</v>
      </c>
      <c r="O1236" s="41" t="s">
        <v>44</v>
      </c>
      <c r="P1236" s="45">
        <f t="shared" si="135"/>
        <v>134.82</v>
      </c>
      <c r="Q1236" s="45">
        <f t="shared" si="136"/>
        <v>186.18</v>
      </c>
      <c r="R1236" s="45">
        <v>150</v>
      </c>
      <c r="S1236" s="45">
        <f t="shared" si="137"/>
        <v>32.1</v>
      </c>
      <c r="T1236" s="45">
        <f t="shared" si="138"/>
        <v>321</v>
      </c>
      <c r="U1236" s="47">
        <f t="shared" si="139"/>
        <v>-316.92</v>
      </c>
    </row>
    <row r="1237" spans="1:21" x14ac:dyDescent="0.3">
      <c r="A1237" s="41" t="str">
        <f t="shared" si="133"/>
        <v>PANNOU</v>
      </c>
      <c r="B1237" s="43">
        <v>45719</v>
      </c>
      <c r="C1237" s="10" t="s">
        <v>1279</v>
      </c>
      <c r="D1237" s="10" t="s">
        <v>42</v>
      </c>
      <c r="E1237" s="10" t="s">
        <v>2</v>
      </c>
      <c r="F1237" s="10" t="s">
        <v>4</v>
      </c>
      <c r="G1237" s="10" t="s">
        <v>12</v>
      </c>
      <c r="H1237" s="10" t="s">
        <v>35</v>
      </c>
      <c r="I1237" s="45">
        <v>3671</v>
      </c>
      <c r="J1237" s="11">
        <v>0</v>
      </c>
      <c r="K1237" s="45">
        <f t="shared" si="134"/>
        <v>3671</v>
      </c>
      <c r="L1237" s="10">
        <v>24</v>
      </c>
      <c r="M1237" s="10">
        <v>3.6</v>
      </c>
      <c r="N1237" s="10" t="b">
        <v>1</v>
      </c>
      <c r="O1237" s="41" t="s">
        <v>33</v>
      </c>
      <c r="P1237" s="45">
        <f t="shared" si="135"/>
        <v>1541.82</v>
      </c>
      <c r="Q1237" s="45">
        <f t="shared" si="136"/>
        <v>2129.1800000000003</v>
      </c>
      <c r="R1237" s="45">
        <v>150</v>
      </c>
      <c r="S1237" s="45">
        <f t="shared" si="137"/>
        <v>367.1</v>
      </c>
      <c r="T1237" s="45">
        <f t="shared" si="138"/>
        <v>3671</v>
      </c>
      <c r="U1237" s="47">
        <f t="shared" si="139"/>
        <v>-2058.9199999999996</v>
      </c>
    </row>
    <row r="1238" spans="1:21" x14ac:dyDescent="0.3">
      <c r="A1238" s="41" t="str">
        <f t="shared" si="133"/>
        <v>PZARBO</v>
      </c>
      <c r="B1238" s="43">
        <v>45719</v>
      </c>
      <c r="C1238" s="10" t="s">
        <v>1280</v>
      </c>
      <c r="D1238" s="10" t="s">
        <v>3</v>
      </c>
      <c r="E1238" s="10" t="s">
        <v>26</v>
      </c>
      <c r="F1238" s="10" t="s">
        <v>4</v>
      </c>
      <c r="G1238" s="10" t="s">
        <v>49</v>
      </c>
      <c r="H1238" s="10" t="s">
        <v>58</v>
      </c>
      <c r="I1238" s="45">
        <v>2479</v>
      </c>
      <c r="J1238" s="11">
        <v>0</v>
      </c>
      <c r="K1238" s="45">
        <f t="shared" si="134"/>
        <v>2479</v>
      </c>
      <c r="L1238" s="10">
        <v>6</v>
      </c>
      <c r="M1238" s="10"/>
      <c r="N1238" s="10" t="b">
        <v>0</v>
      </c>
      <c r="O1238" s="41"/>
      <c r="P1238" s="45">
        <f t="shared" si="135"/>
        <v>1041.18</v>
      </c>
      <c r="Q1238" s="45">
        <f t="shared" si="136"/>
        <v>1437.82</v>
      </c>
      <c r="R1238" s="45">
        <v>0</v>
      </c>
      <c r="S1238" s="45">
        <f t="shared" si="137"/>
        <v>0</v>
      </c>
      <c r="T1238" s="45">
        <f t="shared" si="138"/>
        <v>0</v>
      </c>
      <c r="U1238" s="47">
        <f t="shared" si="139"/>
        <v>1437.82</v>
      </c>
    </row>
    <row r="1239" spans="1:21" x14ac:dyDescent="0.3">
      <c r="A1239" s="41" t="str">
        <f t="shared" si="133"/>
        <v>PMANTO</v>
      </c>
      <c r="B1239" s="43">
        <v>45720</v>
      </c>
      <c r="C1239" s="10" t="s">
        <v>1281</v>
      </c>
      <c r="D1239" s="10" t="s">
        <v>31</v>
      </c>
      <c r="E1239" s="10" t="s">
        <v>9</v>
      </c>
      <c r="F1239" s="10" t="s">
        <v>11</v>
      </c>
      <c r="G1239" s="10" t="s">
        <v>46</v>
      </c>
      <c r="H1239" s="10" t="s">
        <v>56</v>
      </c>
      <c r="I1239" s="45">
        <v>1667</v>
      </c>
      <c r="J1239" s="11">
        <v>0</v>
      </c>
      <c r="K1239" s="45">
        <f t="shared" si="134"/>
        <v>1667</v>
      </c>
      <c r="L1239" s="10">
        <v>27</v>
      </c>
      <c r="M1239" s="10">
        <v>5</v>
      </c>
      <c r="N1239" s="10" t="b">
        <v>0</v>
      </c>
      <c r="O1239" s="41"/>
      <c r="P1239" s="45">
        <f t="shared" si="135"/>
        <v>700.14</v>
      </c>
      <c r="Q1239" s="45">
        <f t="shared" si="136"/>
        <v>966.86</v>
      </c>
      <c r="R1239" s="45">
        <v>0</v>
      </c>
      <c r="S1239" s="45">
        <f t="shared" si="137"/>
        <v>0</v>
      </c>
      <c r="T1239" s="45">
        <f t="shared" si="138"/>
        <v>0</v>
      </c>
      <c r="U1239" s="47">
        <f t="shared" si="139"/>
        <v>966.86</v>
      </c>
    </row>
    <row r="1240" spans="1:21" x14ac:dyDescent="0.3">
      <c r="A1240" s="41" t="str">
        <f t="shared" si="133"/>
        <v>PH&amp;MSH</v>
      </c>
      <c r="B1240" s="43">
        <v>45720</v>
      </c>
      <c r="C1240" s="10" t="s">
        <v>1282</v>
      </c>
      <c r="D1240" s="10" t="s">
        <v>37</v>
      </c>
      <c r="E1240" s="10" t="s">
        <v>18</v>
      </c>
      <c r="F1240" s="10" t="s">
        <v>4</v>
      </c>
      <c r="G1240" s="10" t="s">
        <v>27</v>
      </c>
      <c r="H1240" s="10" t="s">
        <v>58</v>
      </c>
      <c r="I1240" s="45">
        <v>3477</v>
      </c>
      <c r="J1240" s="11">
        <v>0</v>
      </c>
      <c r="K1240" s="45">
        <f t="shared" si="134"/>
        <v>3477</v>
      </c>
      <c r="L1240" s="10">
        <v>20</v>
      </c>
      <c r="M1240" s="10">
        <v>3.7</v>
      </c>
      <c r="N1240" s="10" t="b">
        <v>1</v>
      </c>
      <c r="O1240" s="41" t="s">
        <v>80</v>
      </c>
      <c r="P1240" s="45">
        <f t="shared" si="135"/>
        <v>1460.34</v>
      </c>
      <c r="Q1240" s="45">
        <f t="shared" si="136"/>
        <v>2016.66</v>
      </c>
      <c r="R1240" s="45">
        <v>150</v>
      </c>
      <c r="S1240" s="45">
        <f t="shared" si="137"/>
        <v>347.70000000000005</v>
      </c>
      <c r="T1240" s="45">
        <f t="shared" si="138"/>
        <v>3477</v>
      </c>
      <c r="U1240" s="47">
        <f t="shared" si="139"/>
        <v>-1958.04</v>
      </c>
    </row>
    <row r="1241" spans="1:21" x14ac:dyDescent="0.3">
      <c r="A1241" s="41" t="str">
        <f t="shared" si="133"/>
        <v>PUNIBO</v>
      </c>
      <c r="B1241" s="43">
        <v>45720</v>
      </c>
      <c r="C1241" s="10" t="s">
        <v>1283</v>
      </c>
      <c r="D1241" s="10" t="s">
        <v>10</v>
      </c>
      <c r="E1241" s="10" t="s">
        <v>26</v>
      </c>
      <c r="F1241" s="10" t="s">
        <v>54</v>
      </c>
      <c r="G1241" s="10" t="s">
        <v>12</v>
      </c>
      <c r="H1241" s="10" t="s">
        <v>13</v>
      </c>
      <c r="I1241" s="45">
        <v>2175</v>
      </c>
      <c r="J1241" s="11">
        <v>0.15</v>
      </c>
      <c r="K1241" s="45">
        <f t="shared" si="134"/>
        <v>1848.75</v>
      </c>
      <c r="L1241" s="10">
        <v>9</v>
      </c>
      <c r="M1241" s="10">
        <v>4.9000000000000004</v>
      </c>
      <c r="N1241" s="10" t="b">
        <v>0</v>
      </c>
      <c r="O1241" s="41"/>
      <c r="P1241" s="45">
        <f t="shared" si="135"/>
        <v>776.47500000000002</v>
      </c>
      <c r="Q1241" s="45">
        <f t="shared" si="136"/>
        <v>1072.2750000000001</v>
      </c>
      <c r="R1241" s="45">
        <v>0</v>
      </c>
      <c r="S1241" s="45">
        <f t="shared" si="137"/>
        <v>0</v>
      </c>
      <c r="T1241" s="45">
        <f t="shared" si="138"/>
        <v>0</v>
      </c>
      <c r="U1241" s="47">
        <f t="shared" si="139"/>
        <v>1072.2750000000001</v>
      </c>
    </row>
    <row r="1242" spans="1:21" x14ac:dyDescent="0.3">
      <c r="A1242" s="41" t="str">
        <f t="shared" si="133"/>
        <v>PH&amp;MBO</v>
      </c>
      <c r="B1242" s="43">
        <v>45721</v>
      </c>
      <c r="C1242" s="10" t="s">
        <v>1284</v>
      </c>
      <c r="D1242" s="10" t="s">
        <v>37</v>
      </c>
      <c r="E1242" s="10" t="s">
        <v>26</v>
      </c>
      <c r="F1242" s="10" t="s">
        <v>11</v>
      </c>
      <c r="G1242" s="10" t="s">
        <v>49</v>
      </c>
      <c r="H1242" s="10" t="s">
        <v>32</v>
      </c>
      <c r="I1242" s="45">
        <v>2873</v>
      </c>
      <c r="J1242" s="11">
        <v>0</v>
      </c>
      <c r="K1242" s="45">
        <f t="shared" si="134"/>
        <v>2873</v>
      </c>
      <c r="L1242" s="10">
        <v>25</v>
      </c>
      <c r="M1242" s="10">
        <v>4.5999999999999996</v>
      </c>
      <c r="N1242" s="10" t="b">
        <v>0</v>
      </c>
      <c r="O1242" s="41"/>
      <c r="P1242" s="45">
        <f t="shared" si="135"/>
        <v>1206.6599999999999</v>
      </c>
      <c r="Q1242" s="45">
        <f t="shared" si="136"/>
        <v>1666.3400000000001</v>
      </c>
      <c r="R1242" s="45">
        <v>0</v>
      </c>
      <c r="S1242" s="45">
        <f t="shared" si="137"/>
        <v>0</v>
      </c>
      <c r="T1242" s="45">
        <f t="shared" si="138"/>
        <v>0</v>
      </c>
      <c r="U1242" s="47">
        <f t="shared" si="139"/>
        <v>1666.3400000000001</v>
      </c>
    </row>
    <row r="1243" spans="1:21" x14ac:dyDescent="0.3">
      <c r="A1243" s="41" t="str">
        <f t="shared" si="133"/>
        <v>PANNAC</v>
      </c>
      <c r="B1243" s="43">
        <v>45721</v>
      </c>
      <c r="C1243" s="10" t="s">
        <v>1285</v>
      </c>
      <c r="D1243" s="10" t="s">
        <v>42</v>
      </c>
      <c r="E1243" s="10" t="s">
        <v>15</v>
      </c>
      <c r="F1243" s="10" t="s">
        <v>11</v>
      </c>
      <c r="G1243" s="10" t="s">
        <v>7</v>
      </c>
      <c r="H1243" s="10" t="s">
        <v>43</v>
      </c>
      <c r="I1243" s="45">
        <v>276</v>
      </c>
      <c r="J1243" s="11">
        <v>9.8000000000000004E-2</v>
      </c>
      <c r="K1243" s="45">
        <f t="shared" si="134"/>
        <v>248.952</v>
      </c>
      <c r="L1243" s="10">
        <v>34</v>
      </c>
      <c r="M1243" s="10">
        <v>3.4</v>
      </c>
      <c r="N1243" s="10" t="b">
        <v>0</v>
      </c>
      <c r="O1243" s="41"/>
      <c r="P1243" s="45">
        <f t="shared" si="135"/>
        <v>104.55983999999999</v>
      </c>
      <c r="Q1243" s="45">
        <f t="shared" si="136"/>
        <v>144.39215999999999</v>
      </c>
      <c r="R1243" s="45">
        <v>0</v>
      </c>
      <c r="S1243" s="45">
        <f t="shared" si="137"/>
        <v>0</v>
      </c>
      <c r="T1243" s="45">
        <f t="shared" si="138"/>
        <v>0</v>
      </c>
      <c r="U1243" s="47">
        <f t="shared" si="139"/>
        <v>144.39215999999999</v>
      </c>
    </row>
    <row r="1244" spans="1:21" x14ac:dyDescent="0.3">
      <c r="A1244" s="41" t="str">
        <f t="shared" si="133"/>
        <v>PMANBO</v>
      </c>
      <c r="B1244" s="43">
        <v>45721</v>
      </c>
      <c r="C1244" s="10" t="s">
        <v>1286</v>
      </c>
      <c r="D1244" s="10" t="s">
        <v>31</v>
      </c>
      <c r="E1244" s="10" t="s">
        <v>26</v>
      </c>
      <c r="F1244" s="10" t="s">
        <v>23</v>
      </c>
      <c r="G1244" s="10" t="s">
        <v>27</v>
      </c>
      <c r="H1244" s="10" t="s">
        <v>6</v>
      </c>
      <c r="I1244" s="45">
        <v>2864</v>
      </c>
      <c r="J1244" s="11">
        <v>0</v>
      </c>
      <c r="K1244" s="45">
        <f t="shared" si="134"/>
        <v>2864</v>
      </c>
      <c r="L1244" s="10">
        <v>47</v>
      </c>
      <c r="M1244" s="10">
        <v>1.2</v>
      </c>
      <c r="N1244" s="10" t="b">
        <v>0</v>
      </c>
      <c r="O1244" s="41"/>
      <c r="P1244" s="45">
        <f t="shared" si="135"/>
        <v>1202.8799999999999</v>
      </c>
      <c r="Q1244" s="45">
        <f t="shared" si="136"/>
        <v>1661.1200000000001</v>
      </c>
      <c r="R1244" s="45">
        <v>0</v>
      </c>
      <c r="S1244" s="45">
        <f t="shared" si="137"/>
        <v>0</v>
      </c>
      <c r="T1244" s="45">
        <f t="shared" si="138"/>
        <v>0</v>
      </c>
      <c r="U1244" s="47">
        <f t="shared" si="139"/>
        <v>1661.1200000000001</v>
      </c>
    </row>
    <row r="1245" spans="1:21" x14ac:dyDescent="0.3">
      <c r="A1245" s="41" t="str">
        <f t="shared" si="133"/>
        <v>PZARDR</v>
      </c>
      <c r="B1245" s="43">
        <v>45721</v>
      </c>
      <c r="C1245" s="10" t="s">
        <v>1287</v>
      </c>
      <c r="D1245" s="10" t="s">
        <v>3</v>
      </c>
      <c r="E1245" s="10" t="s">
        <v>30</v>
      </c>
      <c r="F1245" s="10" t="s">
        <v>11</v>
      </c>
      <c r="G1245" s="10" t="s">
        <v>5</v>
      </c>
      <c r="H1245" s="10" t="s">
        <v>56</v>
      </c>
      <c r="I1245" s="45">
        <v>2125</v>
      </c>
      <c r="J1245" s="11">
        <v>0.21100000000000002</v>
      </c>
      <c r="K1245" s="45">
        <f t="shared" si="134"/>
        <v>1676.6249999999998</v>
      </c>
      <c r="L1245" s="10">
        <v>36</v>
      </c>
      <c r="M1245" s="10">
        <v>1.5</v>
      </c>
      <c r="N1245" s="10" t="b">
        <v>0</v>
      </c>
      <c r="O1245" s="41"/>
      <c r="P1245" s="45">
        <f t="shared" si="135"/>
        <v>704.18249999999989</v>
      </c>
      <c r="Q1245" s="45">
        <f t="shared" si="136"/>
        <v>972.44249999999988</v>
      </c>
      <c r="R1245" s="45">
        <v>0</v>
      </c>
      <c r="S1245" s="45">
        <f t="shared" si="137"/>
        <v>0</v>
      </c>
      <c r="T1245" s="45">
        <f t="shared" si="138"/>
        <v>0</v>
      </c>
      <c r="U1245" s="47">
        <f t="shared" si="139"/>
        <v>972.44249999999988</v>
      </c>
    </row>
    <row r="1246" spans="1:21" x14ac:dyDescent="0.3">
      <c r="A1246" s="41" t="str">
        <f t="shared" si="133"/>
        <v>PFORDR</v>
      </c>
      <c r="B1246" s="43">
        <v>45722</v>
      </c>
      <c r="C1246" s="10" t="s">
        <v>1288</v>
      </c>
      <c r="D1246" s="10" t="s">
        <v>65</v>
      </c>
      <c r="E1246" s="10" t="s">
        <v>30</v>
      </c>
      <c r="F1246" s="10" t="s">
        <v>54</v>
      </c>
      <c r="G1246" s="10" t="s">
        <v>7</v>
      </c>
      <c r="H1246" s="10" t="s">
        <v>56</v>
      </c>
      <c r="I1246" s="45">
        <v>2037</v>
      </c>
      <c r="J1246" s="11">
        <v>0</v>
      </c>
      <c r="K1246" s="45">
        <f t="shared" si="134"/>
        <v>2037</v>
      </c>
      <c r="L1246" s="10">
        <v>3</v>
      </c>
      <c r="M1246" s="10">
        <v>3.5</v>
      </c>
      <c r="N1246" s="10" t="b">
        <v>1</v>
      </c>
      <c r="O1246" s="41" t="s">
        <v>44</v>
      </c>
      <c r="P1246" s="45">
        <f t="shared" si="135"/>
        <v>855.54</v>
      </c>
      <c r="Q1246" s="45">
        <f t="shared" si="136"/>
        <v>1181.46</v>
      </c>
      <c r="R1246" s="45">
        <v>150</v>
      </c>
      <c r="S1246" s="45">
        <f t="shared" si="137"/>
        <v>203.70000000000002</v>
      </c>
      <c r="T1246" s="45">
        <f t="shared" si="138"/>
        <v>2037</v>
      </c>
      <c r="U1246" s="47">
        <f t="shared" si="139"/>
        <v>-1209.24</v>
      </c>
    </row>
    <row r="1247" spans="1:21" x14ac:dyDescent="0.3">
      <c r="A1247" s="41" t="str">
        <f t="shared" si="133"/>
        <v>PBANDR</v>
      </c>
      <c r="B1247" s="43">
        <v>45722</v>
      </c>
      <c r="C1247" s="10" t="s">
        <v>1289</v>
      </c>
      <c r="D1247" s="10" t="s">
        <v>21</v>
      </c>
      <c r="E1247" s="10" t="s">
        <v>30</v>
      </c>
      <c r="F1247" s="10" t="s">
        <v>4</v>
      </c>
      <c r="G1247" s="10" t="s">
        <v>38</v>
      </c>
      <c r="H1247" s="10" t="s">
        <v>58</v>
      </c>
      <c r="I1247" s="45">
        <v>1894</v>
      </c>
      <c r="J1247" s="11">
        <v>0</v>
      </c>
      <c r="K1247" s="45">
        <f t="shared" si="134"/>
        <v>1894</v>
      </c>
      <c r="L1247" s="10">
        <v>38</v>
      </c>
      <c r="M1247" s="10">
        <v>2.1</v>
      </c>
      <c r="N1247" s="10" t="b">
        <v>0</v>
      </c>
      <c r="O1247" s="41"/>
      <c r="P1247" s="45">
        <f t="shared" si="135"/>
        <v>795.48</v>
      </c>
      <c r="Q1247" s="45">
        <f t="shared" si="136"/>
        <v>1098.52</v>
      </c>
      <c r="R1247" s="45">
        <v>0</v>
      </c>
      <c r="S1247" s="45">
        <f t="shared" si="137"/>
        <v>0</v>
      </c>
      <c r="T1247" s="45">
        <f t="shared" si="138"/>
        <v>0</v>
      </c>
      <c r="U1247" s="47">
        <f t="shared" si="139"/>
        <v>1098.52</v>
      </c>
    </row>
    <row r="1248" spans="1:21" x14ac:dyDescent="0.3">
      <c r="A1248" s="41" t="str">
        <f t="shared" si="133"/>
        <v>PUNIDR</v>
      </c>
      <c r="B1248" s="43">
        <v>45722</v>
      </c>
      <c r="C1248" s="10" t="s">
        <v>1290</v>
      </c>
      <c r="D1248" s="10" t="s">
        <v>10</v>
      </c>
      <c r="E1248" s="10" t="s">
        <v>30</v>
      </c>
      <c r="F1248" s="10" t="s">
        <v>54</v>
      </c>
      <c r="G1248" s="10" t="s">
        <v>7</v>
      </c>
      <c r="H1248" s="10" t="s">
        <v>43</v>
      </c>
      <c r="I1248" s="45">
        <v>2366</v>
      </c>
      <c r="J1248" s="11">
        <v>9.3000000000000013E-2</v>
      </c>
      <c r="K1248" s="45">
        <f t="shared" si="134"/>
        <v>2145.962</v>
      </c>
      <c r="L1248" s="10">
        <v>34</v>
      </c>
      <c r="M1248" s="10">
        <v>2.1</v>
      </c>
      <c r="N1248" s="10" t="b">
        <v>1</v>
      </c>
      <c r="O1248" s="41" t="s">
        <v>33</v>
      </c>
      <c r="P1248" s="45">
        <f t="shared" si="135"/>
        <v>901.30403999999999</v>
      </c>
      <c r="Q1248" s="45">
        <f t="shared" si="136"/>
        <v>1244.65796</v>
      </c>
      <c r="R1248" s="45">
        <v>150</v>
      </c>
      <c r="S1248" s="45">
        <f t="shared" si="137"/>
        <v>214.59620000000001</v>
      </c>
      <c r="T1248" s="45">
        <f t="shared" si="138"/>
        <v>2145.962</v>
      </c>
      <c r="U1248" s="47">
        <f t="shared" si="139"/>
        <v>-1265.9002399999999</v>
      </c>
    </row>
    <row r="1249" spans="1:21" x14ac:dyDescent="0.3">
      <c r="A1249" s="41" t="str">
        <f t="shared" si="133"/>
        <v>PFOROU</v>
      </c>
      <c r="B1249" s="43">
        <v>45722</v>
      </c>
      <c r="C1249" s="10" t="s">
        <v>1291</v>
      </c>
      <c r="D1249" s="10" t="s">
        <v>65</v>
      </c>
      <c r="E1249" s="10" t="s">
        <v>2</v>
      </c>
      <c r="F1249" s="10" t="s">
        <v>4</v>
      </c>
      <c r="G1249" s="10" t="s">
        <v>5</v>
      </c>
      <c r="H1249" s="10" t="s">
        <v>6</v>
      </c>
      <c r="I1249" s="45">
        <v>4326</v>
      </c>
      <c r="J1249" s="11">
        <v>0</v>
      </c>
      <c r="K1249" s="45">
        <f t="shared" si="134"/>
        <v>4326</v>
      </c>
      <c r="L1249" s="10">
        <v>19</v>
      </c>
      <c r="M1249" s="10">
        <v>4.5999999999999996</v>
      </c>
      <c r="N1249" s="10" t="b">
        <v>0</v>
      </c>
      <c r="O1249" s="41"/>
      <c r="P1249" s="45">
        <f t="shared" si="135"/>
        <v>1816.9199999999998</v>
      </c>
      <c r="Q1249" s="45">
        <f t="shared" si="136"/>
        <v>2509.08</v>
      </c>
      <c r="R1249" s="45">
        <v>0</v>
      </c>
      <c r="S1249" s="45">
        <f t="shared" si="137"/>
        <v>0</v>
      </c>
      <c r="T1249" s="45">
        <f t="shared" si="138"/>
        <v>0</v>
      </c>
      <c r="U1249" s="47">
        <f t="shared" si="139"/>
        <v>2509.08</v>
      </c>
    </row>
    <row r="1250" spans="1:21" x14ac:dyDescent="0.3">
      <c r="A1250" s="41" t="str">
        <f t="shared" si="133"/>
        <v>PUNISH</v>
      </c>
      <c r="B1250" s="43">
        <v>45723</v>
      </c>
      <c r="C1250" s="10" t="s">
        <v>1292</v>
      </c>
      <c r="D1250" s="10" t="s">
        <v>10</v>
      </c>
      <c r="E1250" s="10" t="s">
        <v>18</v>
      </c>
      <c r="F1250" s="10" t="s">
        <v>23</v>
      </c>
      <c r="G1250" s="10" t="s">
        <v>38</v>
      </c>
      <c r="H1250" s="10" t="s">
        <v>16</v>
      </c>
      <c r="I1250" s="45">
        <v>4193</v>
      </c>
      <c r="J1250" s="11">
        <v>0</v>
      </c>
      <c r="K1250" s="45">
        <f t="shared" si="134"/>
        <v>4193</v>
      </c>
      <c r="L1250" s="10">
        <v>7</v>
      </c>
      <c r="M1250" s="10">
        <v>2.5</v>
      </c>
      <c r="N1250" s="10" t="b">
        <v>1</v>
      </c>
      <c r="O1250" s="41" t="s">
        <v>44</v>
      </c>
      <c r="P1250" s="45">
        <f t="shared" si="135"/>
        <v>1761.06</v>
      </c>
      <c r="Q1250" s="45">
        <f t="shared" si="136"/>
        <v>2431.94</v>
      </c>
      <c r="R1250" s="45">
        <v>150</v>
      </c>
      <c r="S1250" s="45">
        <f t="shared" si="137"/>
        <v>419.3</v>
      </c>
      <c r="T1250" s="45">
        <f t="shared" si="138"/>
        <v>4193</v>
      </c>
      <c r="U1250" s="47">
        <f t="shared" si="139"/>
        <v>-2330.3599999999997</v>
      </c>
    </row>
    <row r="1251" spans="1:21" x14ac:dyDescent="0.3">
      <c r="A1251" s="41" t="str">
        <f t="shared" si="133"/>
        <v>PFOROU</v>
      </c>
      <c r="B1251" s="43">
        <v>45723</v>
      </c>
      <c r="C1251" s="10" t="s">
        <v>1293</v>
      </c>
      <c r="D1251" s="10" t="s">
        <v>65</v>
      </c>
      <c r="E1251" s="10" t="s">
        <v>2</v>
      </c>
      <c r="F1251" s="10" t="s">
        <v>11</v>
      </c>
      <c r="G1251" s="10" t="s">
        <v>49</v>
      </c>
      <c r="H1251" s="10" t="s">
        <v>35</v>
      </c>
      <c r="I1251" s="45">
        <v>3062</v>
      </c>
      <c r="J1251" s="11">
        <v>0</v>
      </c>
      <c r="K1251" s="45">
        <f t="shared" si="134"/>
        <v>3062</v>
      </c>
      <c r="L1251" s="10">
        <v>11</v>
      </c>
      <c r="M1251" s="10">
        <v>2</v>
      </c>
      <c r="N1251" s="10" t="b">
        <v>0</v>
      </c>
      <c r="O1251" s="41"/>
      <c r="P1251" s="45">
        <f t="shared" si="135"/>
        <v>1286.04</v>
      </c>
      <c r="Q1251" s="45">
        <f t="shared" si="136"/>
        <v>1775.96</v>
      </c>
      <c r="R1251" s="45">
        <v>0</v>
      </c>
      <c r="S1251" s="45">
        <f t="shared" si="137"/>
        <v>0</v>
      </c>
      <c r="T1251" s="45">
        <f t="shared" si="138"/>
        <v>0</v>
      </c>
      <c r="U1251" s="47">
        <f t="shared" si="139"/>
        <v>1775.96</v>
      </c>
    </row>
    <row r="1252" spans="1:21" x14ac:dyDescent="0.3">
      <c r="A1252" s="41" t="str">
        <f t="shared" si="133"/>
        <v>PMANSH</v>
      </c>
      <c r="B1252" s="43">
        <v>45723</v>
      </c>
      <c r="C1252" s="10" t="s">
        <v>1294</v>
      </c>
      <c r="D1252" s="10" t="s">
        <v>31</v>
      </c>
      <c r="E1252" s="10" t="s">
        <v>18</v>
      </c>
      <c r="F1252" s="10" t="s">
        <v>11</v>
      </c>
      <c r="G1252" s="10" t="s">
        <v>49</v>
      </c>
      <c r="H1252" s="10" t="s">
        <v>7</v>
      </c>
      <c r="I1252" s="45">
        <v>3262</v>
      </c>
      <c r="J1252" s="11">
        <v>8.8000000000000009E-2</v>
      </c>
      <c r="K1252" s="45">
        <f t="shared" si="134"/>
        <v>2974.944</v>
      </c>
      <c r="L1252" s="10">
        <v>36</v>
      </c>
      <c r="M1252" s="10">
        <v>2.1</v>
      </c>
      <c r="N1252" s="10" t="b">
        <v>0</v>
      </c>
      <c r="O1252" s="41"/>
      <c r="P1252" s="45">
        <f t="shared" si="135"/>
        <v>1249.47648</v>
      </c>
      <c r="Q1252" s="45">
        <f t="shared" si="136"/>
        <v>1725.4675199999999</v>
      </c>
      <c r="R1252" s="45">
        <v>0</v>
      </c>
      <c r="S1252" s="45">
        <f t="shared" si="137"/>
        <v>0</v>
      </c>
      <c r="T1252" s="45">
        <f t="shared" si="138"/>
        <v>0</v>
      </c>
      <c r="U1252" s="47">
        <f t="shared" si="139"/>
        <v>1725.4675199999999</v>
      </c>
    </row>
    <row r="1253" spans="1:21" x14ac:dyDescent="0.3">
      <c r="A1253" s="41" t="str">
        <f t="shared" si="133"/>
        <v>PANNSH</v>
      </c>
      <c r="B1253" s="43">
        <v>45723</v>
      </c>
      <c r="C1253" s="10" t="s">
        <v>1295</v>
      </c>
      <c r="D1253" s="10" t="s">
        <v>42</v>
      </c>
      <c r="E1253" s="10" t="s">
        <v>18</v>
      </c>
      <c r="F1253" s="10" t="s">
        <v>54</v>
      </c>
      <c r="G1253" s="10" t="s">
        <v>7</v>
      </c>
      <c r="H1253" s="10" t="s">
        <v>28</v>
      </c>
      <c r="I1253" s="45">
        <v>3319</v>
      </c>
      <c r="J1253" s="11">
        <v>0</v>
      </c>
      <c r="K1253" s="45">
        <f t="shared" si="134"/>
        <v>3319</v>
      </c>
      <c r="L1253" s="10">
        <v>35</v>
      </c>
      <c r="M1253" s="10">
        <v>4.5999999999999996</v>
      </c>
      <c r="N1253" s="10" t="b">
        <v>0</v>
      </c>
      <c r="O1253" s="41"/>
      <c r="P1253" s="45">
        <f t="shared" si="135"/>
        <v>1393.98</v>
      </c>
      <c r="Q1253" s="45">
        <f t="shared" si="136"/>
        <v>1925.02</v>
      </c>
      <c r="R1253" s="45">
        <v>0</v>
      </c>
      <c r="S1253" s="45">
        <f t="shared" si="137"/>
        <v>0</v>
      </c>
      <c r="T1253" s="45">
        <f t="shared" si="138"/>
        <v>0</v>
      </c>
      <c r="U1253" s="47">
        <f t="shared" si="139"/>
        <v>1925.02</v>
      </c>
    </row>
    <row r="1254" spans="1:21" x14ac:dyDescent="0.3">
      <c r="A1254" s="41" t="str">
        <f t="shared" si="133"/>
        <v>PFORBO</v>
      </c>
      <c r="B1254" s="43">
        <v>45724</v>
      </c>
      <c r="C1254" s="10" t="s">
        <v>1296</v>
      </c>
      <c r="D1254" s="10" t="s">
        <v>65</v>
      </c>
      <c r="E1254" s="10" t="s">
        <v>26</v>
      </c>
      <c r="F1254" s="10" t="s">
        <v>54</v>
      </c>
      <c r="G1254" s="10" t="s">
        <v>38</v>
      </c>
      <c r="H1254" s="10" t="s">
        <v>6</v>
      </c>
      <c r="I1254" s="45">
        <v>2000</v>
      </c>
      <c r="J1254" s="11">
        <v>0</v>
      </c>
      <c r="K1254" s="45">
        <f t="shared" si="134"/>
        <v>2000</v>
      </c>
      <c r="L1254" s="10">
        <v>38</v>
      </c>
      <c r="M1254" s="10"/>
      <c r="N1254" s="10" t="b">
        <v>0</v>
      </c>
      <c r="O1254" s="41"/>
      <c r="P1254" s="45">
        <f t="shared" si="135"/>
        <v>840</v>
      </c>
      <c r="Q1254" s="45">
        <f t="shared" si="136"/>
        <v>1160</v>
      </c>
      <c r="R1254" s="45">
        <v>0</v>
      </c>
      <c r="S1254" s="45">
        <f t="shared" si="137"/>
        <v>0</v>
      </c>
      <c r="T1254" s="45">
        <f t="shared" si="138"/>
        <v>0</v>
      </c>
      <c r="U1254" s="47">
        <f t="shared" si="139"/>
        <v>1160</v>
      </c>
    </row>
    <row r="1255" spans="1:21" x14ac:dyDescent="0.3">
      <c r="A1255" s="41" t="str">
        <f t="shared" si="133"/>
        <v>PZARTO</v>
      </c>
      <c r="B1255" s="43">
        <v>45724</v>
      </c>
      <c r="C1255" s="10" t="s">
        <v>1297</v>
      </c>
      <c r="D1255" s="10" t="s">
        <v>3</v>
      </c>
      <c r="E1255" s="10" t="s">
        <v>9</v>
      </c>
      <c r="F1255" s="10" t="s">
        <v>54</v>
      </c>
      <c r="G1255" s="10" t="s">
        <v>38</v>
      </c>
      <c r="H1255" s="10" t="s">
        <v>32</v>
      </c>
      <c r="I1255" s="45">
        <v>1605</v>
      </c>
      <c r="J1255" s="11">
        <v>0.20100000000000001</v>
      </c>
      <c r="K1255" s="45">
        <f t="shared" si="134"/>
        <v>1282.395</v>
      </c>
      <c r="L1255" s="10">
        <v>7</v>
      </c>
      <c r="M1255" s="10"/>
      <c r="N1255" s="10" t="b">
        <v>1</v>
      </c>
      <c r="O1255" s="41" t="s">
        <v>44</v>
      </c>
      <c r="P1255" s="45">
        <f t="shared" si="135"/>
        <v>538.60590000000002</v>
      </c>
      <c r="Q1255" s="45">
        <f t="shared" si="136"/>
        <v>743.78909999999996</v>
      </c>
      <c r="R1255" s="45">
        <v>150</v>
      </c>
      <c r="S1255" s="45">
        <f t="shared" si="137"/>
        <v>128.23949999999999</v>
      </c>
      <c r="T1255" s="45">
        <f t="shared" si="138"/>
        <v>1282.395</v>
      </c>
      <c r="U1255" s="47">
        <f t="shared" si="139"/>
        <v>-816.84540000000004</v>
      </c>
    </row>
    <row r="1256" spans="1:21" x14ac:dyDescent="0.3">
      <c r="A1256" s="41" t="str">
        <f t="shared" si="133"/>
        <v>PH&amp;MBO</v>
      </c>
      <c r="B1256" s="43">
        <v>45724</v>
      </c>
      <c r="C1256" s="10" t="s">
        <v>1298</v>
      </c>
      <c r="D1256" s="10" t="s">
        <v>37</v>
      </c>
      <c r="E1256" s="10" t="s">
        <v>26</v>
      </c>
      <c r="F1256" s="10" t="s">
        <v>11</v>
      </c>
      <c r="G1256" s="10" t="s">
        <v>46</v>
      </c>
      <c r="H1256" s="10" t="s">
        <v>16</v>
      </c>
      <c r="I1256" s="45">
        <v>2934</v>
      </c>
      <c r="J1256" s="11">
        <v>0.23300000000000001</v>
      </c>
      <c r="K1256" s="45">
        <f t="shared" si="134"/>
        <v>2250.3780000000002</v>
      </c>
      <c r="L1256" s="10">
        <v>35</v>
      </c>
      <c r="M1256" s="10"/>
      <c r="N1256" s="10" t="b">
        <v>1</v>
      </c>
      <c r="O1256" s="41" t="s">
        <v>80</v>
      </c>
      <c r="P1256" s="45">
        <f t="shared" si="135"/>
        <v>945.15876000000003</v>
      </c>
      <c r="Q1256" s="45">
        <f t="shared" si="136"/>
        <v>1305.2192400000001</v>
      </c>
      <c r="R1256" s="45">
        <v>150</v>
      </c>
      <c r="S1256" s="45">
        <f t="shared" si="137"/>
        <v>225.03780000000003</v>
      </c>
      <c r="T1256" s="45">
        <f t="shared" si="138"/>
        <v>2250.3780000000002</v>
      </c>
      <c r="U1256" s="47">
        <f t="shared" si="139"/>
        <v>-1320.1965600000001</v>
      </c>
    </row>
    <row r="1257" spans="1:21" x14ac:dyDescent="0.3">
      <c r="A1257" s="41" t="str">
        <f t="shared" si="133"/>
        <v>PFORAC</v>
      </c>
      <c r="B1257" s="43">
        <v>45725</v>
      </c>
      <c r="C1257" s="10" t="s">
        <v>1299</v>
      </c>
      <c r="D1257" s="10" t="s">
        <v>65</v>
      </c>
      <c r="E1257" s="10" t="s">
        <v>15</v>
      </c>
      <c r="F1257" s="10" t="s">
        <v>54</v>
      </c>
      <c r="G1257" s="10" t="s">
        <v>7</v>
      </c>
      <c r="H1257" s="10" t="s">
        <v>35</v>
      </c>
      <c r="I1257" s="45">
        <v>356</v>
      </c>
      <c r="J1257" s="11">
        <v>0</v>
      </c>
      <c r="K1257" s="45">
        <f t="shared" si="134"/>
        <v>356</v>
      </c>
      <c r="L1257" s="10">
        <v>13</v>
      </c>
      <c r="M1257" s="10">
        <v>3.1</v>
      </c>
      <c r="N1257" s="10" t="b">
        <v>0</v>
      </c>
      <c r="O1257" s="41"/>
      <c r="P1257" s="45">
        <f t="shared" si="135"/>
        <v>149.51999999999998</v>
      </c>
      <c r="Q1257" s="45">
        <f t="shared" si="136"/>
        <v>206.48000000000002</v>
      </c>
      <c r="R1257" s="45">
        <v>0</v>
      </c>
      <c r="S1257" s="45">
        <f t="shared" si="137"/>
        <v>0</v>
      </c>
      <c r="T1257" s="45">
        <f t="shared" si="138"/>
        <v>0</v>
      </c>
      <c r="U1257" s="47">
        <f t="shared" si="139"/>
        <v>206.48000000000002</v>
      </c>
    </row>
    <row r="1258" spans="1:21" x14ac:dyDescent="0.3">
      <c r="A1258" s="41" t="str">
        <f t="shared" si="133"/>
        <v>PH&amp;MSH</v>
      </c>
      <c r="B1258" s="43">
        <v>45725</v>
      </c>
      <c r="C1258" s="10" t="s">
        <v>1300</v>
      </c>
      <c r="D1258" s="10" t="s">
        <v>37</v>
      </c>
      <c r="E1258" s="10" t="s">
        <v>18</v>
      </c>
      <c r="F1258" s="10" t="s">
        <v>11</v>
      </c>
      <c r="G1258" s="10" t="s">
        <v>12</v>
      </c>
      <c r="H1258" s="10" t="s">
        <v>43</v>
      </c>
      <c r="I1258" s="45">
        <v>3816</v>
      </c>
      <c r="J1258" s="11">
        <v>0</v>
      </c>
      <c r="K1258" s="45">
        <f t="shared" si="134"/>
        <v>3816</v>
      </c>
      <c r="L1258" s="10">
        <v>3</v>
      </c>
      <c r="M1258" s="10">
        <v>4</v>
      </c>
      <c r="N1258" s="10" t="b">
        <v>0</v>
      </c>
      <c r="O1258" s="41"/>
      <c r="P1258" s="45">
        <f t="shared" si="135"/>
        <v>1602.72</v>
      </c>
      <c r="Q1258" s="45">
        <f t="shared" si="136"/>
        <v>2213.2799999999997</v>
      </c>
      <c r="R1258" s="45">
        <v>0</v>
      </c>
      <c r="S1258" s="45">
        <f t="shared" si="137"/>
        <v>0</v>
      </c>
      <c r="T1258" s="45">
        <f t="shared" si="138"/>
        <v>0</v>
      </c>
      <c r="U1258" s="47">
        <f t="shared" si="139"/>
        <v>2213.2799999999997</v>
      </c>
    </row>
    <row r="1259" spans="1:21" x14ac:dyDescent="0.3">
      <c r="A1259" s="41" t="str">
        <f t="shared" si="133"/>
        <v>PZARTO</v>
      </c>
      <c r="B1259" s="43">
        <v>45725</v>
      </c>
      <c r="C1259" s="10" t="s">
        <v>1301</v>
      </c>
      <c r="D1259" s="10" t="s">
        <v>3</v>
      </c>
      <c r="E1259" s="10" t="s">
        <v>9</v>
      </c>
      <c r="F1259" s="10" t="s">
        <v>54</v>
      </c>
      <c r="G1259" s="10" t="s">
        <v>27</v>
      </c>
      <c r="H1259" s="10" t="s">
        <v>58</v>
      </c>
      <c r="I1259" s="45">
        <v>1126</v>
      </c>
      <c r="J1259" s="11">
        <v>0</v>
      </c>
      <c r="K1259" s="45">
        <f t="shared" si="134"/>
        <v>1126</v>
      </c>
      <c r="L1259" s="10">
        <v>10</v>
      </c>
      <c r="M1259" s="10">
        <v>1.1000000000000001</v>
      </c>
      <c r="N1259" s="10" t="b">
        <v>0</v>
      </c>
      <c r="O1259" s="41"/>
      <c r="P1259" s="45">
        <f t="shared" si="135"/>
        <v>472.91999999999996</v>
      </c>
      <c r="Q1259" s="45">
        <f t="shared" si="136"/>
        <v>653.08000000000004</v>
      </c>
      <c r="R1259" s="45">
        <v>0</v>
      </c>
      <c r="S1259" s="45">
        <f t="shared" si="137"/>
        <v>0</v>
      </c>
      <c r="T1259" s="45">
        <f t="shared" si="138"/>
        <v>0</v>
      </c>
      <c r="U1259" s="47">
        <f t="shared" si="139"/>
        <v>653.08000000000004</v>
      </c>
    </row>
    <row r="1260" spans="1:21" x14ac:dyDescent="0.3">
      <c r="A1260" s="41" t="str">
        <f t="shared" si="133"/>
        <v>PANNOU</v>
      </c>
      <c r="B1260" s="43">
        <v>45725</v>
      </c>
      <c r="C1260" s="10" t="s">
        <v>1302</v>
      </c>
      <c r="D1260" s="10" t="s">
        <v>42</v>
      </c>
      <c r="E1260" s="10" t="s">
        <v>2</v>
      </c>
      <c r="F1260" s="10" t="s">
        <v>23</v>
      </c>
      <c r="G1260" s="10" t="s">
        <v>38</v>
      </c>
      <c r="H1260" s="10" t="s">
        <v>56</v>
      </c>
      <c r="I1260" s="45">
        <v>4005</v>
      </c>
      <c r="J1260" s="11">
        <v>0</v>
      </c>
      <c r="K1260" s="45">
        <f t="shared" si="134"/>
        <v>4005</v>
      </c>
      <c r="L1260" s="10">
        <v>7</v>
      </c>
      <c r="M1260" s="10">
        <v>5</v>
      </c>
      <c r="N1260" s="10" t="b">
        <v>0</v>
      </c>
      <c r="O1260" s="41"/>
      <c r="P1260" s="45">
        <f t="shared" si="135"/>
        <v>1682.1</v>
      </c>
      <c r="Q1260" s="45">
        <f t="shared" si="136"/>
        <v>2322.9</v>
      </c>
      <c r="R1260" s="45">
        <v>0</v>
      </c>
      <c r="S1260" s="45">
        <f t="shared" si="137"/>
        <v>0</v>
      </c>
      <c r="T1260" s="45">
        <f t="shared" si="138"/>
        <v>0</v>
      </c>
      <c r="U1260" s="47">
        <f t="shared" si="139"/>
        <v>2322.9</v>
      </c>
    </row>
    <row r="1261" spans="1:21" x14ac:dyDescent="0.3">
      <c r="A1261" s="41" t="str">
        <f t="shared" si="133"/>
        <v>PMANDR</v>
      </c>
      <c r="B1261" s="43">
        <v>45726</v>
      </c>
      <c r="C1261" s="10" t="s">
        <v>1303</v>
      </c>
      <c r="D1261" s="10" t="s">
        <v>31</v>
      </c>
      <c r="E1261" s="10" t="s">
        <v>30</v>
      </c>
      <c r="F1261" s="10" t="s">
        <v>4</v>
      </c>
      <c r="G1261" s="10" t="s">
        <v>5</v>
      </c>
      <c r="H1261" s="10" t="s">
        <v>13</v>
      </c>
      <c r="I1261" s="45">
        <v>2191</v>
      </c>
      <c r="J1261" s="11">
        <v>0.42200000000000004</v>
      </c>
      <c r="K1261" s="45">
        <f t="shared" si="134"/>
        <v>1266.3979999999999</v>
      </c>
      <c r="L1261" s="10">
        <v>43</v>
      </c>
      <c r="M1261" s="10">
        <v>1.3</v>
      </c>
      <c r="N1261" s="10" t="b">
        <v>0</v>
      </c>
      <c r="O1261" s="41"/>
      <c r="P1261" s="45">
        <f t="shared" si="135"/>
        <v>531.88715999999999</v>
      </c>
      <c r="Q1261" s="45">
        <f t="shared" si="136"/>
        <v>734.51083999999992</v>
      </c>
      <c r="R1261" s="45">
        <v>0</v>
      </c>
      <c r="S1261" s="45">
        <f t="shared" si="137"/>
        <v>0</v>
      </c>
      <c r="T1261" s="45">
        <f t="shared" si="138"/>
        <v>0</v>
      </c>
      <c r="U1261" s="47">
        <f t="shared" si="139"/>
        <v>734.51083999999992</v>
      </c>
    </row>
    <row r="1262" spans="1:21" x14ac:dyDescent="0.3">
      <c r="A1262" s="41" t="str">
        <f t="shared" si="133"/>
        <v>PGAPAC</v>
      </c>
      <c r="B1262" s="43">
        <v>45726</v>
      </c>
      <c r="C1262" s="10" t="s">
        <v>1304</v>
      </c>
      <c r="D1262" s="10" t="s">
        <v>53</v>
      </c>
      <c r="E1262" s="10" t="s">
        <v>15</v>
      </c>
      <c r="F1262" s="10" t="s">
        <v>23</v>
      </c>
      <c r="G1262" s="10" t="s">
        <v>7</v>
      </c>
      <c r="H1262" s="10" t="s">
        <v>56</v>
      </c>
      <c r="I1262" s="45">
        <v>216</v>
      </c>
      <c r="J1262" s="11">
        <v>0.57999999999999996</v>
      </c>
      <c r="K1262" s="45">
        <f t="shared" si="134"/>
        <v>90.720000000000013</v>
      </c>
      <c r="L1262" s="10">
        <v>6</v>
      </c>
      <c r="M1262" s="10">
        <v>4.2</v>
      </c>
      <c r="N1262" s="10" t="b">
        <v>0</v>
      </c>
      <c r="O1262" s="41"/>
      <c r="P1262" s="45">
        <f t="shared" si="135"/>
        <v>38.102400000000003</v>
      </c>
      <c r="Q1262" s="45">
        <f t="shared" si="136"/>
        <v>52.61760000000001</v>
      </c>
      <c r="R1262" s="45">
        <v>0</v>
      </c>
      <c r="S1262" s="45">
        <f t="shared" si="137"/>
        <v>0</v>
      </c>
      <c r="T1262" s="45">
        <f t="shared" si="138"/>
        <v>0</v>
      </c>
      <c r="U1262" s="47">
        <f t="shared" si="139"/>
        <v>52.61760000000001</v>
      </c>
    </row>
    <row r="1263" spans="1:21" x14ac:dyDescent="0.3">
      <c r="A1263" s="41" t="str">
        <f t="shared" si="133"/>
        <v>PUNIDR</v>
      </c>
      <c r="B1263" s="43">
        <v>45726</v>
      </c>
      <c r="C1263" s="10" t="s">
        <v>1305</v>
      </c>
      <c r="D1263" s="10" t="s">
        <v>10</v>
      </c>
      <c r="E1263" s="10" t="s">
        <v>30</v>
      </c>
      <c r="F1263" s="10" t="s">
        <v>54</v>
      </c>
      <c r="G1263" s="10" t="s">
        <v>46</v>
      </c>
      <c r="H1263" s="10" t="s">
        <v>32</v>
      </c>
      <c r="I1263" s="45">
        <v>2742</v>
      </c>
      <c r="J1263" s="11">
        <v>0.22899999999999998</v>
      </c>
      <c r="K1263" s="45">
        <f t="shared" si="134"/>
        <v>2114.0819999999999</v>
      </c>
      <c r="L1263" s="10">
        <v>5</v>
      </c>
      <c r="M1263" s="10">
        <v>1.2</v>
      </c>
      <c r="N1263" s="10" t="b">
        <v>0</v>
      </c>
      <c r="O1263" s="41"/>
      <c r="P1263" s="45">
        <f t="shared" si="135"/>
        <v>887.9144399999999</v>
      </c>
      <c r="Q1263" s="45">
        <f t="shared" si="136"/>
        <v>1226.1675599999999</v>
      </c>
      <c r="R1263" s="45">
        <v>0</v>
      </c>
      <c r="S1263" s="45">
        <f t="shared" si="137"/>
        <v>0</v>
      </c>
      <c r="T1263" s="45">
        <f t="shared" si="138"/>
        <v>0</v>
      </c>
      <c r="U1263" s="47">
        <f t="shared" si="139"/>
        <v>1226.1675599999999</v>
      </c>
    </row>
    <row r="1264" spans="1:21" x14ac:dyDescent="0.3">
      <c r="A1264" s="41" t="str">
        <f t="shared" si="133"/>
        <v>PBANOU</v>
      </c>
      <c r="B1264" s="43">
        <v>45726</v>
      </c>
      <c r="C1264" s="10" t="s">
        <v>1306</v>
      </c>
      <c r="D1264" s="10" t="s">
        <v>21</v>
      </c>
      <c r="E1264" s="10" t="s">
        <v>2</v>
      </c>
      <c r="F1264" s="10" t="s">
        <v>54</v>
      </c>
      <c r="G1264" s="10" t="s">
        <v>49</v>
      </c>
      <c r="H1264" s="10" t="s">
        <v>28</v>
      </c>
      <c r="I1264" s="45">
        <v>3322</v>
      </c>
      <c r="J1264" s="11">
        <v>0</v>
      </c>
      <c r="K1264" s="45">
        <f t="shared" si="134"/>
        <v>3322</v>
      </c>
      <c r="L1264" s="10">
        <v>41</v>
      </c>
      <c r="M1264" s="10">
        <v>4.0999999999999996</v>
      </c>
      <c r="N1264" s="10" t="b">
        <v>0</v>
      </c>
      <c r="O1264" s="41"/>
      <c r="P1264" s="45">
        <f t="shared" si="135"/>
        <v>1395.24</v>
      </c>
      <c r="Q1264" s="45">
        <f t="shared" si="136"/>
        <v>1926.76</v>
      </c>
      <c r="R1264" s="45">
        <v>0</v>
      </c>
      <c r="S1264" s="45">
        <f t="shared" si="137"/>
        <v>0</v>
      </c>
      <c r="T1264" s="45">
        <f t="shared" si="138"/>
        <v>0</v>
      </c>
      <c r="U1264" s="47">
        <f t="shared" si="139"/>
        <v>1926.76</v>
      </c>
    </row>
    <row r="1265" spans="1:21" x14ac:dyDescent="0.3">
      <c r="A1265" s="41" t="str">
        <f t="shared" si="133"/>
        <v>PBANAC</v>
      </c>
      <c r="B1265" s="43">
        <v>45727</v>
      </c>
      <c r="C1265" s="10" t="s">
        <v>1307</v>
      </c>
      <c r="D1265" s="10" t="s">
        <v>21</v>
      </c>
      <c r="E1265" s="10" t="s">
        <v>15</v>
      </c>
      <c r="F1265" s="10" t="s">
        <v>11</v>
      </c>
      <c r="G1265" s="10" t="s">
        <v>7</v>
      </c>
      <c r="H1265" s="10" t="s">
        <v>13</v>
      </c>
      <c r="I1265" s="45">
        <v>210</v>
      </c>
      <c r="J1265" s="11">
        <v>0</v>
      </c>
      <c r="K1265" s="45">
        <f t="shared" si="134"/>
        <v>210</v>
      </c>
      <c r="L1265" s="10">
        <v>39</v>
      </c>
      <c r="M1265" s="10">
        <v>4.4000000000000004</v>
      </c>
      <c r="N1265" s="10" t="b">
        <v>1</v>
      </c>
      <c r="O1265" s="41" t="s">
        <v>33</v>
      </c>
      <c r="P1265" s="45">
        <f t="shared" si="135"/>
        <v>88.2</v>
      </c>
      <c r="Q1265" s="45">
        <f t="shared" si="136"/>
        <v>121.8</v>
      </c>
      <c r="R1265" s="45">
        <v>150</v>
      </c>
      <c r="S1265" s="45">
        <f t="shared" si="137"/>
        <v>21</v>
      </c>
      <c r="T1265" s="45">
        <f t="shared" si="138"/>
        <v>210</v>
      </c>
      <c r="U1265" s="47">
        <f t="shared" si="139"/>
        <v>-259.2</v>
      </c>
    </row>
    <row r="1266" spans="1:21" x14ac:dyDescent="0.3">
      <c r="A1266" s="41" t="str">
        <f t="shared" si="133"/>
        <v>PUNITO</v>
      </c>
      <c r="B1266" s="43">
        <v>45727</v>
      </c>
      <c r="C1266" s="10" t="s">
        <v>1308</v>
      </c>
      <c r="D1266" s="10" t="s">
        <v>10</v>
      </c>
      <c r="E1266" s="10" t="s">
        <v>9</v>
      </c>
      <c r="F1266" s="10" t="s">
        <v>11</v>
      </c>
      <c r="G1266" s="10" t="s">
        <v>38</v>
      </c>
      <c r="H1266" s="10" t="s">
        <v>47</v>
      </c>
      <c r="I1266" s="45">
        <v>1070</v>
      </c>
      <c r="J1266" s="11">
        <v>0</v>
      </c>
      <c r="K1266" s="45">
        <f t="shared" si="134"/>
        <v>1070</v>
      </c>
      <c r="L1266" s="10">
        <v>24</v>
      </c>
      <c r="M1266" s="10"/>
      <c r="N1266" s="10" t="b">
        <v>0</v>
      </c>
      <c r="O1266" s="41"/>
      <c r="P1266" s="45">
        <f t="shared" si="135"/>
        <v>449.4</v>
      </c>
      <c r="Q1266" s="45">
        <f t="shared" si="136"/>
        <v>620.6</v>
      </c>
      <c r="R1266" s="45">
        <v>0</v>
      </c>
      <c r="S1266" s="45">
        <f t="shared" si="137"/>
        <v>0</v>
      </c>
      <c r="T1266" s="45">
        <f t="shared" si="138"/>
        <v>0</v>
      </c>
      <c r="U1266" s="47">
        <f t="shared" si="139"/>
        <v>620.6</v>
      </c>
    </row>
    <row r="1267" spans="1:21" x14ac:dyDescent="0.3">
      <c r="A1267" s="41" t="str">
        <f t="shared" si="133"/>
        <v>PMANBO</v>
      </c>
      <c r="B1267" s="43">
        <v>45727</v>
      </c>
      <c r="C1267" s="10" t="s">
        <v>1309</v>
      </c>
      <c r="D1267" s="10" t="s">
        <v>31</v>
      </c>
      <c r="E1267" s="10" t="s">
        <v>26</v>
      </c>
      <c r="F1267" s="10" t="s">
        <v>11</v>
      </c>
      <c r="G1267" s="10" t="s">
        <v>12</v>
      </c>
      <c r="H1267" s="10" t="s">
        <v>6</v>
      </c>
      <c r="I1267" s="45">
        <v>2661</v>
      </c>
      <c r="J1267" s="11">
        <v>0.26400000000000001</v>
      </c>
      <c r="K1267" s="45">
        <f t="shared" si="134"/>
        <v>1958.4959999999999</v>
      </c>
      <c r="L1267" s="10">
        <v>7</v>
      </c>
      <c r="M1267" s="10">
        <v>2.9</v>
      </c>
      <c r="N1267" s="10" t="b">
        <v>1</v>
      </c>
      <c r="O1267" s="41" t="s">
        <v>33</v>
      </c>
      <c r="P1267" s="45">
        <f t="shared" si="135"/>
        <v>822.56831999999986</v>
      </c>
      <c r="Q1267" s="45">
        <f t="shared" si="136"/>
        <v>1135.92768</v>
      </c>
      <c r="R1267" s="45">
        <v>150</v>
      </c>
      <c r="S1267" s="45">
        <f t="shared" si="137"/>
        <v>195.84960000000001</v>
      </c>
      <c r="T1267" s="45">
        <f t="shared" si="138"/>
        <v>1958.4959999999999</v>
      </c>
      <c r="U1267" s="47">
        <f t="shared" si="139"/>
        <v>-1168.4179199999999</v>
      </c>
    </row>
    <row r="1268" spans="1:21" x14ac:dyDescent="0.3">
      <c r="A1268" s="41" t="str">
        <f t="shared" si="133"/>
        <v>PZAROU</v>
      </c>
      <c r="B1268" s="43">
        <v>45728</v>
      </c>
      <c r="C1268" s="10" t="s">
        <v>1310</v>
      </c>
      <c r="D1268" s="10" t="s">
        <v>3</v>
      </c>
      <c r="E1268" s="10" t="s">
        <v>2</v>
      </c>
      <c r="F1268" s="10" t="s">
        <v>11</v>
      </c>
      <c r="G1268" s="10" t="s">
        <v>12</v>
      </c>
      <c r="H1268" s="10" t="s">
        <v>6</v>
      </c>
      <c r="I1268" s="45">
        <v>3650</v>
      </c>
      <c r="J1268" s="11">
        <v>0</v>
      </c>
      <c r="K1268" s="45">
        <f t="shared" si="134"/>
        <v>3650</v>
      </c>
      <c r="L1268" s="10">
        <v>41</v>
      </c>
      <c r="M1268" s="10">
        <v>1.7</v>
      </c>
      <c r="N1268" s="10" t="b">
        <v>0</v>
      </c>
      <c r="O1268" s="41"/>
      <c r="P1268" s="45">
        <f t="shared" si="135"/>
        <v>1533</v>
      </c>
      <c r="Q1268" s="45">
        <f t="shared" si="136"/>
        <v>2117</v>
      </c>
      <c r="R1268" s="45">
        <v>0</v>
      </c>
      <c r="S1268" s="45">
        <f t="shared" si="137"/>
        <v>0</v>
      </c>
      <c r="T1268" s="45">
        <f t="shared" si="138"/>
        <v>0</v>
      </c>
      <c r="U1268" s="47">
        <f t="shared" si="139"/>
        <v>2117</v>
      </c>
    </row>
    <row r="1269" spans="1:21" x14ac:dyDescent="0.3">
      <c r="A1269" s="41" t="str">
        <f t="shared" si="133"/>
        <v>PBANBO</v>
      </c>
      <c r="B1269" s="43">
        <v>45728</v>
      </c>
      <c r="C1269" s="10" t="s">
        <v>1311</v>
      </c>
      <c r="D1269" s="10" t="s">
        <v>21</v>
      </c>
      <c r="E1269" s="10" t="s">
        <v>26</v>
      </c>
      <c r="F1269" s="10" t="s">
        <v>4</v>
      </c>
      <c r="G1269" s="10" t="s">
        <v>12</v>
      </c>
      <c r="H1269" s="10" t="s">
        <v>35</v>
      </c>
      <c r="I1269" s="45">
        <v>2891</v>
      </c>
      <c r="J1269" s="11">
        <v>0</v>
      </c>
      <c r="K1269" s="45">
        <f t="shared" si="134"/>
        <v>2891</v>
      </c>
      <c r="L1269" s="10">
        <v>23</v>
      </c>
      <c r="M1269" s="10">
        <v>4</v>
      </c>
      <c r="N1269" s="10" t="b">
        <v>0</v>
      </c>
      <c r="O1269" s="41"/>
      <c r="P1269" s="45">
        <f t="shared" si="135"/>
        <v>1214.22</v>
      </c>
      <c r="Q1269" s="45">
        <f t="shared" si="136"/>
        <v>1676.78</v>
      </c>
      <c r="R1269" s="45">
        <v>0</v>
      </c>
      <c r="S1269" s="45">
        <f t="shared" si="137"/>
        <v>0</v>
      </c>
      <c r="T1269" s="45">
        <f t="shared" si="138"/>
        <v>0</v>
      </c>
      <c r="U1269" s="47">
        <f t="shared" si="139"/>
        <v>1676.78</v>
      </c>
    </row>
    <row r="1270" spans="1:21" x14ac:dyDescent="0.3">
      <c r="A1270" s="41" t="str">
        <f t="shared" si="133"/>
        <v>PUNIBO</v>
      </c>
      <c r="B1270" s="43">
        <v>45728</v>
      </c>
      <c r="C1270" s="10" t="s">
        <v>1312</v>
      </c>
      <c r="D1270" s="10" t="s">
        <v>10</v>
      </c>
      <c r="E1270" s="10" t="s">
        <v>26</v>
      </c>
      <c r="F1270" s="10" t="s">
        <v>4</v>
      </c>
      <c r="G1270" s="10" t="s">
        <v>12</v>
      </c>
      <c r="H1270" s="10" t="s">
        <v>32</v>
      </c>
      <c r="I1270" s="45">
        <v>2715</v>
      </c>
      <c r="J1270" s="11">
        <v>0</v>
      </c>
      <c r="K1270" s="45">
        <f t="shared" si="134"/>
        <v>2715</v>
      </c>
      <c r="L1270" s="10">
        <v>13</v>
      </c>
      <c r="M1270" s="10">
        <v>3.5</v>
      </c>
      <c r="N1270" s="10" t="b">
        <v>0</v>
      </c>
      <c r="O1270" s="41"/>
      <c r="P1270" s="45">
        <f t="shared" si="135"/>
        <v>1140.3</v>
      </c>
      <c r="Q1270" s="45">
        <f t="shared" si="136"/>
        <v>1574.7</v>
      </c>
      <c r="R1270" s="45">
        <v>0</v>
      </c>
      <c r="S1270" s="45">
        <f t="shared" si="137"/>
        <v>0</v>
      </c>
      <c r="T1270" s="45">
        <f t="shared" si="138"/>
        <v>0</v>
      </c>
      <c r="U1270" s="47">
        <f t="shared" si="139"/>
        <v>1574.7</v>
      </c>
    </row>
    <row r="1271" spans="1:21" x14ac:dyDescent="0.3">
      <c r="A1271" s="41" t="str">
        <f t="shared" si="133"/>
        <v>PFORTO</v>
      </c>
      <c r="B1271" s="43">
        <v>45728</v>
      </c>
      <c r="C1271" s="10" t="s">
        <v>1313</v>
      </c>
      <c r="D1271" s="10" t="s">
        <v>65</v>
      </c>
      <c r="E1271" s="10" t="s">
        <v>9</v>
      </c>
      <c r="F1271" s="10" t="s">
        <v>4</v>
      </c>
      <c r="G1271" s="10" t="s">
        <v>27</v>
      </c>
      <c r="H1271" s="10" t="s">
        <v>47</v>
      </c>
      <c r="I1271" s="45">
        <v>1442</v>
      </c>
      <c r="J1271" s="11">
        <v>0</v>
      </c>
      <c r="K1271" s="45">
        <f t="shared" si="134"/>
        <v>1442</v>
      </c>
      <c r="L1271" s="10">
        <v>18</v>
      </c>
      <c r="M1271" s="10">
        <v>4.4000000000000004</v>
      </c>
      <c r="N1271" s="10" t="b">
        <v>0</v>
      </c>
      <c r="O1271" s="41"/>
      <c r="P1271" s="45">
        <f t="shared" si="135"/>
        <v>605.64</v>
      </c>
      <c r="Q1271" s="45">
        <f t="shared" si="136"/>
        <v>836.36</v>
      </c>
      <c r="R1271" s="45">
        <v>0</v>
      </c>
      <c r="S1271" s="45">
        <f t="shared" si="137"/>
        <v>0</v>
      </c>
      <c r="T1271" s="45">
        <f t="shared" si="138"/>
        <v>0</v>
      </c>
      <c r="U1271" s="47">
        <f t="shared" si="139"/>
        <v>836.36</v>
      </c>
    </row>
    <row r="1272" spans="1:21" x14ac:dyDescent="0.3">
      <c r="A1272" s="41" t="str">
        <f t="shared" si="133"/>
        <v>PH&amp;MDR</v>
      </c>
      <c r="B1272" s="43">
        <v>45729</v>
      </c>
      <c r="C1272" s="10" t="s">
        <v>1314</v>
      </c>
      <c r="D1272" s="10" t="s">
        <v>37</v>
      </c>
      <c r="E1272" s="10" t="s">
        <v>30</v>
      </c>
      <c r="F1272" s="10" t="s">
        <v>11</v>
      </c>
      <c r="G1272" s="10" t="s">
        <v>27</v>
      </c>
      <c r="H1272" s="10" t="s">
        <v>43</v>
      </c>
      <c r="I1272" s="45">
        <v>2528</v>
      </c>
      <c r="J1272" s="11">
        <v>0</v>
      </c>
      <c r="K1272" s="45">
        <f t="shared" si="134"/>
        <v>2528</v>
      </c>
      <c r="L1272" s="10">
        <v>1</v>
      </c>
      <c r="M1272" s="10"/>
      <c r="N1272" s="10" t="b">
        <v>0</v>
      </c>
      <c r="O1272" s="41"/>
      <c r="P1272" s="45">
        <f t="shared" si="135"/>
        <v>1061.76</v>
      </c>
      <c r="Q1272" s="45">
        <f t="shared" si="136"/>
        <v>1466.24</v>
      </c>
      <c r="R1272" s="45">
        <v>0</v>
      </c>
      <c r="S1272" s="45">
        <f t="shared" si="137"/>
        <v>0</v>
      </c>
      <c r="T1272" s="45">
        <f t="shared" si="138"/>
        <v>0</v>
      </c>
      <c r="U1272" s="47">
        <f t="shared" si="139"/>
        <v>1466.24</v>
      </c>
    </row>
    <row r="1273" spans="1:21" x14ac:dyDescent="0.3">
      <c r="A1273" s="41" t="str">
        <f t="shared" si="133"/>
        <v>PH&amp;MAC</v>
      </c>
      <c r="B1273" s="43">
        <v>45729</v>
      </c>
      <c r="C1273" s="10" t="s">
        <v>1315</v>
      </c>
      <c r="D1273" s="10" t="s">
        <v>37</v>
      </c>
      <c r="E1273" s="10" t="s">
        <v>15</v>
      </c>
      <c r="F1273" s="10" t="s">
        <v>23</v>
      </c>
      <c r="G1273" s="10" t="s">
        <v>7</v>
      </c>
      <c r="H1273" s="10" t="s">
        <v>7</v>
      </c>
      <c r="I1273" s="45">
        <v>340</v>
      </c>
      <c r="J1273" s="11">
        <v>0.08</v>
      </c>
      <c r="K1273" s="45">
        <f t="shared" si="134"/>
        <v>312.8</v>
      </c>
      <c r="L1273" s="10">
        <v>18</v>
      </c>
      <c r="M1273" s="10">
        <v>3.1</v>
      </c>
      <c r="N1273" s="10" t="b">
        <v>0</v>
      </c>
      <c r="O1273" s="41"/>
      <c r="P1273" s="45">
        <f t="shared" si="135"/>
        <v>131.376</v>
      </c>
      <c r="Q1273" s="45">
        <f t="shared" si="136"/>
        <v>181.42400000000001</v>
      </c>
      <c r="R1273" s="45">
        <v>0</v>
      </c>
      <c r="S1273" s="45">
        <f t="shared" si="137"/>
        <v>0</v>
      </c>
      <c r="T1273" s="45">
        <f t="shared" si="138"/>
        <v>0</v>
      </c>
      <c r="U1273" s="47">
        <f t="shared" si="139"/>
        <v>181.42400000000001</v>
      </c>
    </row>
    <row r="1274" spans="1:21" x14ac:dyDescent="0.3">
      <c r="A1274" s="41" t="str">
        <f t="shared" si="133"/>
        <v>PMANOU</v>
      </c>
      <c r="B1274" s="43">
        <v>45729</v>
      </c>
      <c r="C1274" s="10" t="s">
        <v>1316</v>
      </c>
      <c r="D1274" s="10" t="s">
        <v>31</v>
      </c>
      <c r="E1274" s="10" t="s">
        <v>2</v>
      </c>
      <c r="F1274" s="10" t="s">
        <v>23</v>
      </c>
      <c r="G1274" s="10" t="s">
        <v>12</v>
      </c>
      <c r="H1274" s="10" t="s">
        <v>58</v>
      </c>
      <c r="I1274" s="45">
        <v>3769</v>
      </c>
      <c r="J1274" s="11">
        <v>0</v>
      </c>
      <c r="K1274" s="45">
        <f t="shared" si="134"/>
        <v>3769</v>
      </c>
      <c r="L1274" s="10">
        <v>30</v>
      </c>
      <c r="M1274" s="10">
        <v>2.1</v>
      </c>
      <c r="N1274" s="10" t="b">
        <v>1</v>
      </c>
      <c r="O1274" s="41" t="s">
        <v>33</v>
      </c>
      <c r="P1274" s="45">
        <f t="shared" si="135"/>
        <v>1582.98</v>
      </c>
      <c r="Q1274" s="45">
        <f t="shared" si="136"/>
        <v>2186.02</v>
      </c>
      <c r="R1274" s="45">
        <v>150</v>
      </c>
      <c r="S1274" s="45">
        <f t="shared" si="137"/>
        <v>376.90000000000003</v>
      </c>
      <c r="T1274" s="45">
        <f t="shared" si="138"/>
        <v>3769</v>
      </c>
      <c r="U1274" s="47">
        <f t="shared" si="139"/>
        <v>-2109.88</v>
      </c>
    </row>
    <row r="1275" spans="1:21" x14ac:dyDescent="0.3">
      <c r="A1275" s="41" t="str">
        <f t="shared" si="133"/>
        <v>PUNISH</v>
      </c>
      <c r="B1275" s="43">
        <v>45729</v>
      </c>
      <c r="C1275" s="10" t="s">
        <v>1317</v>
      </c>
      <c r="D1275" s="10" t="s">
        <v>10</v>
      </c>
      <c r="E1275" s="10" t="s">
        <v>18</v>
      </c>
      <c r="F1275" s="10" t="s">
        <v>54</v>
      </c>
      <c r="G1275" s="10" t="s">
        <v>46</v>
      </c>
      <c r="H1275" s="10" t="s">
        <v>32</v>
      </c>
      <c r="I1275" s="45">
        <v>4325</v>
      </c>
      <c r="J1275" s="11">
        <v>0</v>
      </c>
      <c r="K1275" s="45">
        <f t="shared" si="134"/>
        <v>4325</v>
      </c>
      <c r="L1275" s="10">
        <v>31</v>
      </c>
      <c r="M1275" s="10"/>
      <c r="N1275" s="10" t="b">
        <v>1</v>
      </c>
      <c r="O1275" s="41" t="s">
        <v>309</v>
      </c>
      <c r="P1275" s="45">
        <f t="shared" si="135"/>
        <v>1816.5</v>
      </c>
      <c r="Q1275" s="45">
        <f t="shared" si="136"/>
        <v>2508.5</v>
      </c>
      <c r="R1275" s="45">
        <v>150</v>
      </c>
      <c r="S1275" s="45">
        <f t="shared" si="137"/>
        <v>432.5</v>
      </c>
      <c r="T1275" s="45">
        <f t="shared" si="138"/>
        <v>4325</v>
      </c>
      <c r="U1275" s="47">
        <f t="shared" si="139"/>
        <v>-2399</v>
      </c>
    </row>
    <row r="1276" spans="1:21" x14ac:dyDescent="0.3">
      <c r="A1276" s="41" t="str">
        <f t="shared" si="133"/>
        <v>PH&amp;MBO</v>
      </c>
      <c r="B1276" s="43">
        <v>45730</v>
      </c>
      <c r="C1276" s="10" t="s">
        <v>1318</v>
      </c>
      <c r="D1276" s="10" t="s">
        <v>37</v>
      </c>
      <c r="E1276" s="10" t="s">
        <v>26</v>
      </c>
      <c r="F1276" s="10" t="s">
        <v>11</v>
      </c>
      <c r="G1276" s="10" t="s">
        <v>27</v>
      </c>
      <c r="H1276" s="10" t="s">
        <v>28</v>
      </c>
      <c r="I1276" s="45">
        <v>2073</v>
      </c>
      <c r="J1276" s="11">
        <v>0</v>
      </c>
      <c r="K1276" s="45">
        <f t="shared" si="134"/>
        <v>2073</v>
      </c>
      <c r="L1276" s="10">
        <v>8</v>
      </c>
      <c r="M1276" s="10">
        <v>3</v>
      </c>
      <c r="N1276" s="10" t="b">
        <v>0</v>
      </c>
      <c r="O1276" s="41"/>
      <c r="P1276" s="45">
        <f t="shared" si="135"/>
        <v>870.66</v>
      </c>
      <c r="Q1276" s="45">
        <f t="shared" si="136"/>
        <v>1202.3400000000001</v>
      </c>
      <c r="R1276" s="45">
        <v>0</v>
      </c>
      <c r="S1276" s="45">
        <f t="shared" si="137"/>
        <v>0</v>
      </c>
      <c r="T1276" s="45">
        <f t="shared" si="138"/>
        <v>0</v>
      </c>
      <c r="U1276" s="47">
        <f t="shared" si="139"/>
        <v>1202.3400000000001</v>
      </c>
    </row>
    <row r="1277" spans="1:21" x14ac:dyDescent="0.3">
      <c r="A1277" s="41" t="str">
        <f t="shared" si="133"/>
        <v>PZARSH</v>
      </c>
      <c r="B1277" s="43">
        <v>45730</v>
      </c>
      <c r="C1277" s="10" t="s">
        <v>1319</v>
      </c>
      <c r="D1277" s="10" t="s">
        <v>3</v>
      </c>
      <c r="E1277" s="10" t="s">
        <v>18</v>
      </c>
      <c r="F1277" s="10" t="s">
        <v>54</v>
      </c>
      <c r="G1277" s="10" t="s">
        <v>46</v>
      </c>
      <c r="H1277" s="10" t="s">
        <v>16</v>
      </c>
      <c r="I1277" s="45">
        <v>3464</v>
      </c>
      <c r="J1277" s="11">
        <v>0</v>
      </c>
      <c r="K1277" s="45">
        <f t="shared" si="134"/>
        <v>3464</v>
      </c>
      <c r="L1277" s="10">
        <v>10</v>
      </c>
      <c r="M1277" s="10">
        <v>1.9</v>
      </c>
      <c r="N1277" s="10" t="b">
        <v>0</v>
      </c>
      <c r="O1277" s="41"/>
      <c r="P1277" s="45">
        <f t="shared" si="135"/>
        <v>1454.8799999999999</v>
      </c>
      <c r="Q1277" s="45">
        <f t="shared" si="136"/>
        <v>2009.1200000000001</v>
      </c>
      <c r="R1277" s="45">
        <v>0</v>
      </c>
      <c r="S1277" s="45">
        <f t="shared" si="137"/>
        <v>0</v>
      </c>
      <c r="T1277" s="45">
        <f t="shared" si="138"/>
        <v>0</v>
      </c>
      <c r="U1277" s="47">
        <f t="shared" si="139"/>
        <v>2009.1200000000001</v>
      </c>
    </row>
    <row r="1278" spans="1:21" x14ac:dyDescent="0.3">
      <c r="A1278" s="41" t="str">
        <f t="shared" si="133"/>
        <v>PUNISH</v>
      </c>
      <c r="B1278" s="43">
        <v>45730</v>
      </c>
      <c r="C1278" s="10" t="s">
        <v>1320</v>
      </c>
      <c r="D1278" s="10" t="s">
        <v>10</v>
      </c>
      <c r="E1278" s="10" t="s">
        <v>18</v>
      </c>
      <c r="F1278" s="10" t="s">
        <v>54</v>
      </c>
      <c r="G1278" s="10" t="s">
        <v>46</v>
      </c>
      <c r="H1278" s="10" t="s">
        <v>43</v>
      </c>
      <c r="I1278" s="45">
        <v>3808</v>
      </c>
      <c r="J1278" s="11">
        <v>0</v>
      </c>
      <c r="K1278" s="45">
        <f t="shared" si="134"/>
        <v>3808</v>
      </c>
      <c r="L1278" s="10">
        <v>25</v>
      </c>
      <c r="M1278" s="10">
        <v>3</v>
      </c>
      <c r="N1278" s="10" t="b">
        <v>1</v>
      </c>
      <c r="O1278" s="41" t="s">
        <v>33</v>
      </c>
      <c r="P1278" s="45">
        <f t="shared" si="135"/>
        <v>1599.36</v>
      </c>
      <c r="Q1278" s="45">
        <f t="shared" si="136"/>
        <v>2208.6400000000003</v>
      </c>
      <c r="R1278" s="45">
        <v>150</v>
      </c>
      <c r="S1278" s="45">
        <f t="shared" si="137"/>
        <v>380.8</v>
      </c>
      <c r="T1278" s="45">
        <f t="shared" si="138"/>
        <v>3808</v>
      </c>
      <c r="U1278" s="47">
        <f t="shared" si="139"/>
        <v>-2130.16</v>
      </c>
    </row>
    <row r="1279" spans="1:21" x14ac:dyDescent="0.3">
      <c r="A1279" s="41" t="str">
        <f t="shared" si="133"/>
        <v>PZARTO</v>
      </c>
      <c r="B1279" s="43">
        <v>45730</v>
      </c>
      <c r="C1279" s="10" t="s">
        <v>1321</v>
      </c>
      <c r="D1279" s="10" t="s">
        <v>3</v>
      </c>
      <c r="E1279" s="10" t="s">
        <v>9</v>
      </c>
      <c r="F1279" s="10" t="s">
        <v>54</v>
      </c>
      <c r="G1279" s="10" t="s">
        <v>49</v>
      </c>
      <c r="H1279" s="10" t="s">
        <v>58</v>
      </c>
      <c r="I1279" s="45">
        <v>1584</v>
      </c>
      <c r="J1279" s="11">
        <v>0</v>
      </c>
      <c r="K1279" s="45">
        <f t="shared" si="134"/>
        <v>1584</v>
      </c>
      <c r="L1279" s="10">
        <v>4</v>
      </c>
      <c r="M1279" s="10">
        <v>2.7</v>
      </c>
      <c r="N1279" s="10" t="b">
        <v>1</v>
      </c>
      <c r="O1279" s="41" t="s">
        <v>80</v>
      </c>
      <c r="P1279" s="45">
        <f t="shared" si="135"/>
        <v>665.28</v>
      </c>
      <c r="Q1279" s="45">
        <f t="shared" si="136"/>
        <v>918.72</v>
      </c>
      <c r="R1279" s="45">
        <v>150</v>
      </c>
      <c r="S1279" s="45">
        <f t="shared" si="137"/>
        <v>158.4</v>
      </c>
      <c r="T1279" s="45">
        <f t="shared" si="138"/>
        <v>1584</v>
      </c>
      <c r="U1279" s="47">
        <f t="shared" si="139"/>
        <v>-973.68</v>
      </c>
    </row>
    <row r="1280" spans="1:21" x14ac:dyDescent="0.3">
      <c r="A1280" s="41" t="str">
        <f t="shared" si="133"/>
        <v>PH&amp;MTO</v>
      </c>
      <c r="B1280" s="43">
        <v>45731</v>
      </c>
      <c r="C1280" s="10" t="s">
        <v>1322</v>
      </c>
      <c r="D1280" s="10" t="s">
        <v>37</v>
      </c>
      <c r="E1280" s="10" t="s">
        <v>9</v>
      </c>
      <c r="F1280" s="10" t="s">
        <v>4</v>
      </c>
      <c r="G1280" s="10" t="s">
        <v>5</v>
      </c>
      <c r="H1280" s="10" t="s">
        <v>56</v>
      </c>
      <c r="I1280" s="45">
        <v>1373</v>
      </c>
      <c r="J1280" s="11">
        <v>0</v>
      </c>
      <c r="K1280" s="45">
        <f t="shared" si="134"/>
        <v>1373</v>
      </c>
      <c r="L1280" s="10">
        <v>50</v>
      </c>
      <c r="M1280" s="10">
        <v>2.1</v>
      </c>
      <c r="N1280" s="10" t="b">
        <v>0</v>
      </c>
      <c r="O1280" s="41"/>
      <c r="P1280" s="45">
        <f t="shared" si="135"/>
        <v>576.66</v>
      </c>
      <c r="Q1280" s="45">
        <f t="shared" si="136"/>
        <v>796.34</v>
      </c>
      <c r="R1280" s="45">
        <v>0</v>
      </c>
      <c r="S1280" s="45">
        <f t="shared" si="137"/>
        <v>0</v>
      </c>
      <c r="T1280" s="45">
        <f t="shared" si="138"/>
        <v>0</v>
      </c>
      <c r="U1280" s="47">
        <f t="shared" si="139"/>
        <v>796.34</v>
      </c>
    </row>
    <row r="1281" spans="1:21" x14ac:dyDescent="0.3">
      <c r="A1281" s="41" t="str">
        <f t="shared" si="133"/>
        <v>PUNIBO</v>
      </c>
      <c r="B1281" s="43">
        <v>45731</v>
      </c>
      <c r="C1281" s="10" t="s">
        <v>1323</v>
      </c>
      <c r="D1281" s="10" t="s">
        <v>10</v>
      </c>
      <c r="E1281" s="10" t="s">
        <v>26</v>
      </c>
      <c r="F1281" s="10" t="s">
        <v>54</v>
      </c>
      <c r="G1281" s="10" t="s">
        <v>27</v>
      </c>
      <c r="H1281" s="10" t="s">
        <v>43</v>
      </c>
      <c r="I1281" s="45">
        <v>2642</v>
      </c>
      <c r="J1281" s="11">
        <v>0.41700000000000004</v>
      </c>
      <c r="K1281" s="45">
        <f t="shared" si="134"/>
        <v>1540.2859999999998</v>
      </c>
      <c r="L1281" s="10">
        <v>20</v>
      </c>
      <c r="M1281" s="10">
        <v>1.3</v>
      </c>
      <c r="N1281" s="10" t="b">
        <v>1</v>
      </c>
      <c r="O1281" s="41" t="s">
        <v>44</v>
      </c>
      <c r="P1281" s="45">
        <f t="shared" si="135"/>
        <v>646.92011999999988</v>
      </c>
      <c r="Q1281" s="45">
        <f t="shared" si="136"/>
        <v>893.36587999999995</v>
      </c>
      <c r="R1281" s="45">
        <v>150</v>
      </c>
      <c r="S1281" s="45">
        <f t="shared" si="137"/>
        <v>154.02859999999998</v>
      </c>
      <c r="T1281" s="45">
        <f t="shared" si="138"/>
        <v>1540.2859999999998</v>
      </c>
      <c r="U1281" s="47">
        <f t="shared" si="139"/>
        <v>-950.94871999999987</v>
      </c>
    </row>
    <row r="1282" spans="1:21" x14ac:dyDescent="0.3">
      <c r="A1282" s="41" t="str">
        <f t="shared" ref="A1282:A1345" si="140">UPPER("P"&amp;LEFT(D1282,3)&amp;LEFT(E1282,2))</f>
        <v>PANNSH</v>
      </c>
      <c r="B1282" s="43">
        <v>45731</v>
      </c>
      <c r="C1282" s="10" t="s">
        <v>1324</v>
      </c>
      <c r="D1282" s="10" t="s">
        <v>42</v>
      </c>
      <c r="E1282" s="10" t="s">
        <v>18</v>
      </c>
      <c r="F1282" s="10" t="s">
        <v>11</v>
      </c>
      <c r="G1282" s="10" t="s">
        <v>46</v>
      </c>
      <c r="H1282" s="10" t="s">
        <v>58</v>
      </c>
      <c r="I1282" s="45">
        <v>4151</v>
      </c>
      <c r="J1282" s="11">
        <v>0</v>
      </c>
      <c r="K1282" s="45">
        <f t="shared" si="134"/>
        <v>4151</v>
      </c>
      <c r="L1282" s="10">
        <v>32</v>
      </c>
      <c r="M1282" s="10">
        <v>3.4</v>
      </c>
      <c r="N1282" s="10" t="b">
        <v>0</v>
      </c>
      <c r="O1282" s="41"/>
      <c r="P1282" s="45">
        <f t="shared" si="135"/>
        <v>1743.4199999999998</v>
      </c>
      <c r="Q1282" s="45">
        <f t="shared" si="136"/>
        <v>2407.58</v>
      </c>
      <c r="R1282" s="45">
        <v>0</v>
      </c>
      <c r="S1282" s="45">
        <f t="shared" si="137"/>
        <v>0</v>
      </c>
      <c r="T1282" s="45">
        <f t="shared" si="138"/>
        <v>0</v>
      </c>
      <c r="U1282" s="47">
        <f t="shared" si="139"/>
        <v>2407.58</v>
      </c>
    </row>
    <row r="1283" spans="1:21" x14ac:dyDescent="0.3">
      <c r="A1283" s="41" t="str">
        <f t="shared" si="140"/>
        <v>PZARBO</v>
      </c>
      <c r="B1283" s="43">
        <v>45731</v>
      </c>
      <c r="C1283" s="10" t="s">
        <v>1325</v>
      </c>
      <c r="D1283" s="10" t="s">
        <v>3</v>
      </c>
      <c r="E1283" s="10" t="s">
        <v>26</v>
      </c>
      <c r="F1283" s="10" t="s">
        <v>23</v>
      </c>
      <c r="G1283" s="10" t="s">
        <v>38</v>
      </c>
      <c r="H1283" s="10" t="s">
        <v>88</v>
      </c>
      <c r="I1283" s="45">
        <v>2813</v>
      </c>
      <c r="J1283" s="11">
        <v>0.44799999999999995</v>
      </c>
      <c r="K1283" s="45">
        <f t="shared" ref="K1283:K1346" si="141">I1283*(1-J1283)</f>
        <v>1552.7760000000001</v>
      </c>
      <c r="L1283" s="10">
        <v>15</v>
      </c>
      <c r="M1283" s="10">
        <v>1.3</v>
      </c>
      <c r="N1283" s="10" t="b">
        <v>0</v>
      </c>
      <c r="O1283" s="41"/>
      <c r="P1283" s="45">
        <f t="shared" ref="P1283:P1346" si="142">K1283*0.42</f>
        <v>652.16592000000003</v>
      </c>
      <c r="Q1283" s="45">
        <f t="shared" ref="Q1283:Q1346" si="143">K1283-P1283</f>
        <v>900.61008000000004</v>
      </c>
      <c r="R1283" s="45">
        <v>0</v>
      </c>
      <c r="S1283" s="45">
        <f t="shared" ref="S1283:S1346" si="144">IF(N1283=TRUE,K1283*0.1,0)</f>
        <v>0</v>
      </c>
      <c r="T1283" s="45">
        <f t="shared" ref="T1283:T1346" si="145">IF(N1283=TRUE,K1283,0)</f>
        <v>0</v>
      </c>
      <c r="U1283" s="47">
        <f t="shared" ref="U1283:U1346" si="146">Q1283-R1283-S1283-T1283</f>
        <v>900.61008000000004</v>
      </c>
    </row>
    <row r="1284" spans="1:21" x14ac:dyDescent="0.3">
      <c r="A1284" s="41" t="str">
        <f t="shared" si="140"/>
        <v>PH&amp;MTO</v>
      </c>
      <c r="B1284" s="43">
        <v>45732</v>
      </c>
      <c r="C1284" s="10" t="s">
        <v>1326</v>
      </c>
      <c r="D1284" s="10" t="s">
        <v>37</v>
      </c>
      <c r="E1284" s="10" t="s">
        <v>9</v>
      </c>
      <c r="F1284" s="10" t="s">
        <v>4</v>
      </c>
      <c r="G1284" s="10" t="s">
        <v>5</v>
      </c>
      <c r="H1284" s="10" t="s">
        <v>32</v>
      </c>
      <c r="I1284" s="45">
        <v>1208</v>
      </c>
      <c r="J1284" s="11">
        <v>0.36799999999999999</v>
      </c>
      <c r="K1284" s="45">
        <f t="shared" si="141"/>
        <v>763.45600000000002</v>
      </c>
      <c r="L1284" s="10">
        <v>19</v>
      </c>
      <c r="M1284" s="10">
        <v>1.9</v>
      </c>
      <c r="N1284" s="10" t="b">
        <v>0</v>
      </c>
      <c r="O1284" s="41"/>
      <c r="P1284" s="45">
        <f t="shared" si="142"/>
        <v>320.65152</v>
      </c>
      <c r="Q1284" s="45">
        <f t="shared" si="143"/>
        <v>442.80448000000001</v>
      </c>
      <c r="R1284" s="45">
        <v>0</v>
      </c>
      <c r="S1284" s="45">
        <f t="shared" si="144"/>
        <v>0</v>
      </c>
      <c r="T1284" s="45">
        <f t="shared" si="145"/>
        <v>0</v>
      </c>
      <c r="U1284" s="47">
        <f t="shared" si="146"/>
        <v>442.80448000000001</v>
      </c>
    </row>
    <row r="1285" spans="1:21" x14ac:dyDescent="0.3">
      <c r="A1285" s="41" t="str">
        <f t="shared" si="140"/>
        <v>PGAPBO</v>
      </c>
      <c r="B1285" s="43">
        <v>45732</v>
      </c>
      <c r="C1285" s="10" t="s">
        <v>1327</v>
      </c>
      <c r="D1285" s="10" t="s">
        <v>53</v>
      </c>
      <c r="E1285" s="10" t="s">
        <v>26</v>
      </c>
      <c r="F1285" s="10" t="s">
        <v>11</v>
      </c>
      <c r="G1285" s="10" t="s">
        <v>12</v>
      </c>
      <c r="H1285" s="10" t="s">
        <v>88</v>
      </c>
      <c r="I1285" s="45">
        <v>2492</v>
      </c>
      <c r="J1285" s="11">
        <v>0</v>
      </c>
      <c r="K1285" s="45">
        <f t="shared" si="141"/>
        <v>2492</v>
      </c>
      <c r="L1285" s="10">
        <v>26</v>
      </c>
      <c r="M1285" s="10">
        <v>3.7</v>
      </c>
      <c r="N1285" s="10" t="b">
        <v>1</v>
      </c>
      <c r="O1285" s="41" t="s">
        <v>19</v>
      </c>
      <c r="P1285" s="45">
        <f t="shared" si="142"/>
        <v>1046.6399999999999</v>
      </c>
      <c r="Q1285" s="45">
        <f t="shared" si="143"/>
        <v>1445.3600000000001</v>
      </c>
      <c r="R1285" s="45">
        <v>150</v>
      </c>
      <c r="S1285" s="45">
        <f t="shared" si="144"/>
        <v>249.20000000000002</v>
      </c>
      <c r="T1285" s="45">
        <f t="shared" si="145"/>
        <v>2492</v>
      </c>
      <c r="U1285" s="47">
        <f t="shared" si="146"/>
        <v>-1445.84</v>
      </c>
    </row>
    <row r="1286" spans="1:21" x14ac:dyDescent="0.3">
      <c r="A1286" s="41" t="str">
        <f t="shared" si="140"/>
        <v>PMANBO</v>
      </c>
      <c r="B1286" s="43">
        <v>45732</v>
      </c>
      <c r="C1286" s="10" t="s">
        <v>1328</v>
      </c>
      <c r="D1286" s="10" t="s">
        <v>31</v>
      </c>
      <c r="E1286" s="10" t="s">
        <v>26</v>
      </c>
      <c r="F1286" s="10" t="s">
        <v>23</v>
      </c>
      <c r="G1286" s="10" t="s">
        <v>38</v>
      </c>
      <c r="H1286" s="10" t="s">
        <v>35</v>
      </c>
      <c r="I1286" s="45">
        <v>2398</v>
      </c>
      <c r="J1286" s="11">
        <v>0.51600000000000001</v>
      </c>
      <c r="K1286" s="45">
        <f t="shared" si="141"/>
        <v>1160.6320000000001</v>
      </c>
      <c r="L1286" s="10">
        <v>12</v>
      </c>
      <c r="M1286" s="10">
        <v>2.9</v>
      </c>
      <c r="N1286" s="10" t="b">
        <v>1</v>
      </c>
      <c r="O1286" s="41" t="s">
        <v>44</v>
      </c>
      <c r="P1286" s="45">
        <f t="shared" si="142"/>
        <v>487.46544</v>
      </c>
      <c r="Q1286" s="45">
        <f t="shared" si="143"/>
        <v>673.16656000000012</v>
      </c>
      <c r="R1286" s="45">
        <v>150</v>
      </c>
      <c r="S1286" s="45">
        <f t="shared" si="144"/>
        <v>116.06320000000001</v>
      </c>
      <c r="T1286" s="45">
        <f t="shared" si="145"/>
        <v>1160.6320000000001</v>
      </c>
      <c r="U1286" s="47">
        <f t="shared" si="146"/>
        <v>-753.52864</v>
      </c>
    </row>
    <row r="1287" spans="1:21" x14ac:dyDescent="0.3">
      <c r="A1287" s="41" t="str">
        <f t="shared" si="140"/>
        <v>PZARBO</v>
      </c>
      <c r="B1287" s="43">
        <v>45733</v>
      </c>
      <c r="C1287" s="10" t="s">
        <v>1329</v>
      </c>
      <c r="D1287" s="10" t="s">
        <v>3</v>
      </c>
      <c r="E1287" s="10" t="s">
        <v>26</v>
      </c>
      <c r="F1287" s="10" t="s">
        <v>54</v>
      </c>
      <c r="G1287" s="10" t="s">
        <v>46</v>
      </c>
      <c r="H1287" s="10" t="s">
        <v>58</v>
      </c>
      <c r="I1287" s="45">
        <v>2032</v>
      </c>
      <c r="J1287" s="11">
        <v>0.42899999999999999</v>
      </c>
      <c r="K1287" s="45">
        <f t="shared" si="141"/>
        <v>1160.2719999999999</v>
      </c>
      <c r="L1287" s="10">
        <v>36</v>
      </c>
      <c r="M1287" s="10"/>
      <c r="N1287" s="10" t="b">
        <v>0</v>
      </c>
      <c r="O1287" s="41"/>
      <c r="P1287" s="45">
        <f t="shared" si="142"/>
        <v>487.31423999999993</v>
      </c>
      <c r="Q1287" s="45">
        <f t="shared" si="143"/>
        <v>672.95776000000001</v>
      </c>
      <c r="R1287" s="45">
        <v>0</v>
      </c>
      <c r="S1287" s="45">
        <f t="shared" si="144"/>
        <v>0</v>
      </c>
      <c r="T1287" s="45">
        <f t="shared" si="145"/>
        <v>0</v>
      </c>
      <c r="U1287" s="47">
        <f t="shared" si="146"/>
        <v>672.95776000000001</v>
      </c>
    </row>
    <row r="1288" spans="1:21" x14ac:dyDescent="0.3">
      <c r="A1288" s="41" t="str">
        <f t="shared" si="140"/>
        <v>PFORSH</v>
      </c>
      <c r="B1288" s="43">
        <v>45733</v>
      </c>
      <c r="C1288" s="10" t="s">
        <v>1330</v>
      </c>
      <c r="D1288" s="10" t="s">
        <v>65</v>
      </c>
      <c r="E1288" s="10" t="s">
        <v>18</v>
      </c>
      <c r="F1288" s="10" t="s">
        <v>23</v>
      </c>
      <c r="G1288" s="10" t="s">
        <v>7</v>
      </c>
      <c r="H1288" s="10" t="s">
        <v>47</v>
      </c>
      <c r="I1288" s="45">
        <v>3951</v>
      </c>
      <c r="J1288" s="11">
        <v>0</v>
      </c>
      <c r="K1288" s="45">
        <f t="shared" si="141"/>
        <v>3951</v>
      </c>
      <c r="L1288" s="10">
        <v>40</v>
      </c>
      <c r="M1288" s="10">
        <v>4.3</v>
      </c>
      <c r="N1288" s="10" t="b">
        <v>1</v>
      </c>
      <c r="O1288" s="41" t="s">
        <v>44</v>
      </c>
      <c r="P1288" s="45">
        <f t="shared" si="142"/>
        <v>1659.4199999999998</v>
      </c>
      <c r="Q1288" s="45">
        <f t="shared" si="143"/>
        <v>2291.58</v>
      </c>
      <c r="R1288" s="45">
        <v>150</v>
      </c>
      <c r="S1288" s="45">
        <f t="shared" si="144"/>
        <v>395.1</v>
      </c>
      <c r="T1288" s="45">
        <f t="shared" si="145"/>
        <v>3951</v>
      </c>
      <c r="U1288" s="47">
        <f t="shared" si="146"/>
        <v>-2204.52</v>
      </c>
    </row>
    <row r="1289" spans="1:21" x14ac:dyDescent="0.3">
      <c r="A1289" s="41" t="str">
        <f t="shared" si="140"/>
        <v>PANNAC</v>
      </c>
      <c r="B1289" s="43">
        <v>45733</v>
      </c>
      <c r="C1289" s="10" t="s">
        <v>1331</v>
      </c>
      <c r="D1289" s="10" t="s">
        <v>42</v>
      </c>
      <c r="E1289" s="10" t="s">
        <v>15</v>
      </c>
      <c r="F1289" s="10" t="s">
        <v>11</v>
      </c>
      <c r="G1289" s="10" t="s">
        <v>7</v>
      </c>
      <c r="H1289" s="10" t="s">
        <v>6</v>
      </c>
      <c r="I1289" s="45">
        <v>213</v>
      </c>
      <c r="J1289" s="11">
        <v>0</v>
      </c>
      <c r="K1289" s="45">
        <f t="shared" si="141"/>
        <v>213</v>
      </c>
      <c r="L1289" s="10">
        <v>35</v>
      </c>
      <c r="M1289" s="10">
        <v>3</v>
      </c>
      <c r="N1289" s="10" t="b">
        <v>0</v>
      </c>
      <c r="O1289" s="41"/>
      <c r="P1289" s="45">
        <f t="shared" si="142"/>
        <v>89.46</v>
      </c>
      <c r="Q1289" s="45">
        <f t="shared" si="143"/>
        <v>123.54</v>
      </c>
      <c r="R1289" s="45">
        <v>0</v>
      </c>
      <c r="S1289" s="45">
        <f t="shared" si="144"/>
        <v>0</v>
      </c>
      <c r="T1289" s="45">
        <f t="shared" si="145"/>
        <v>0</v>
      </c>
      <c r="U1289" s="47">
        <f t="shared" si="146"/>
        <v>123.54</v>
      </c>
    </row>
    <row r="1290" spans="1:21" x14ac:dyDescent="0.3">
      <c r="A1290" s="41" t="str">
        <f t="shared" si="140"/>
        <v>PBANAC</v>
      </c>
      <c r="B1290" s="43">
        <v>45733</v>
      </c>
      <c r="C1290" s="10" t="s">
        <v>1332</v>
      </c>
      <c r="D1290" s="10" t="s">
        <v>21</v>
      </c>
      <c r="E1290" s="10" t="s">
        <v>15</v>
      </c>
      <c r="F1290" s="10" t="s">
        <v>11</v>
      </c>
      <c r="G1290" s="10" t="s">
        <v>7</v>
      </c>
      <c r="H1290" s="10" t="s">
        <v>7</v>
      </c>
      <c r="I1290" s="45">
        <v>471</v>
      </c>
      <c r="J1290" s="11">
        <v>0.24399999999999999</v>
      </c>
      <c r="K1290" s="45">
        <f t="shared" si="141"/>
        <v>356.07600000000002</v>
      </c>
      <c r="L1290" s="10">
        <v>31</v>
      </c>
      <c r="M1290" s="10">
        <v>4.4000000000000004</v>
      </c>
      <c r="N1290" s="10" t="b">
        <v>0</v>
      </c>
      <c r="O1290" s="41"/>
      <c r="P1290" s="45">
        <f t="shared" si="142"/>
        <v>149.55192</v>
      </c>
      <c r="Q1290" s="45">
        <f t="shared" si="143"/>
        <v>206.52408000000003</v>
      </c>
      <c r="R1290" s="45">
        <v>0</v>
      </c>
      <c r="S1290" s="45">
        <f t="shared" si="144"/>
        <v>0</v>
      </c>
      <c r="T1290" s="45">
        <f t="shared" si="145"/>
        <v>0</v>
      </c>
      <c r="U1290" s="47">
        <f t="shared" si="146"/>
        <v>206.52408000000003</v>
      </c>
    </row>
    <row r="1291" spans="1:21" x14ac:dyDescent="0.3">
      <c r="A1291" s="41" t="str">
        <f t="shared" si="140"/>
        <v>PH&amp;MOU</v>
      </c>
      <c r="B1291" s="43">
        <v>45734</v>
      </c>
      <c r="C1291" s="10" t="s">
        <v>1333</v>
      </c>
      <c r="D1291" s="10" t="s">
        <v>37</v>
      </c>
      <c r="E1291" s="10" t="s">
        <v>2</v>
      </c>
      <c r="F1291" s="10" t="s">
        <v>54</v>
      </c>
      <c r="G1291" s="10" t="s">
        <v>46</v>
      </c>
      <c r="H1291" s="10" t="s">
        <v>56</v>
      </c>
      <c r="I1291" s="45">
        <v>4032</v>
      </c>
      <c r="J1291" s="11">
        <v>0</v>
      </c>
      <c r="K1291" s="45">
        <f t="shared" si="141"/>
        <v>4032</v>
      </c>
      <c r="L1291" s="10">
        <v>46</v>
      </c>
      <c r="M1291" s="10">
        <v>3.6</v>
      </c>
      <c r="N1291" s="10" t="b">
        <v>0</v>
      </c>
      <c r="O1291" s="41"/>
      <c r="P1291" s="45">
        <f t="shared" si="142"/>
        <v>1693.4399999999998</v>
      </c>
      <c r="Q1291" s="45">
        <f t="shared" si="143"/>
        <v>2338.5600000000004</v>
      </c>
      <c r="R1291" s="45">
        <v>0</v>
      </c>
      <c r="S1291" s="45">
        <f t="shared" si="144"/>
        <v>0</v>
      </c>
      <c r="T1291" s="45">
        <f t="shared" si="145"/>
        <v>0</v>
      </c>
      <c r="U1291" s="47">
        <f t="shared" si="146"/>
        <v>2338.5600000000004</v>
      </c>
    </row>
    <row r="1292" spans="1:21" x14ac:dyDescent="0.3">
      <c r="A1292" s="41" t="str">
        <f t="shared" si="140"/>
        <v>PUNIOU</v>
      </c>
      <c r="B1292" s="43">
        <v>45734</v>
      </c>
      <c r="C1292" s="10" t="s">
        <v>1334</v>
      </c>
      <c r="D1292" s="10" t="s">
        <v>10</v>
      </c>
      <c r="E1292" s="10" t="s">
        <v>2</v>
      </c>
      <c r="F1292" s="10" t="s">
        <v>23</v>
      </c>
      <c r="G1292" s="10" t="s">
        <v>46</v>
      </c>
      <c r="H1292" s="10" t="s">
        <v>58</v>
      </c>
      <c r="I1292" s="45">
        <v>3809</v>
      </c>
      <c r="J1292" s="11">
        <v>0.19600000000000001</v>
      </c>
      <c r="K1292" s="45">
        <f t="shared" si="141"/>
        <v>3062.4360000000001</v>
      </c>
      <c r="L1292" s="10">
        <v>42</v>
      </c>
      <c r="M1292" s="10">
        <v>3</v>
      </c>
      <c r="N1292" s="10" t="b">
        <v>0</v>
      </c>
      <c r="O1292" s="41"/>
      <c r="P1292" s="45">
        <f t="shared" si="142"/>
        <v>1286.2231200000001</v>
      </c>
      <c r="Q1292" s="45">
        <f t="shared" si="143"/>
        <v>1776.21288</v>
      </c>
      <c r="R1292" s="45">
        <v>0</v>
      </c>
      <c r="S1292" s="45">
        <f t="shared" si="144"/>
        <v>0</v>
      </c>
      <c r="T1292" s="45">
        <f t="shared" si="145"/>
        <v>0</v>
      </c>
      <c r="U1292" s="47">
        <f t="shared" si="146"/>
        <v>1776.21288</v>
      </c>
    </row>
    <row r="1293" spans="1:21" x14ac:dyDescent="0.3">
      <c r="A1293" s="41" t="str">
        <f t="shared" si="140"/>
        <v>PBANSH</v>
      </c>
      <c r="B1293" s="43">
        <v>45734</v>
      </c>
      <c r="C1293" s="10" t="s">
        <v>1335</v>
      </c>
      <c r="D1293" s="10" t="s">
        <v>21</v>
      </c>
      <c r="E1293" s="10" t="s">
        <v>18</v>
      </c>
      <c r="F1293" s="10" t="s">
        <v>23</v>
      </c>
      <c r="G1293" s="10" t="s">
        <v>12</v>
      </c>
      <c r="H1293" s="10" t="s">
        <v>35</v>
      </c>
      <c r="I1293" s="45">
        <v>3587</v>
      </c>
      <c r="J1293" s="11">
        <v>0.56299999999999994</v>
      </c>
      <c r="K1293" s="45">
        <f t="shared" si="141"/>
        <v>1567.5190000000002</v>
      </c>
      <c r="L1293" s="10">
        <v>41</v>
      </c>
      <c r="M1293" s="10">
        <v>2.2000000000000002</v>
      </c>
      <c r="N1293" s="10" t="b">
        <v>0</v>
      </c>
      <c r="O1293" s="41"/>
      <c r="P1293" s="45">
        <f t="shared" si="142"/>
        <v>658.35798000000011</v>
      </c>
      <c r="Q1293" s="45">
        <f t="shared" si="143"/>
        <v>909.16102000000012</v>
      </c>
      <c r="R1293" s="45">
        <v>0</v>
      </c>
      <c r="S1293" s="45">
        <f t="shared" si="144"/>
        <v>0</v>
      </c>
      <c r="T1293" s="45">
        <f t="shared" si="145"/>
        <v>0</v>
      </c>
      <c r="U1293" s="47">
        <f t="shared" si="146"/>
        <v>909.16102000000012</v>
      </c>
    </row>
    <row r="1294" spans="1:21" x14ac:dyDescent="0.3">
      <c r="A1294" s="41" t="str">
        <f t="shared" si="140"/>
        <v>PUNIBO</v>
      </c>
      <c r="B1294" s="43">
        <v>45734</v>
      </c>
      <c r="C1294" s="10" t="s">
        <v>1336</v>
      </c>
      <c r="D1294" s="10" t="s">
        <v>10</v>
      </c>
      <c r="E1294" s="10" t="s">
        <v>26</v>
      </c>
      <c r="F1294" s="10" t="s">
        <v>23</v>
      </c>
      <c r="G1294" s="10" t="s">
        <v>12</v>
      </c>
      <c r="H1294" s="10" t="s">
        <v>35</v>
      </c>
      <c r="I1294" s="45">
        <v>2622</v>
      </c>
      <c r="J1294" s="11">
        <v>0.192</v>
      </c>
      <c r="K1294" s="45">
        <f t="shared" si="141"/>
        <v>2118.576</v>
      </c>
      <c r="L1294" s="10">
        <v>9</v>
      </c>
      <c r="M1294" s="10">
        <v>2.5</v>
      </c>
      <c r="N1294" s="10" t="b">
        <v>0</v>
      </c>
      <c r="O1294" s="41"/>
      <c r="P1294" s="45">
        <f t="shared" si="142"/>
        <v>889.80192</v>
      </c>
      <c r="Q1294" s="45">
        <f t="shared" si="143"/>
        <v>1228.7740800000001</v>
      </c>
      <c r="R1294" s="45">
        <v>0</v>
      </c>
      <c r="S1294" s="45">
        <f t="shared" si="144"/>
        <v>0</v>
      </c>
      <c r="T1294" s="45">
        <f t="shared" si="145"/>
        <v>0</v>
      </c>
      <c r="U1294" s="47">
        <f t="shared" si="146"/>
        <v>1228.7740800000001</v>
      </c>
    </row>
    <row r="1295" spans="1:21" x14ac:dyDescent="0.3">
      <c r="A1295" s="41" t="str">
        <f t="shared" si="140"/>
        <v>PUNIAC</v>
      </c>
      <c r="B1295" s="43">
        <v>45735</v>
      </c>
      <c r="C1295" s="10" t="s">
        <v>1337</v>
      </c>
      <c r="D1295" s="10" t="s">
        <v>10</v>
      </c>
      <c r="E1295" s="10" t="s">
        <v>15</v>
      </c>
      <c r="F1295" s="10" t="s">
        <v>23</v>
      </c>
      <c r="G1295" s="10" t="s">
        <v>7</v>
      </c>
      <c r="H1295" s="10" t="s">
        <v>47</v>
      </c>
      <c r="I1295" s="45">
        <v>346</v>
      </c>
      <c r="J1295" s="11">
        <v>0.125</v>
      </c>
      <c r="K1295" s="45">
        <f t="shared" si="141"/>
        <v>302.75</v>
      </c>
      <c r="L1295" s="10">
        <v>3</v>
      </c>
      <c r="M1295" s="10">
        <v>1.5</v>
      </c>
      <c r="N1295" s="10" t="b">
        <v>0</v>
      </c>
      <c r="O1295" s="41"/>
      <c r="P1295" s="45">
        <f t="shared" si="142"/>
        <v>127.155</v>
      </c>
      <c r="Q1295" s="45">
        <f t="shared" si="143"/>
        <v>175.595</v>
      </c>
      <c r="R1295" s="45">
        <v>0</v>
      </c>
      <c r="S1295" s="45">
        <f t="shared" si="144"/>
        <v>0</v>
      </c>
      <c r="T1295" s="45">
        <f t="shared" si="145"/>
        <v>0</v>
      </c>
      <c r="U1295" s="47">
        <f t="shared" si="146"/>
        <v>175.595</v>
      </c>
    </row>
    <row r="1296" spans="1:21" x14ac:dyDescent="0.3">
      <c r="A1296" s="41" t="str">
        <f t="shared" si="140"/>
        <v>PH&amp;MTO</v>
      </c>
      <c r="B1296" s="43">
        <v>45735</v>
      </c>
      <c r="C1296" s="10" t="s">
        <v>1338</v>
      </c>
      <c r="D1296" s="10" t="s">
        <v>37</v>
      </c>
      <c r="E1296" s="10" t="s">
        <v>9</v>
      </c>
      <c r="F1296" s="10" t="s">
        <v>54</v>
      </c>
      <c r="G1296" s="10" t="s">
        <v>38</v>
      </c>
      <c r="H1296" s="10" t="s">
        <v>56</v>
      </c>
      <c r="I1296" s="45">
        <v>1053</v>
      </c>
      <c r="J1296" s="11">
        <v>1.7000000000000001E-2</v>
      </c>
      <c r="K1296" s="45">
        <f t="shared" si="141"/>
        <v>1035.0989999999999</v>
      </c>
      <c r="L1296" s="10">
        <v>34</v>
      </c>
      <c r="M1296" s="10">
        <v>4.0999999999999996</v>
      </c>
      <c r="N1296" s="10" t="b">
        <v>1</v>
      </c>
      <c r="O1296" s="41" t="s">
        <v>50</v>
      </c>
      <c r="P1296" s="45">
        <f t="shared" si="142"/>
        <v>434.74157999999994</v>
      </c>
      <c r="Q1296" s="45">
        <f t="shared" si="143"/>
        <v>600.35742000000005</v>
      </c>
      <c r="R1296" s="45">
        <v>150</v>
      </c>
      <c r="S1296" s="45">
        <f t="shared" si="144"/>
        <v>103.5099</v>
      </c>
      <c r="T1296" s="45">
        <f t="shared" si="145"/>
        <v>1035.0989999999999</v>
      </c>
      <c r="U1296" s="47">
        <f t="shared" si="146"/>
        <v>-688.2514799999999</v>
      </c>
    </row>
    <row r="1297" spans="1:21" x14ac:dyDescent="0.3">
      <c r="A1297" s="41" t="str">
        <f t="shared" si="140"/>
        <v>PZAROU</v>
      </c>
      <c r="B1297" s="43">
        <v>45735</v>
      </c>
      <c r="C1297" s="10" t="s">
        <v>1339</v>
      </c>
      <c r="D1297" s="10" t="s">
        <v>3</v>
      </c>
      <c r="E1297" s="10" t="s">
        <v>2</v>
      </c>
      <c r="F1297" s="10" t="s">
        <v>54</v>
      </c>
      <c r="G1297" s="10" t="s">
        <v>7</v>
      </c>
      <c r="H1297" s="10" t="s">
        <v>56</v>
      </c>
      <c r="I1297" s="45">
        <v>4016</v>
      </c>
      <c r="J1297" s="11">
        <v>0</v>
      </c>
      <c r="K1297" s="45">
        <f t="shared" si="141"/>
        <v>4016</v>
      </c>
      <c r="L1297" s="10">
        <v>3</v>
      </c>
      <c r="M1297" s="10">
        <v>1.8</v>
      </c>
      <c r="N1297" s="10" t="b">
        <v>0</v>
      </c>
      <c r="O1297" s="41"/>
      <c r="P1297" s="45">
        <f t="shared" si="142"/>
        <v>1686.72</v>
      </c>
      <c r="Q1297" s="45">
        <f t="shared" si="143"/>
        <v>2329.2799999999997</v>
      </c>
      <c r="R1297" s="45">
        <v>0</v>
      </c>
      <c r="S1297" s="45">
        <f t="shared" si="144"/>
        <v>0</v>
      </c>
      <c r="T1297" s="45">
        <f t="shared" si="145"/>
        <v>0</v>
      </c>
      <c r="U1297" s="47">
        <f t="shared" si="146"/>
        <v>2329.2799999999997</v>
      </c>
    </row>
    <row r="1298" spans="1:21" x14ac:dyDescent="0.3">
      <c r="A1298" s="41" t="str">
        <f t="shared" si="140"/>
        <v>PBANBO</v>
      </c>
      <c r="B1298" s="43">
        <v>45736</v>
      </c>
      <c r="C1298" s="10" t="s">
        <v>1340</v>
      </c>
      <c r="D1298" s="10" t="s">
        <v>21</v>
      </c>
      <c r="E1298" s="10" t="s">
        <v>26</v>
      </c>
      <c r="F1298" s="10" t="s">
        <v>11</v>
      </c>
      <c r="G1298" s="10" t="s">
        <v>46</v>
      </c>
      <c r="H1298" s="10" t="s">
        <v>16</v>
      </c>
      <c r="I1298" s="45">
        <v>2982</v>
      </c>
      <c r="J1298" s="11">
        <v>0.25700000000000001</v>
      </c>
      <c r="K1298" s="45">
        <f t="shared" si="141"/>
        <v>2215.6260000000002</v>
      </c>
      <c r="L1298" s="10">
        <v>2</v>
      </c>
      <c r="M1298" s="10">
        <v>3.2</v>
      </c>
      <c r="N1298" s="10" t="b">
        <v>0</v>
      </c>
      <c r="O1298" s="41"/>
      <c r="P1298" s="45">
        <f t="shared" si="142"/>
        <v>930.56292000000008</v>
      </c>
      <c r="Q1298" s="45">
        <f t="shared" si="143"/>
        <v>1285.0630800000001</v>
      </c>
      <c r="R1298" s="45">
        <v>0</v>
      </c>
      <c r="S1298" s="45">
        <f t="shared" si="144"/>
        <v>0</v>
      </c>
      <c r="T1298" s="45">
        <f t="shared" si="145"/>
        <v>0</v>
      </c>
      <c r="U1298" s="47">
        <f t="shared" si="146"/>
        <v>1285.0630800000001</v>
      </c>
    </row>
    <row r="1299" spans="1:21" x14ac:dyDescent="0.3">
      <c r="A1299" s="41" t="str">
        <f t="shared" si="140"/>
        <v>PGAPSH</v>
      </c>
      <c r="B1299" s="43">
        <v>45736</v>
      </c>
      <c r="C1299" s="10" t="s">
        <v>1341</v>
      </c>
      <c r="D1299" s="10" t="s">
        <v>53</v>
      </c>
      <c r="E1299" s="10" t="s">
        <v>18</v>
      </c>
      <c r="F1299" s="10" t="s">
        <v>11</v>
      </c>
      <c r="G1299" s="10" t="s">
        <v>5</v>
      </c>
      <c r="H1299" s="10" t="s">
        <v>13</v>
      </c>
      <c r="I1299" s="45">
        <v>4287</v>
      </c>
      <c r="J1299" s="11">
        <v>0.27399999999999997</v>
      </c>
      <c r="K1299" s="45">
        <f t="shared" si="141"/>
        <v>3112.3620000000001</v>
      </c>
      <c r="L1299" s="10">
        <v>7</v>
      </c>
      <c r="M1299" s="10">
        <v>1</v>
      </c>
      <c r="N1299" s="10" t="b">
        <v>1</v>
      </c>
      <c r="O1299" s="41" t="s">
        <v>80</v>
      </c>
      <c r="P1299" s="45">
        <f t="shared" si="142"/>
        <v>1307.1920399999999</v>
      </c>
      <c r="Q1299" s="45">
        <f t="shared" si="143"/>
        <v>1805.1699600000002</v>
      </c>
      <c r="R1299" s="45">
        <v>150</v>
      </c>
      <c r="S1299" s="45">
        <f t="shared" si="144"/>
        <v>311.23620000000005</v>
      </c>
      <c r="T1299" s="45">
        <f t="shared" si="145"/>
        <v>3112.3620000000001</v>
      </c>
      <c r="U1299" s="47">
        <f t="shared" si="146"/>
        <v>-1768.42824</v>
      </c>
    </row>
    <row r="1300" spans="1:21" x14ac:dyDescent="0.3">
      <c r="A1300" s="41" t="str">
        <f t="shared" si="140"/>
        <v>PZARAC</v>
      </c>
      <c r="B1300" s="43">
        <v>45736</v>
      </c>
      <c r="C1300" s="10" t="s">
        <v>1342</v>
      </c>
      <c r="D1300" s="10" t="s">
        <v>3</v>
      </c>
      <c r="E1300" s="10" t="s">
        <v>15</v>
      </c>
      <c r="F1300" s="10" t="s">
        <v>11</v>
      </c>
      <c r="G1300" s="10" t="s">
        <v>7</v>
      </c>
      <c r="H1300" s="10" t="s">
        <v>32</v>
      </c>
      <c r="I1300" s="45">
        <v>479</v>
      </c>
      <c r="J1300" s="11">
        <v>0.23300000000000001</v>
      </c>
      <c r="K1300" s="45">
        <f t="shared" si="141"/>
        <v>367.39300000000003</v>
      </c>
      <c r="L1300" s="10">
        <v>22</v>
      </c>
      <c r="M1300" s="10">
        <v>1.4</v>
      </c>
      <c r="N1300" s="10" t="b">
        <v>0</v>
      </c>
      <c r="O1300" s="41"/>
      <c r="P1300" s="45">
        <f t="shared" si="142"/>
        <v>154.30506</v>
      </c>
      <c r="Q1300" s="45">
        <f t="shared" si="143"/>
        <v>213.08794000000003</v>
      </c>
      <c r="R1300" s="45">
        <v>0</v>
      </c>
      <c r="S1300" s="45">
        <f t="shared" si="144"/>
        <v>0</v>
      </c>
      <c r="T1300" s="45">
        <f t="shared" si="145"/>
        <v>0</v>
      </c>
      <c r="U1300" s="47">
        <f t="shared" si="146"/>
        <v>213.08794000000003</v>
      </c>
    </row>
    <row r="1301" spans="1:21" x14ac:dyDescent="0.3">
      <c r="A1301" s="41" t="str">
        <f t="shared" si="140"/>
        <v>PH&amp;MOU</v>
      </c>
      <c r="B1301" s="43">
        <v>45736</v>
      </c>
      <c r="C1301" s="10" t="s">
        <v>1343</v>
      </c>
      <c r="D1301" s="10" t="s">
        <v>37</v>
      </c>
      <c r="E1301" s="10" t="s">
        <v>2</v>
      </c>
      <c r="F1301" s="10" t="s">
        <v>11</v>
      </c>
      <c r="G1301" s="10" t="s">
        <v>7</v>
      </c>
      <c r="H1301" s="10" t="s">
        <v>6</v>
      </c>
      <c r="I1301" s="45">
        <v>4319</v>
      </c>
      <c r="J1301" s="11">
        <v>0</v>
      </c>
      <c r="K1301" s="45">
        <f t="shared" si="141"/>
        <v>4319</v>
      </c>
      <c r="L1301" s="10">
        <v>33</v>
      </c>
      <c r="M1301" s="10">
        <v>3.9</v>
      </c>
      <c r="N1301" s="10" t="b">
        <v>0</v>
      </c>
      <c r="O1301" s="41"/>
      <c r="P1301" s="45">
        <f t="shared" si="142"/>
        <v>1813.98</v>
      </c>
      <c r="Q1301" s="45">
        <f t="shared" si="143"/>
        <v>2505.02</v>
      </c>
      <c r="R1301" s="45">
        <v>0</v>
      </c>
      <c r="S1301" s="45">
        <f t="shared" si="144"/>
        <v>0</v>
      </c>
      <c r="T1301" s="45">
        <f t="shared" si="145"/>
        <v>0</v>
      </c>
      <c r="U1301" s="47">
        <f t="shared" si="146"/>
        <v>2505.02</v>
      </c>
    </row>
    <row r="1302" spans="1:21" x14ac:dyDescent="0.3">
      <c r="A1302" s="41" t="str">
        <f t="shared" si="140"/>
        <v>PMANAC</v>
      </c>
      <c r="B1302" s="43">
        <v>45737</v>
      </c>
      <c r="C1302" s="10" t="s">
        <v>1344</v>
      </c>
      <c r="D1302" s="10" t="s">
        <v>31</v>
      </c>
      <c r="E1302" s="10" t="s">
        <v>15</v>
      </c>
      <c r="F1302" s="10" t="s">
        <v>11</v>
      </c>
      <c r="G1302" s="10" t="s">
        <v>7</v>
      </c>
      <c r="H1302" s="10" t="s">
        <v>58</v>
      </c>
      <c r="I1302" s="45">
        <v>184</v>
      </c>
      <c r="J1302" s="11">
        <v>4.2000000000000003E-2</v>
      </c>
      <c r="K1302" s="45">
        <f t="shared" si="141"/>
        <v>176.27199999999999</v>
      </c>
      <c r="L1302" s="10">
        <v>40</v>
      </c>
      <c r="M1302" s="10">
        <v>1.4</v>
      </c>
      <c r="N1302" s="10" t="b">
        <v>0</v>
      </c>
      <c r="O1302" s="41"/>
      <c r="P1302" s="45">
        <f t="shared" si="142"/>
        <v>74.034239999999997</v>
      </c>
      <c r="Q1302" s="45">
        <f t="shared" si="143"/>
        <v>102.23775999999999</v>
      </c>
      <c r="R1302" s="45">
        <v>0</v>
      </c>
      <c r="S1302" s="45">
        <f t="shared" si="144"/>
        <v>0</v>
      </c>
      <c r="T1302" s="45">
        <f t="shared" si="145"/>
        <v>0</v>
      </c>
      <c r="U1302" s="47">
        <f t="shared" si="146"/>
        <v>102.23775999999999</v>
      </c>
    </row>
    <row r="1303" spans="1:21" x14ac:dyDescent="0.3">
      <c r="A1303" s="41" t="str">
        <f t="shared" si="140"/>
        <v>PMANAC</v>
      </c>
      <c r="B1303" s="43">
        <v>45737</v>
      </c>
      <c r="C1303" s="10" t="s">
        <v>1345</v>
      </c>
      <c r="D1303" s="10" t="s">
        <v>31</v>
      </c>
      <c r="E1303" s="10" t="s">
        <v>15</v>
      </c>
      <c r="F1303" s="10" t="s">
        <v>23</v>
      </c>
      <c r="G1303" s="10" t="s">
        <v>7</v>
      </c>
      <c r="H1303" s="10" t="s">
        <v>56</v>
      </c>
      <c r="I1303" s="45">
        <v>379</v>
      </c>
      <c r="J1303" s="11">
        <v>0</v>
      </c>
      <c r="K1303" s="45">
        <f t="shared" si="141"/>
        <v>379</v>
      </c>
      <c r="L1303" s="10">
        <v>18</v>
      </c>
      <c r="M1303" s="10">
        <v>2.2999999999999998</v>
      </c>
      <c r="N1303" s="10" t="b">
        <v>0</v>
      </c>
      <c r="O1303" s="41"/>
      <c r="P1303" s="45">
        <f t="shared" si="142"/>
        <v>159.18</v>
      </c>
      <c r="Q1303" s="45">
        <f t="shared" si="143"/>
        <v>219.82</v>
      </c>
      <c r="R1303" s="45">
        <v>0</v>
      </c>
      <c r="S1303" s="45">
        <f t="shared" si="144"/>
        <v>0</v>
      </c>
      <c r="T1303" s="45">
        <f t="shared" si="145"/>
        <v>0</v>
      </c>
      <c r="U1303" s="47">
        <f t="shared" si="146"/>
        <v>219.82</v>
      </c>
    </row>
    <row r="1304" spans="1:21" x14ac:dyDescent="0.3">
      <c r="A1304" s="41" t="str">
        <f t="shared" si="140"/>
        <v>PMANDR</v>
      </c>
      <c r="B1304" s="43">
        <v>45737</v>
      </c>
      <c r="C1304" s="10" t="s">
        <v>1346</v>
      </c>
      <c r="D1304" s="10" t="s">
        <v>31</v>
      </c>
      <c r="E1304" s="10" t="s">
        <v>30</v>
      </c>
      <c r="F1304" s="10" t="s">
        <v>54</v>
      </c>
      <c r="G1304" s="10" t="s">
        <v>38</v>
      </c>
      <c r="H1304" s="10" t="s">
        <v>13</v>
      </c>
      <c r="I1304" s="45">
        <v>2095</v>
      </c>
      <c r="J1304" s="11">
        <v>9.1999999999999998E-2</v>
      </c>
      <c r="K1304" s="45">
        <f t="shared" si="141"/>
        <v>1902.26</v>
      </c>
      <c r="L1304" s="10">
        <v>11</v>
      </c>
      <c r="M1304" s="10">
        <v>2.4</v>
      </c>
      <c r="N1304" s="10" t="b">
        <v>0</v>
      </c>
      <c r="O1304" s="41"/>
      <c r="P1304" s="45">
        <f t="shared" si="142"/>
        <v>798.94920000000002</v>
      </c>
      <c r="Q1304" s="45">
        <f t="shared" si="143"/>
        <v>1103.3108</v>
      </c>
      <c r="R1304" s="45">
        <v>0</v>
      </c>
      <c r="S1304" s="45">
        <f t="shared" si="144"/>
        <v>0</v>
      </c>
      <c r="T1304" s="45">
        <f t="shared" si="145"/>
        <v>0</v>
      </c>
      <c r="U1304" s="47">
        <f t="shared" si="146"/>
        <v>1103.3108</v>
      </c>
    </row>
    <row r="1305" spans="1:21" x14ac:dyDescent="0.3">
      <c r="A1305" s="41" t="str">
        <f t="shared" si="140"/>
        <v>PANNTO</v>
      </c>
      <c r="B1305" s="43">
        <v>45737</v>
      </c>
      <c r="C1305" s="10" t="s">
        <v>1347</v>
      </c>
      <c r="D1305" s="10" t="s">
        <v>42</v>
      </c>
      <c r="E1305" s="10" t="s">
        <v>9</v>
      </c>
      <c r="F1305" s="10" t="s">
        <v>54</v>
      </c>
      <c r="G1305" s="10" t="s">
        <v>38</v>
      </c>
      <c r="H1305" s="10" t="s">
        <v>47</v>
      </c>
      <c r="I1305" s="45">
        <v>1428</v>
      </c>
      <c r="J1305" s="11">
        <v>0.27699999999999997</v>
      </c>
      <c r="K1305" s="45">
        <f t="shared" si="141"/>
        <v>1032.4440000000002</v>
      </c>
      <c r="L1305" s="10">
        <v>29</v>
      </c>
      <c r="M1305" s="10">
        <v>1.7</v>
      </c>
      <c r="N1305" s="10" t="b">
        <v>0</v>
      </c>
      <c r="O1305" s="41"/>
      <c r="P1305" s="45">
        <f t="shared" si="142"/>
        <v>433.62648000000007</v>
      </c>
      <c r="Q1305" s="45">
        <f t="shared" si="143"/>
        <v>598.81752000000006</v>
      </c>
      <c r="R1305" s="45">
        <v>0</v>
      </c>
      <c r="S1305" s="45">
        <f t="shared" si="144"/>
        <v>0</v>
      </c>
      <c r="T1305" s="45">
        <f t="shared" si="145"/>
        <v>0</v>
      </c>
      <c r="U1305" s="47">
        <f t="shared" si="146"/>
        <v>598.81752000000006</v>
      </c>
    </row>
    <row r="1306" spans="1:21" x14ac:dyDescent="0.3">
      <c r="A1306" s="41" t="str">
        <f t="shared" si="140"/>
        <v>PGAPTO</v>
      </c>
      <c r="B1306" s="43">
        <v>45738</v>
      </c>
      <c r="C1306" s="10" t="s">
        <v>1348</v>
      </c>
      <c r="D1306" s="10" t="s">
        <v>53</v>
      </c>
      <c r="E1306" s="10" t="s">
        <v>9</v>
      </c>
      <c r="F1306" s="10" t="s">
        <v>11</v>
      </c>
      <c r="G1306" s="10" t="s">
        <v>49</v>
      </c>
      <c r="H1306" s="10" t="s">
        <v>16</v>
      </c>
      <c r="I1306" s="45">
        <v>1197</v>
      </c>
      <c r="J1306" s="11">
        <v>0.309</v>
      </c>
      <c r="K1306" s="45">
        <f t="shared" si="141"/>
        <v>827.12700000000007</v>
      </c>
      <c r="L1306" s="10">
        <v>21</v>
      </c>
      <c r="M1306" s="10">
        <v>2</v>
      </c>
      <c r="N1306" s="10" t="b">
        <v>1</v>
      </c>
      <c r="O1306" s="41" t="s">
        <v>33</v>
      </c>
      <c r="P1306" s="45">
        <f t="shared" si="142"/>
        <v>347.39334000000002</v>
      </c>
      <c r="Q1306" s="45">
        <f t="shared" si="143"/>
        <v>479.73366000000004</v>
      </c>
      <c r="R1306" s="45">
        <v>150</v>
      </c>
      <c r="S1306" s="45">
        <f t="shared" si="144"/>
        <v>82.712700000000012</v>
      </c>
      <c r="T1306" s="45">
        <f t="shared" si="145"/>
        <v>827.12700000000007</v>
      </c>
      <c r="U1306" s="47">
        <f t="shared" si="146"/>
        <v>-580.10604000000001</v>
      </c>
    </row>
    <row r="1307" spans="1:21" x14ac:dyDescent="0.3">
      <c r="A1307" s="41" t="str">
        <f t="shared" si="140"/>
        <v>PFORBO</v>
      </c>
      <c r="B1307" s="43">
        <v>45738</v>
      </c>
      <c r="C1307" s="10" t="s">
        <v>1349</v>
      </c>
      <c r="D1307" s="10" t="s">
        <v>65</v>
      </c>
      <c r="E1307" s="10" t="s">
        <v>26</v>
      </c>
      <c r="F1307" s="10" t="s">
        <v>54</v>
      </c>
      <c r="G1307" s="10" t="s">
        <v>12</v>
      </c>
      <c r="H1307" s="10" t="s">
        <v>88</v>
      </c>
      <c r="I1307" s="45">
        <v>2460</v>
      </c>
      <c r="J1307" s="11">
        <v>0.54200000000000004</v>
      </c>
      <c r="K1307" s="45">
        <f t="shared" si="141"/>
        <v>1126.6799999999998</v>
      </c>
      <c r="L1307" s="10">
        <v>25</v>
      </c>
      <c r="M1307" s="10">
        <v>4.5999999999999996</v>
      </c>
      <c r="N1307" s="10" t="b">
        <v>0</v>
      </c>
      <c r="O1307" s="41"/>
      <c r="P1307" s="45">
        <f t="shared" si="142"/>
        <v>473.20559999999989</v>
      </c>
      <c r="Q1307" s="45">
        <f t="shared" si="143"/>
        <v>653.47439999999995</v>
      </c>
      <c r="R1307" s="45">
        <v>0</v>
      </c>
      <c r="S1307" s="45">
        <f t="shared" si="144"/>
        <v>0</v>
      </c>
      <c r="T1307" s="45">
        <f t="shared" si="145"/>
        <v>0</v>
      </c>
      <c r="U1307" s="47">
        <f t="shared" si="146"/>
        <v>653.47439999999995</v>
      </c>
    </row>
    <row r="1308" spans="1:21" x14ac:dyDescent="0.3">
      <c r="A1308" s="41" t="str">
        <f t="shared" si="140"/>
        <v>PMANAC</v>
      </c>
      <c r="B1308" s="43">
        <v>45738</v>
      </c>
      <c r="C1308" s="10" t="s">
        <v>1350</v>
      </c>
      <c r="D1308" s="10" t="s">
        <v>31</v>
      </c>
      <c r="E1308" s="10" t="s">
        <v>15</v>
      </c>
      <c r="F1308" s="10" t="s">
        <v>54</v>
      </c>
      <c r="G1308" s="10" t="s">
        <v>7</v>
      </c>
      <c r="H1308" s="10" t="s">
        <v>6</v>
      </c>
      <c r="I1308" s="45">
        <v>478</v>
      </c>
      <c r="J1308" s="11">
        <v>3.7000000000000005E-2</v>
      </c>
      <c r="K1308" s="45">
        <f t="shared" si="141"/>
        <v>460.31399999999996</v>
      </c>
      <c r="L1308" s="10">
        <v>14</v>
      </c>
      <c r="M1308" s="10">
        <v>3.2</v>
      </c>
      <c r="N1308" s="10" t="b">
        <v>0</v>
      </c>
      <c r="O1308" s="41"/>
      <c r="P1308" s="45">
        <f t="shared" si="142"/>
        <v>193.33187999999998</v>
      </c>
      <c r="Q1308" s="45">
        <f t="shared" si="143"/>
        <v>266.98212000000001</v>
      </c>
      <c r="R1308" s="45">
        <v>0</v>
      </c>
      <c r="S1308" s="45">
        <f t="shared" si="144"/>
        <v>0</v>
      </c>
      <c r="T1308" s="45">
        <f t="shared" si="145"/>
        <v>0</v>
      </c>
      <c r="U1308" s="47">
        <f t="shared" si="146"/>
        <v>266.98212000000001</v>
      </c>
    </row>
    <row r="1309" spans="1:21" x14ac:dyDescent="0.3">
      <c r="A1309" s="41" t="str">
        <f t="shared" si="140"/>
        <v>PFORAC</v>
      </c>
      <c r="B1309" s="43">
        <v>45738</v>
      </c>
      <c r="C1309" s="10" t="s">
        <v>1351</v>
      </c>
      <c r="D1309" s="10" t="s">
        <v>65</v>
      </c>
      <c r="E1309" s="10" t="s">
        <v>15</v>
      </c>
      <c r="F1309" s="10" t="s">
        <v>4</v>
      </c>
      <c r="G1309" s="10" t="s">
        <v>7</v>
      </c>
      <c r="H1309" s="10" t="s">
        <v>43</v>
      </c>
      <c r="I1309" s="45">
        <v>236</v>
      </c>
      <c r="J1309" s="11">
        <v>0.184</v>
      </c>
      <c r="K1309" s="45">
        <f t="shared" si="141"/>
        <v>192.57600000000002</v>
      </c>
      <c r="L1309" s="10">
        <v>10</v>
      </c>
      <c r="M1309" s="10">
        <v>4.9000000000000004</v>
      </c>
      <c r="N1309" s="10" t="b">
        <v>0</v>
      </c>
      <c r="O1309" s="41"/>
      <c r="P1309" s="45">
        <f t="shared" si="142"/>
        <v>80.881920000000008</v>
      </c>
      <c r="Q1309" s="45">
        <f t="shared" si="143"/>
        <v>111.69408000000001</v>
      </c>
      <c r="R1309" s="45">
        <v>0</v>
      </c>
      <c r="S1309" s="45">
        <f t="shared" si="144"/>
        <v>0</v>
      </c>
      <c r="T1309" s="45">
        <f t="shared" si="145"/>
        <v>0</v>
      </c>
      <c r="U1309" s="47">
        <f t="shared" si="146"/>
        <v>111.69408000000001</v>
      </c>
    </row>
    <row r="1310" spans="1:21" x14ac:dyDescent="0.3">
      <c r="A1310" s="41" t="str">
        <f t="shared" si="140"/>
        <v>PH&amp;MSH</v>
      </c>
      <c r="B1310" s="43">
        <v>45738</v>
      </c>
      <c r="C1310" s="10" t="s">
        <v>1352</v>
      </c>
      <c r="D1310" s="10" t="s">
        <v>37</v>
      </c>
      <c r="E1310" s="10" t="s">
        <v>18</v>
      </c>
      <c r="F1310" s="10" t="s">
        <v>23</v>
      </c>
      <c r="G1310" s="10" t="s">
        <v>5</v>
      </c>
      <c r="H1310" s="10" t="s">
        <v>7</v>
      </c>
      <c r="I1310" s="45">
        <v>3734</v>
      </c>
      <c r="J1310" s="11">
        <v>0.433</v>
      </c>
      <c r="K1310" s="45">
        <f t="shared" si="141"/>
        <v>2117.1779999999999</v>
      </c>
      <c r="L1310" s="10">
        <v>26</v>
      </c>
      <c r="M1310" s="10">
        <v>3</v>
      </c>
      <c r="N1310" s="10" t="b">
        <v>0</v>
      </c>
      <c r="O1310" s="41"/>
      <c r="P1310" s="45">
        <f t="shared" si="142"/>
        <v>889.21475999999996</v>
      </c>
      <c r="Q1310" s="45">
        <f t="shared" si="143"/>
        <v>1227.96324</v>
      </c>
      <c r="R1310" s="45">
        <v>0</v>
      </c>
      <c r="S1310" s="45">
        <f t="shared" si="144"/>
        <v>0</v>
      </c>
      <c r="T1310" s="45">
        <f t="shared" si="145"/>
        <v>0</v>
      </c>
      <c r="U1310" s="47">
        <f t="shared" si="146"/>
        <v>1227.96324</v>
      </c>
    </row>
    <row r="1311" spans="1:21" x14ac:dyDescent="0.3">
      <c r="A1311" s="41" t="str">
        <f t="shared" si="140"/>
        <v>PANNAC</v>
      </c>
      <c r="B1311" s="43">
        <v>45739</v>
      </c>
      <c r="C1311" s="10" t="s">
        <v>1353</v>
      </c>
      <c r="D1311" s="10" t="s">
        <v>42</v>
      </c>
      <c r="E1311" s="10" t="s">
        <v>15</v>
      </c>
      <c r="F1311" s="10" t="s">
        <v>54</v>
      </c>
      <c r="G1311" s="10" t="s">
        <v>7</v>
      </c>
      <c r="H1311" s="10" t="s">
        <v>7</v>
      </c>
      <c r="I1311" s="45">
        <v>378</v>
      </c>
      <c r="J1311" s="11">
        <v>0.158</v>
      </c>
      <c r="K1311" s="45">
        <f t="shared" si="141"/>
        <v>318.27600000000001</v>
      </c>
      <c r="L1311" s="10">
        <v>31</v>
      </c>
      <c r="M1311" s="10">
        <v>1.8</v>
      </c>
      <c r="N1311" s="10" t="b">
        <v>0</v>
      </c>
      <c r="O1311" s="41"/>
      <c r="P1311" s="45">
        <f t="shared" si="142"/>
        <v>133.67591999999999</v>
      </c>
      <c r="Q1311" s="45">
        <f t="shared" si="143"/>
        <v>184.60008000000002</v>
      </c>
      <c r="R1311" s="45">
        <v>0</v>
      </c>
      <c r="S1311" s="45">
        <f t="shared" si="144"/>
        <v>0</v>
      </c>
      <c r="T1311" s="45">
        <f t="shared" si="145"/>
        <v>0</v>
      </c>
      <c r="U1311" s="47">
        <f t="shared" si="146"/>
        <v>184.60008000000002</v>
      </c>
    </row>
    <row r="1312" spans="1:21" x14ac:dyDescent="0.3">
      <c r="A1312" s="41" t="str">
        <f t="shared" si="140"/>
        <v>PMANDR</v>
      </c>
      <c r="B1312" s="43">
        <v>45739</v>
      </c>
      <c r="C1312" s="10" t="s">
        <v>1354</v>
      </c>
      <c r="D1312" s="10" t="s">
        <v>31</v>
      </c>
      <c r="E1312" s="10" t="s">
        <v>30</v>
      </c>
      <c r="F1312" s="10" t="s">
        <v>4</v>
      </c>
      <c r="G1312" s="10" t="s">
        <v>46</v>
      </c>
      <c r="H1312" s="10" t="s">
        <v>47</v>
      </c>
      <c r="I1312" s="45">
        <v>1843</v>
      </c>
      <c r="J1312" s="11">
        <v>0.23399999999999999</v>
      </c>
      <c r="K1312" s="45">
        <f t="shared" si="141"/>
        <v>1411.7380000000001</v>
      </c>
      <c r="L1312" s="10">
        <v>1</v>
      </c>
      <c r="M1312" s="10"/>
      <c r="N1312" s="10" t="b">
        <v>0</v>
      </c>
      <c r="O1312" s="41"/>
      <c r="P1312" s="45">
        <f t="shared" si="142"/>
        <v>592.92996000000005</v>
      </c>
      <c r="Q1312" s="45">
        <f t="shared" si="143"/>
        <v>818.80804000000001</v>
      </c>
      <c r="R1312" s="45">
        <v>0</v>
      </c>
      <c r="S1312" s="45">
        <f t="shared" si="144"/>
        <v>0</v>
      </c>
      <c r="T1312" s="45">
        <f t="shared" si="145"/>
        <v>0</v>
      </c>
      <c r="U1312" s="47">
        <f t="shared" si="146"/>
        <v>818.80804000000001</v>
      </c>
    </row>
    <row r="1313" spans="1:21" x14ac:dyDescent="0.3">
      <c r="A1313" s="41" t="str">
        <f t="shared" si="140"/>
        <v>PZARBO</v>
      </c>
      <c r="B1313" s="43">
        <v>45739</v>
      </c>
      <c r="C1313" s="10" t="s">
        <v>1355</v>
      </c>
      <c r="D1313" s="10" t="s">
        <v>3</v>
      </c>
      <c r="E1313" s="10" t="s">
        <v>26</v>
      </c>
      <c r="F1313" s="10" t="s">
        <v>4</v>
      </c>
      <c r="G1313" s="10" t="s">
        <v>27</v>
      </c>
      <c r="H1313" s="10" t="s">
        <v>28</v>
      </c>
      <c r="I1313" s="45">
        <v>2543</v>
      </c>
      <c r="J1313" s="11">
        <v>0</v>
      </c>
      <c r="K1313" s="45">
        <f t="shared" si="141"/>
        <v>2543</v>
      </c>
      <c r="L1313" s="10">
        <v>47</v>
      </c>
      <c r="M1313" s="10">
        <v>1.4</v>
      </c>
      <c r="N1313" s="10" t="b">
        <v>0</v>
      </c>
      <c r="O1313" s="41"/>
      <c r="P1313" s="45">
        <f t="shared" si="142"/>
        <v>1068.06</v>
      </c>
      <c r="Q1313" s="45">
        <f t="shared" si="143"/>
        <v>1474.94</v>
      </c>
      <c r="R1313" s="45">
        <v>0</v>
      </c>
      <c r="S1313" s="45">
        <f t="shared" si="144"/>
        <v>0</v>
      </c>
      <c r="T1313" s="45">
        <f t="shared" si="145"/>
        <v>0</v>
      </c>
      <c r="U1313" s="47">
        <f t="shared" si="146"/>
        <v>1474.94</v>
      </c>
    </row>
    <row r="1314" spans="1:21" x14ac:dyDescent="0.3">
      <c r="A1314" s="41" t="str">
        <f t="shared" si="140"/>
        <v>PUNISH</v>
      </c>
      <c r="B1314" s="43">
        <v>45740</v>
      </c>
      <c r="C1314" s="10" t="s">
        <v>1356</v>
      </c>
      <c r="D1314" s="10" t="s">
        <v>10</v>
      </c>
      <c r="E1314" s="10" t="s">
        <v>18</v>
      </c>
      <c r="F1314" s="10" t="s">
        <v>23</v>
      </c>
      <c r="G1314" s="10" t="s">
        <v>38</v>
      </c>
      <c r="H1314" s="10" t="s">
        <v>88</v>
      </c>
      <c r="I1314" s="45">
        <v>3581</v>
      </c>
      <c r="J1314" s="11">
        <v>0</v>
      </c>
      <c r="K1314" s="45">
        <f t="shared" si="141"/>
        <v>3581</v>
      </c>
      <c r="L1314" s="10">
        <v>9</v>
      </c>
      <c r="M1314" s="10">
        <v>4</v>
      </c>
      <c r="N1314" s="10" t="b">
        <v>0</v>
      </c>
      <c r="O1314" s="41"/>
      <c r="P1314" s="45">
        <f t="shared" si="142"/>
        <v>1504.02</v>
      </c>
      <c r="Q1314" s="45">
        <f t="shared" si="143"/>
        <v>2076.98</v>
      </c>
      <c r="R1314" s="45">
        <v>0</v>
      </c>
      <c r="S1314" s="45">
        <f t="shared" si="144"/>
        <v>0</v>
      </c>
      <c r="T1314" s="45">
        <f t="shared" si="145"/>
        <v>0</v>
      </c>
      <c r="U1314" s="47">
        <f t="shared" si="146"/>
        <v>2076.98</v>
      </c>
    </row>
    <row r="1315" spans="1:21" x14ac:dyDescent="0.3">
      <c r="A1315" s="41" t="str">
        <f t="shared" si="140"/>
        <v>PBANDR</v>
      </c>
      <c r="B1315" s="43">
        <v>45740</v>
      </c>
      <c r="C1315" s="10" t="s">
        <v>1357</v>
      </c>
      <c r="D1315" s="10" t="s">
        <v>21</v>
      </c>
      <c r="E1315" s="10" t="s">
        <v>30</v>
      </c>
      <c r="F1315" s="10" t="s">
        <v>4</v>
      </c>
      <c r="G1315" s="10" t="s">
        <v>5</v>
      </c>
      <c r="H1315" s="10" t="s">
        <v>32</v>
      </c>
      <c r="I1315" s="45">
        <v>2823</v>
      </c>
      <c r="J1315" s="11">
        <v>1.1000000000000001E-2</v>
      </c>
      <c r="K1315" s="45">
        <f t="shared" si="141"/>
        <v>2791.9470000000001</v>
      </c>
      <c r="L1315" s="10">
        <v>43</v>
      </c>
      <c r="M1315" s="10">
        <v>2</v>
      </c>
      <c r="N1315" s="10" t="b">
        <v>0</v>
      </c>
      <c r="O1315" s="41"/>
      <c r="P1315" s="45">
        <f t="shared" si="142"/>
        <v>1172.6177399999999</v>
      </c>
      <c r="Q1315" s="45">
        <f t="shared" si="143"/>
        <v>1619.3292600000002</v>
      </c>
      <c r="R1315" s="45">
        <v>0</v>
      </c>
      <c r="S1315" s="45">
        <f t="shared" si="144"/>
        <v>0</v>
      </c>
      <c r="T1315" s="45">
        <f t="shared" si="145"/>
        <v>0</v>
      </c>
      <c r="U1315" s="47">
        <f t="shared" si="146"/>
        <v>1619.3292600000002</v>
      </c>
    </row>
    <row r="1316" spans="1:21" x14ac:dyDescent="0.3">
      <c r="A1316" s="41" t="str">
        <f t="shared" si="140"/>
        <v>PH&amp;MBO</v>
      </c>
      <c r="B1316" s="43">
        <v>45740</v>
      </c>
      <c r="C1316" s="10" t="s">
        <v>1358</v>
      </c>
      <c r="D1316" s="10" t="s">
        <v>37</v>
      </c>
      <c r="E1316" s="10" t="s">
        <v>26</v>
      </c>
      <c r="F1316" s="10" t="s">
        <v>11</v>
      </c>
      <c r="G1316" s="10" t="s">
        <v>38</v>
      </c>
      <c r="H1316" s="10" t="s">
        <v>6</v>
      </c>
      <c r="I1316" s="45">
        <v>2763</v>
      </c>
      <c r="J1316" s="11">
        <v>0.498</v>
      </c>
      <c r="K1316" s="45">
        <f t="shared" si="141"/>
        <v>1387.0260000000001</v>
      </c>
      <c r="L1316" s="10">
        <v>9</v>
      </c>
      <c r="M1316" s="10"/>
      <c r="N1316" s="10" t="b">
        <v>1</v>
      </c>
      <c r="O1316" s="41" t="s">
        <v>44</v>
      </c>
      <c r="P1316" s="45">
        <f t="shared" si="142"/>
        <v>582.55092000000002</v>
      </c>
      <c r="Q1316" s="45">
        <f t="shared" si="143"/>
        <v>804.47508000000005</v>
      </c>
      <c r="R1316" s="45">
        <v>150</v>
      </c>
      <c r="S1316" s="45">
        <f t="shared" si="144"/>
        <v>138.70260000000002</v>
      </c>
      <c r="T1316" s="45">
        <f t="shared" si="145"/>
        <v>1387.0260000000001</v>
      </c>
      <c r="U1316" s="47">
        <f t="shared" si="146"/>
        <v>-871.25351999999998</v>
      </c>
    </row>
    <row r="1317" spans="1:21" x14ac:dyDescent="0.3">
      <c r="A1317" s="41" t="str">
        <f t="shared" si="140"/>
        <v>PBANSH</v>
      </c>
      <c r="B1317" s="43">
        <v>45740</v>
      </c>
      <c r="C1317" s="10" t="s">
        <v>1359</v>
      </c>
      <c r="D1317" s="10" t="s">
        <v>21</v>
      </c>
      <c r="E1317" s="10" t="s">
        <v>18</v>
      </c>
      <c r="F1317" s="10" t="s">
        <v>4</v>
      </c>
      <c r="G1317" s="10" t="s">
        <v>49</v>
      </c>
      <c r="H1317" s="10" t="s">
        <v>35</v>
      </c>
      <c r="I1317" s="45">
        <v>3479</v>
      </c>
      <c r="J1317" s="11">
        <v>5.4000000000000006E-2</v>
      </c>
      <c r="K1317" s="45">
        <f t="shared" si="141"/>
        <v>3291.134</v>
      </c>
      <c r="L1317" s="10">
        <v>33</v>
      </c>
      <c r="M1317" s="10"/>
      <c r="N1317" s="10" t="b">
        <v>1</v>
      </c>
      <c r="O1317" s="41" t="s">
        <v>80</v>
      </c>
      <c r="P1317" s="45">
        <f t="shared" si="142"/>
        <v>1382.27628</v>
      </c>
      <c r="Q1317" s="45">
        <f t="shared" si="143"/>
        <v>1908.85772</v>
      </c>
      <c r="R1317" s="45">
        <v>150</v>
      </c>
      <c r="S1317" s="45">
        <f t="shared" si="144"/>
        <v>329.11340000000001</v>
      </c>
      <c r="T1317" s="45">
        <f t="shared" si="145"/>
        <v>3291.134</v>
      </c>
      <c r="U1317" s="47">
        <f t="shared" si="146"/>
        <v>-1861.38968</v>
      </c>
    </row>
    <row r="1318" spans="1:21" x14ac:dyDescent="0.3">
      <c r="A1318" s="41" t="str">
        <f t="shared" si="140"/>
        <v>PGAPBO</v>
      </c>
      <c r="B1318" s="43">
        <v>45741</v>
      </c>
      <c r="C1318" s="10" t="s">
        <v>1360</v>
      </c>
      <c r="D1318" s="10" t="s">
        <v>53</v>
      </c>
      <c r="E1318" s="10" t="s">
        <v>26</v>
      </c>
      <c r="F1318" s="10" t="s">
        <v>54</v>
      </c>
      <c r="G1318" s="10" t="s">
        <v>46</v>
      </c>
      <c r="H1318" s="10" t="s">
        <v>28</v>
      </c>
      <c r="I1318" s="45">
        <v>2699</v>
      </c>
      <c r="J1318" s="11">
        <v>0</v>
      </c>
      <c r="K1318" s="45">
        <f t="shared" si="141"/>
        <v>2699</v>
      </c>
      <c r="L1318" s="10">
        <v>35</v>
      </c>
      <c r="M1318" s="10">
        <v>1.2</v>
      </c>
      <c r="N1318" s="10" t="b">
        <v>1</v>
      </c>
      <c r="O1318" s="41" t="s">
        <v>33</v>
      </c>
      <c r="P1318" s="45">
        <f t="shared" si="142"/>
        <v>1133.58</v>
      </c>
      <c r="Q1318" s="45">
        <f t="shared" si="143"/>
        <v>1565.42</v>
      </c>
      <c r="R1318" s="45">
        <v>150</v>
      </c>
      <c r="S1318" s="45">
        <f t="shared" si="144"/>
        <v>269.90000000000003</v>
      </c>
      <c r="T1318" s="45">
        <f t="shared" si="145"/>
        <v>2699</v>
      </c>
      <c r="U1318" s="47">
        <f t="shared" si="146"/>
        <v>-1553.48</v>
      </c>
    </row>
    <row r="1319" spans="1:21" x14ac:dyDescent="0.3">
      <c r="A1319" s="41" t="str">
        <f t="shared" si="140"/>
        <v>PUNISH</v>
      </c>
      <c r="B1319" s="43">
        <v>45741</v>
      </c>
      <c r="C1319" s="10" t="s">
        <v>1361</v>
      </c>
      <c r="D1319" s="10" t="s">
        <v>10</v>
      </c>
      <c r="E1319" s="10" t="s">
        <v>18</v>
      </c>
      <c r="F1319" s="10" t="s">
        <v>54</v>
      </c>
      <c r="G1319" s="10" t="s">
        <v>12</v>
      </c>
      <c r="H1319" s="10" t="s">
        <v>35</v>
      </c>
      <c r="I1319" s="45">
        <v>4435</v>
      </c>
      <c r="J1319" s="11">
        <v>0</v>
      </c>
      <c r="K1319" s="45">
        <f t="shared" si="141"/>
        <v>4435</v>
      </c>
      <c r="L1319" s="10">
        <v>30</v>
      </c>
      <c r="M1319" s="10">
        <v>1.1000000000000001</v>
      </c>
      <c r="N1319" s="10" t="b">
        <v>1</v>
      </c>
      <c r="O1319" s="41" t="s">
        <v>33</v>
      </c>
      <c r="P1319" s="45">
        <f t="shared" si="142"/>
        <v>1862.6999999999998</v>
      </c>
      <c r="Q1319" s="45">
        <f t="shared" si="143"/>
        <v>2572.3000000000002</v>
      </c>
      <c r="R1319" s="45">
        <v>150</v>
      </c>
      <c r="S1319" s="45">
        <f t="shared" si="144"/>
        <v>443.5</v>
      </c>
      <c r="T1319" s="45">
        <f t="shared" si="145"/>
        <v>4435</v>
      </c>
      <c r="U1319" s="47">
        <f t="shared" si="146"/>
        <v>-2456.1999999999998</v>
      </c>
    </row>
    <row r="1320" spans="1:21" x14ac:dyDescent="0.3">
      <c r="A1320" s="41" t="str">
        <f t="shared" si="140"/>
        <v>PGAPTO</v>
      </c>
      <c r="B1320" s="43">
        <v>45741</v>
      </c>
      <c r="C1320" s="10" t="s">
        <v>1362</v>
      </c>
      <c r="D1320" s="10" t="s">
        <v>53</v>
      </c>
      <c r="E1320" s="10" t="s">
        <v>9</v>
      </c>
      <c r="F1320" s="10" t="s">
        <v>54</v>
      </c>
      <c r="G1320" s="10" t="s">
        <v>38</v>
      </c>
      <c r="H1320" s="10" t="s">
        <v>16</v>
      </c>
      <c r="I1320" s="45">
        <v>1001</v>
      </c>
      <c r="J1320" s="11">
        <v>0.40399999999999997</v>
      </c>
      <c r="K1320" s="45">
        <f t="shared" si="141"/>
        <v>596.59600000000012</v>
      </c>
      <c r="L1320" s="10">
        <v>31</v>
      </c>
      <c r="M1320" s="10">
        <v>4.5</v>
      </c>
      <c r="N1320" s="10" t="b">
        <v>0</v>
      </c>
      <c r="O1320" s="41"/>
      <c r="P1320" s="45">
        <f t="shared" si="142"/>
        <v>250.57032000000004</v>
      </c>
      <c r="Q1320" s="45">
        <f t="shared" si="143"/>
        <v>346.02568000000008</v>
      </c>
      <c r="R1320" s="45">
        <v>0</v>
      </c>
      <c r="S1320" s="45">
        <f t="shared" si="144"/>
        <v>0</v>
      </c>
      <c r="T1320" s="45">
        <f t="shared" si="145"/>
        <v>0</v>
      </c>
      <c r="U1320" s="47">
        <f t="shared" si="146"/>
        <v>346.02568000000008</v>
      </c>
    </row>
    <row r="1321" spans="1:21" x14ac:dyDescent="0.3">
      <c r="A1321" s="41" t="str">
        <f t="shared" si="140"/>
        <v>PBANOU</v>
      </c>
      <c r="B1321" s="43">
        <v>45741</v>
      </c>
      <c r="C1321" s="10" t="s">
        <v>1363</v>
      </c>
      <c r="D1321" s="10" t="s">
        <v>21</v>
      </c>
      <c r="E1321" s="10" t="s">
        <v>2</v>
      </c>
      <c r="F1321" s="10" t="s">
        <v>4</v>
      </c>
      <c r="G1321" s="10" t="s">
        <v>12</v>
      </c>
      <c r="H1321" s="10" t="s">
        <v>88</v>
      </c>
      <c r="I1321" s="45">
        <v>3500</v>
      </c>
      <c r="J1321" s="11">
        <v>0</v>
      </c>
      <c r="K1321" s="45">
        <f t="shared" si="141"/>
        <v>3500</v>
      </c>
      <c r="L1321" s="10">
        <v>21</v>
      </c>
      <c r="M1321" s="10">
        <v>1.2</v>
      </c>
      <c r="N1321" s="10" t="b">
        <v>0</v>
      </c>
      <c r="O1321" s="41"/>
      <c r="P1321" s="45">
        <f t="shared" si="142"/>
        <v>1470</v>
      </c>
      <c r="Q1321" s="45">
        <f t="shared" si="143"/>
        <v>2030</v>
      </c>
      <c r="R1321" s="45">
        <v>0</v>
      </c>
      <c r="S1321" s="45">
        <f t="shared" si="144"/>
        <v>0</v>
      </c>
      <c r="T1321" s="45">
        <f t="shared" si="145"/>
        <v>0</v>
      </c>
      <c r="U1321" s="47">
        <f t="shared" si="146"/>
        <v>2030</v>
      </c>
    </row>
    <row r="1322" spans="1:21" x14ac:dyDescent="0.3">
      <c r="A1322" s="41" t="str">
        <f t="shared" si="140"/>
        <v>PZARAC</v>
      </c>
      <c r="B1322" s="43">
        <v>45742</v>
      </c>
      <c r="C1322" s="10" t="s">
        <v>1364</v>
      </c>
      <c r="D1322" s="10" t="s">
        <v>3</v>
      </c>
      <c r="E1322" s="10" t="s">
        <v>15</v>
      </c>
      <c r="F1322" s="10" t="s">
        <v>4</v>
      </c>
      <c r="G1322" s="10" t="s">
        <v>7</v>
      </c>
      <c r="H1322" s="10" t="s">
        <v>58</v>
      </c>
      <c r="I1322" s="45">
        <v>237</v>
      </c>
      <c r="J1322" s="11">
        <v>0.36899999999999999</v>
      </c>
      <c r="K1322" s="45">
        <f t="shared" si="141"/>
        <v>149.547</v>
      </c>
      <c r="L1322" s="10">
        <v>9</v>
      </c>
      <c r="M1322" s="10">
        <v>1.8</v>
      </c>
      <c r="N1322" s="10" t="b">
        <v>0</v>
      </c>
      <c r="O1322" s="41"/>
      <c r="P1322" s="45">
        <f t="shared" si="142"/>
        <v>62.809739999999998</v>
      </c>
      <c r="Q1322" s="45">
        <f t="shared" si="143"/>
        <v>86.737259999999992</v>
      </c>
      <c r="R1322" s="45">
        <v>0</v>
      </c>
      <c r="S1322" s="45">
        <f t="shared" si="144"/>
        <v>0</v>
      </c>
      <c r="T1322" s="45">
        <f t="shared" si="145"/>
        <v>0</v>
      </c>
      <c r="U1322" s="47">
        <f t="shared" si="146"/>
        <v>86.737259999999992</v>
      </c>
    </row>
    <row r="1323" spans="1:21" x14ac:dyDescent="0.3">
      <c r="A1323" s="41" t="str">
        <f t="shared" si="140"/>
        <v>PH&amp;MDR</v>
      </c>
      <c r="B1323" s="43">
        <v>45742</v>
      </c>
      <c r="C1323" s="10" t="s">
        <v>1365</v>
      </c>
      <c r="D1323" s="10" t="s">
        <v>37</v>
      </c>
      <c r="E1323" s="10" t="s">
        <v>30</v>
      </c>
      <c r="F1323" s="10" t="s">
        <v>4</v>
      </c>
      <c r="G1323" s="10" t="s">
        <v>27</v>
      </c>
      <c r="H1323" s="10" t="s">
        <v>13</v>
      </c>
      <c r="I1323" s="45">
        <v>2827</v>
      </c>
      <c r="J1323" s="11">
        <v>3.5000000000000003E-2</v>
      </c>
      <c r="K1323" s="45">
        <f t="shared" si="141"/>
        <v>2728.0549999999998</v>
      </c>
      <c r="L1323" s="10">
        <v>14</v>
      </c>
      <c r="M1323" s="10">
        <v>2.1</v>
      </c>
      <c r="N1323" s="10" t="b">
        <v>0</v>
      </c>
      <c r="O1323" s="41"/>
      <c r="P1323" s="45">
        <f t="shared" si="142"/>
        <v>1145.7830999999999</v>
      </c>
      <c r="Q1323" s="45">
        <f t="shared" si="143"/>
        <v>1582.2719</v>
      </c>
      <c r="R1323" s="45">
        <v>0</v>
      </c>
      <c r="S1323" s="45">
        <f t="shared" si="144"/>
        <v>0</v>
      </c>
      <c r="T1323" s="45">
        <f t="shared" si="145"/>
        <v>0</v>
      </c>
      <c r="U1323" s="47">
        <f t="shared" si="146"/>
        <v>1582.2719</v>
      </c>
    </row>
    <row r="1324" spans="1:21" x14ac:dyDescent="0.3">
      <c r="A1324" s="41" t="str">
        <f t="shared" si="140"/>
        <v>PMANSH</v>
      </c>
      <c r="B1324" s="43">
        <v>45742</v>
      </c>
      <c r="C1324" s="10" t="s">
        <v>1366</v>
      </c>
      <c r="D1324" s="10" t="s">
        <v>31</v>
      </c>
      <c r="E1324" s="10" t="s">
        <v>18</v>
      </c>
      <c r="F1324" s="10" t="s">
        <v>23</v>
      </c>
      <c r="G1324" s="10" t="s">
        <v>27</v>
      </c>
      <c r="H1324" s="10" t="s">
        <v>56</v>
      </c>
      <c r="I1324" s="45">
        <v>3649</v>
      </c>
      <c r="J1324" s="11">
        <v>0.114</v>
      </c>
      <c r="K1324" s="45">
        <f t="shared" si="141"/>
        <v>3233.0140000000001</v>
      </c>
      <c r="L1324" s="10">
        <v>15</v>
      </c>
      <c r="M1324" s="10"/>
      <c r="N1324" s="10" t="b">
        <v>0</v>
      </c>
      <c r="O1324" s="41"/>
      <c r="P1324" s="45">
        <f t="shared" si="142"/>
        <v>1357.8658800000001</v>
      </c>
      <c r="Q1324" s="45">
        <f t="shared" si="143"/>
        <v>1875.1481200000001</v>
      </c>
      <c r="R1324" s="45">
        <v>0</v>
      </c>
      <c r="S1324" s="45">
        <f t="shared" si="144"/>
        <v>0</v>
      </c>
      <c r="T1324" s="45">
        <f t="shared" si="145"/>
        <v>0</v>
      </c>
      <c r="U1324" s="47">
        <f t="shared" si="146"/>
        <v>1875.1481200000001</v>
      </c>
    </row>
    <row r="1325" spans="1:21" x14ac:dyDescent="0.3">
      <c r="A1325" s="41" t="str">
        <f t="shared" si="140"/>
        <v>PUNIBO</v>
      </c>
      <c r="B1325" s="43">
        <v>45742</v>
      </c>
      <c r="C1325" s="10" t="s">
        <v>1367</v>
      </c>
      <c r="D1325" s="10" t="s">
        <v>10</v>
      </c>
      <c r="E1325" s="10" t="s">
        <v>26</v>
      </c>
      <c r="F1325" s="10" t="s">
        <v>23</v>
      </c>
      <c r="G1325" s="10" t="s">
        <v>46</v>
      </c>
      <c r="H1325" s="10" t="s">
        <v>35</v>
      </c>
      <c r="I1325" s="45">
        <v>2616</v>
      </c>
      <c r="J1325" s="11">
        <v>0</v>
      </c>
      <c r="K1325" s="45">
        <f t="shared" si="141"/>
        <v>2616</v>
      </c>
      <c r="L1325" s="10">
        <v>16</v>
      </c>
      <c r="M1325" s="10"/>
      <c r="N1325" s="10" t="b">
        <v>1</v>
      </c>
      <c r="O1325" s="41" t="s">
        <v>80</v>
      </c>
      <c r="P1325" s="45">
        <f t="shared" si="142"/>
        <v>1098.72</v>
      </c>
      <c r="Q1325" s="45">
        <f t="shared" si="143"/>
        <v>1517.28</v>
      </c>
      <c r="R1325" s="45">
        <v>150</v>
      </c>
      <c r="S1325" s="45">
        <f t="shared" si="144"/>
        <v>261.60000000000002</v>
      </c>
      <c r="T1325" s="45">
        <f t="shared" si="145"/>
        <v>2616</v>
      </c>
      <c r="U1325" s="47">
        <f t="shared" si="146"/>
        <v>-1510.3200000000002</v>
      </c>
    </row>
    <row r="1326" spans="1:21" x14ac:dyDescent="0.3">
      <c r="A1326" s="41" t="str">
        <f t="shared" si="140"/>
        <v>PFORBO</v>
      </c>
      <c r="B1326" s="43">
        <v>45742</v>
      </c>
      <c r="C1326" s="10" t="s">
        <v>1368</v>
      </c>
      <c r="D1326" s="10" t="s">
        <v>65</v>
      </c>
      <c r="E1326" s="10" t="s">
        <v>26</v>
      </c>
      <c r="F1326" s="10" t="s">
        <v>11</v>
      </c>
      <c r="G1326" s="10" t="s">
        <v>49</v>
      </c>
      <c r="H1326" s="10" t="s">
        <v>47</v>
      </c>
      <c r="I1326" s="45">
        <v>2866</v>
      </c>
      <c r="J1326" s="11">
        <v>0</v>
      </c>
      <c r="K1326" s="45">
        <f t="shared" si="141"/>
        <v>2866</v>
      </c>
      <c r="L1326" s="10">
        <v>38</v>
      </c>
      <c r="M1326" s="10">
        <v>3.3</v>
      </c>
      <c r="N1326" s="10" t="b">
        <v>0</v>
      </c>
      <c r="O1326" s="41"/>
      <c r="P1326" s="45">
        <f t="shared" si="142"/>
        <v>1203.72</v>
      </c>
      <c r="Q1326" s="45">
        <f t="shared" si="143"/>
        <v>1662.28</v>
      </c>
      <c r="R1326" s="45">
        <v>0</v>
      </c>
      <c r="S1326" s="45">
        <f t="shared" si="144"/>
        <v>0</v>
      </c>
      <c r="T1326" s="45">
        <f t="shared" si="145"/>
        <v>0</v>
      </c>
      <c r="U1326" s="47">
        <f t="shared" si="146"/>
        <v>1662.28</v>
      </c>
    </row>
    <row r="1327" spans="1:21" x14ac:dyDescent="0.3">
      <c r="A1327" s="41" t="str">
        <f t="shared" si="140"/>
        <v>PZARAC</v>
      </c>
      <c r="B1327" s="43">
        <v>45743</v>
      </c>
      <c r="C1327" s="10" t="s">
        <v>1369</v>
      </c>
      <c r="D1327" s="10" t="s">
        <v>3</v>
      </c>
      <c r="E1327" s="10" t="s">
        <v>15</v>
      </c>
      <c r="F1327" s="10" t="s">
        <v>54</v>
      </c>
      <c r="G1327" s="10" t="s">
        <v>7</v>
      </c>
      <c r="H1327" s="10" t="s">
        <v>43</v>
      </c>
      <c r="I1327" s="45">
        <v>175</v>
      </c>
      <c r="J1327" s="11">
        <v>0</v>
      </c>
      <c r="K1327" s="45">
        <f t="shared" si="141"/>
        <v>175</v>
      </c>
      <c r="L1327" s="10">
        <v>25</v>
      </c>
      <c r="M1327" s="10">
        <v>2.5</v>
      </c>
      <c r="N1327" s="10" t="b">
        <v>0</v>
      </c>
      <c r="O1327" s="41"/>
      <c r="P1327" s="45">
        <f t="shared" si="142"/>
        <v>73.5</v>
      </c>
      <c r="Q1327" s="45">
        <f t="shared" si="143"/>
        <v>101.5</v>
      </c>
      <c r="R1327" s="45">
        <v>0</v>
      </c>
      <c r="S1327" s="45">
        <f t="shared" si="144"/>
        <v>0</v>
      </c>
      <c r="T1327" s="45">
        <f t="shared" si="145"/>
        <v>0</v>
      </c>
      <c r="U1327" s="47">
        <f t="shared" si="146"/>
        <v>101.5</v>
      </c>
    </row>
    <row r="1328" spans="1:21" x14ac:dyDescent="0.3">
      <c r="A1328" s="41" t="str">
        <f t="shared" si="140"/>
        <v>PMANDR</v>
      </c>
      <c r="B1328" s="43">
        <v>45743</v>
      </c>
      <c r="C1328" s="10" t="s">
        <v>1370</v>
      </c>
      <c r="D1328" s="10" t="s">
        <v>31</v>
      </c>
      <c r="E1328" s="10" t="s">
        <v>30</v>
      </c>
      <c r="F1328" s="10" t="s">
        <v>23</v>
      </c>
      <c r="G1328" s="10" t="s">
        <v>27</v>
      </c>
      <c r="H1328" s="10" t="s">
        <v>35</v>
      </c>
      <c r="I1328" s="45">
        <v>2727</v>
      </c>
      <c r="J1328" s="11">
        <v>0</v>
      </c>
      <c r="K1328" s="45">
        <f t="shared" si="141"/>
        <v>2727</v>
      </c>
      <c r="L1328" s="10">
        <v>43</v>
      </c>
      <c r="M1328" s="10"/>
      <c r="N1328" s="10" t="b">
        <v>1</v>
      </c>
      <c r="O1328" s="41" t="s">
        <v>19</v>
      </c>
      <c r="P1328" s="45">
        <f t="shared" si="142"/>
        <v>1145.3399999999999</v>
      </c>
      <c r="Q1328" s="45">
        <f t="shared" si="143"/>
        <v>1581.66</v>
      </c>
      <c r="R1328" s="45">
        <v>150</v>
      </c>
      <c r="S1328" s="45">
        <f t="shared" si="144"/>
        <v>272.7</v>
      </c>
      <c r="T1328" s="45">
        <f t="shared" si="145"/>
        <v>2727</v>
      </c>
      <c r="U1328" s="47">
        <f t="shared" si="146"/>
        <v>-1568.04</v>
      </c>
    </row>
    <row r="1329" spans="1:21" x14ac:dyDescent="0.3">
      <c r="A1329" s="41" t="str">
        <f t="shared" si="140"/>
        <v>PMANTO</v>
      </c>
      <c r="B1329" s="43">
        <v>45743</v>
      </c>
      <c r="C1329" s="10" t="s">
        <v>1371</v>
      </c>
      <c r="D1329" s="10" t="s">
        <v>31</v>
      </c>
      <c r="E1329" s="10" t="s">
        <v>9</v>
      </c>
      <c r="F1329" s="10" t="s">
        <v>23</v>
      </c>
      <c r="G1329" s="10" t="s">
        <v>46</v>
      </c>
      <c r="H1329" s="10" t="s">
        <v>13</v>
      </c>
      <c r="I1329" s="45">
        <v>1159</v>
      </c>
      <c r="J1329" s="11">
        <v>0</v>
      </c>
      <c r="K1329" s="45">
        <f t="shared" si="141"/>
        <v>1159</v>
      </c>
      <c r="L1329" s="10">
        <v>31</v>
      </c>
      <c r="M1329" s="10">
        <v>1.5</v>
      </c>
      <c r="N1329" s="10" t="b">
        <v>1</v>
      </c>
      <c r="O1329" s="41" t="s">
        <v>33</v>
      </c>
      <c r="P1329" s="45">
        <f t="shared" si="142"/>
        <v>486.78</v>
      </c>
      <c r="Q1329" s="45">
        <f t="shared" si="143"/>
        <v>672.22</v>
      </c>
      <c r="R1329" s="45">
        <v>150</v>
      </c>
      <c r="S1329" s="45">
        <f t="shared" si="144"/>
        <v>115.9</v>
      </c>
      <c r="T1329" s="45">
        <f t="shared" si="145"/>
        <v>1159</v>
      </c>
      <c r="U1329" s="47">
        <f t="shared" si="146"/>
        <v>-752.68</v>
      </c>
    </row>
    <row r="1330" spans="1:21" x14ac:dyDescent="0.3">
      <c r="A1330" s="41" t="str">
        <f t="shared" si="140"/>
        <v>PZARBO</v>
      </c>
      <c r="B1330" s="43">
        <v>45744</v>
      </c>
      <c r="C1330" s="10" t="s">
        <v>1372</v>
      </c>
      <c r="D1330" s="10" t="s">
        <v>3</v>
      </c>
      <c r="E1330" s="10" t="s">
        <v>26</v>
      </c>
      <c r="F1330" s="10" t="s">
        <v>11</v>
      </c>
      <c r="G1330" s="10" t="s">
        <v>46</v>
      </c>
      <c r="H1330" s="10" t="s">
        <v>58</v>
      </c>
      <c r="I1330" s="45">
        <v>2918</v>
      </c>
      <c r="J1330" s="11">
        <v>0.23100000000000001</v>
      </c>
      <c r="K1330" s="45">
        <f t="shared" si="141"/>
        <v>2243.942</v>
      </c>
      <c r="L1330" s="10">
        <v>15</v>
      </c>
      <c r="M1330" s="10">
        <v>5</v>
      </c>
      <c r="N1330" s="10" t="b">
        <v>0</v>
      </c>
      <c r="O1330" s="41"/>
      <c r="P1330" s="45">
        <f t="shared" si="142"/>
        <v>942.45564000000002</v>
      </c>
      <c r="Q1330" s="45">
        <f t="shared" si="143"/>
        <v>1301.4863599999999</v>
      </c>
      <c r="R1330" s="45">
        <v>0</v>
      </c>
      <c r="S1330" s="45">
        <f t="shared" si="144"/>
        <v>0</v>
      </c>
      <c r="T1330" s="45">
        <f t="shared" si="145"/>
        <v>0</v>
      </c>
      <c r="U1330" s="47">
        <f t="shared" si="146"/>
        <v>1301.4863599999999</v>
      </c>
    </row>
    <row r="1331" spans="1:21" x14ac:dyDescent="0.3">
      <c r="A1331" s="41" t="str">
        <f t="shared" si="140"/>
        <v>PGAPTO</v>
      </c>
      <c r="B1331" s="43">
        <v>45744</v>
      </c>
      <c r="C1331" s="10" t="s">
        <v>1373</v>
      </c>
      <c r="D1331" s="10" t="s">
        <v>53</v>
      </c>
      <c r="E1331" s="10" t="s">
        <v>9</v>
      </c>
      <c r="F1331" s="10" t="s">
        <v>23</v>
      </c>
      <c r="G1331" s="10" t="s">
        <v>46</v>
      </c>
      <c r="H1331" s="10" t="s">
        <v>47</v>
      </c>
      <c r="I1331" s="45">
        <v>1686</v>
      </c>
      <c r="J1331" s="11">
        <v>0</v>
      </c>
      <c r="K1331" s="45">
        <f t="shared" si="141"/>
        <v>1686</v>
      </c>
      <c r="L1331" s="10">
        <v>46</v>
      </c>
      <c r="M1331" s="10">
        <v>1.5</v>
      </c>
      <c r="N1331" s="10" t="b">
        <v>0</v>
      </c>
      <c r="O1331" s="41"/>
      <c r="P1331" s="45">
        <f t="shared" si="142"/>
        <v>708.12</v>
      </c>
      <c r="Q1331" s="45">
        <f t="shared" si="143"/>
        <v>977.88</v>
      </c>
      <c r="R1331" s="45">
        <v>0</v>
      </c>
      <c r="S1331" s="45">
        <f t="shared" si="144"/>
        <v>0</v>
      </c>
      <c r="T1331" s="45">
        <f t="shared" si="145"/>
        <v>0</v>
      </c>
      <c r="U1331" s="47">
        <f t="shared" si="146"/>
        <v>977.88</v>
      </c>
    </row>
    <row r="1332" spans="1:21" x14ac:dyDescent="0.3">
      <c r="A1332" s="41" t="str">
        <f t="shared" si="140"/>
        <v>PH&amp;MTO</v>
      </c>
      <c r="B1332" s="43">
        <v>45744</v>
      </c>
      <c r="C1332" s="10" t="s">
        <v>1374</v>
      </c>
      <c r="D1332" s="10" t="s">
        <v>37</v>
      </c>
      <c r="E1332" s="10" t="s">
        <v>9</v>
      </c>
      <c r="F1332" s="10" t="s">
        <v>23</v>
      </c>
      <c r="G1332" s="10" t="s">
        <v>27</v>
      </c>
      <c r="H1332" s="10" t="s">
        <v>35</v>
      </c>
      <c r="I1332" s="45">
        <v>1134</v>
      </c>
      <c r="J1332" s="11">
        <v>0.23699999999999999</v>
      </c>
      <c r="K1332" s="45">
        <f t="shared" si="141"/>
        <v>865.24199999999996</v>
      </c>
      <c r="L1332" s="10">
        <v>3</v>
      </c>
      <c r="M1332" s="10">
        <v>3.7</v>
      </c>
      <c r="N1332" s="10" t="b">
        <v>0</v>
      </c>
      <c r="O1332" s="41"/>
      <c r="P1332" s="45">
        <f t="shared" si="142"/>
        <v>363.40163999999999</v>
      </c>
      <c r="Q1332" s="45">
        <f t="shared" si="143"/>
        <v>501.84035999999998</v>
      </c>
      <c r="R1332" s="45">
        <v>0</v>
      </c>
      <c r="S1332" s="45">
        <f t="shared" si="144"/>
        <v>0</v>
      </c>
      <c r="T1332" s="45">
        <f t="shared" si="145"/>
        <v>0</v>
      </c>
      <c r="U1332" s="47">
        <f t="shared" si="146"/>
        <v>501.84035999999998</v>
      </c>
    </row>
    <row r="1333" spans="1:21" x14ac:dyDescent="0.3">
      <c r="A1333" s="41" t="str">
        <f t="shared" si="140"/>
        <v>PUNIBO</v>
      </c>
      <c r="B1333" s="43">
        <v>45744</v>
      </c>
      <c r="C1333" s="10" t="s">
        <v>1375</v>
      </c>
      <c r="D1333" s="10" t="s">
        <v>10</v>
      </c>
      <c r="E1333" s="10" t="s">
        <v>26</v>
      </c>
      <c r="F1333" s="10" t="s">
        <v>23</v>
      </c>
      <c r="G1333" s="10" t="s">
        <v>12</v>
      </c>
      <c r="H1333" s="10" t="s">
        <v>32</v>
      </c>
      <c r="I1333" s="45">
        <v>2279</v>
      </c>
      <c r="J1333" s="11">
        <v>7.9000000000000001E-2</v>
      </c>
      <c r="K1333" s="45">
        <f t="shared" si="141"/>
        <v>2098.9590000000003</v>
      </c>
      <c r="L1333" s="10">
        <v>39</v>
      </c>
      <c r="M1333" s="10">
        <v>1.7</v>
      </c>
      <c r="N1333" s="10" t="b">
        <v>0</v>
      </c>
      <c r="O1333" s="41"/>
      <c r="P1333" s="45">
        <f t="shared" si="142"/>
        <v>881.56278000000009</v>
      </c>
      <c r="Q1333" s="45">
        <f t="shared" si="143"/>
        <v>1217.3962200000001</v>
      </c>
      <c r="R1333" s="45">
        <v>0</v>
      </c>
      <c r="S1333" s="45">
        <f t="shared" si="144"/>
        <v>0</v>
      </c>
      <c r="T1333" s="45">
        <f t="shared" si="145"/>
        <v>0</v>
      </c>
      <c r="U1333" s="47">
        <f t="shared" si="146"/>
        <v>1217.3962200000001</v>
      </c>
    </row>
    <row r="1334" spans="1:21" x14ac:dyDescent="0.3">
      <c r="A1334" s="41" t="str">
        <f t="shared" si="140"/>
        <v>PH&amp;MAC</v>
      </c>
      <c r="B1334" s="43">
        <v>45745</v>
      </c>
      <c r="C1334" s="10" t="s">
        <v>1376</v>
      </c>
      <c r="D1334" s="10" t="s">
        <v>37</v>
      </c>
      <c r="E1334" s="10" t="s">
        <v>15</v>
      </c>
      <c r="F1334" s="10" t="s">
        <v>11</v>
      </c>
      <c r="G1334" s="10" t="s">
        <v>7</v>
      </c>
      <c r="H1334" s="10" t="s">
        <v>56</v>
      </c>
      <c r="I1334" s="45">
        <v>390</v>
      </c>
      <c r="J1334" s="11">
        <v>0.32200000000000001</v>
      </c>
      <c r="K1334" s="45">
        <f t="shared" si="141"/>
        <v>264.41999999999996</v>
      </c>
      <c r="L1334" s="10">
        <v>34</v>
      </c>
      <c r="M1334" s="10">
        <v>4.8</v>
      </c>
      <c r="N1334" s="10" t="b">
        <v>0</v>
      </c>
      <c r="O1334" s="41"/>
      <c r="P1334" s="45">
        <f t="shared" si="142"/>
        <v>111.05639999999998</v>
      </c>
      <c r="Q1334" s="45">
        <f t="shared" si="143"/>
        <v>153.36359999999996</v>
      </c>
      <c r="R1334" s="45">
        <v>0</v>
      </c>
      <c r="S1334" s="45">
        <f t="shared" si="144"/>
        <v>0</v>
      </c>
      <c r="T1334" s="45">
        <f t="shared" si="145"/>
        <v>0</v>
      </c>
      <c r="U1334" s="47">
        <f t="shared" si="146"/>
        <v>153.36359999999996</v>
      </c>
    </row>
    <row r="1335" spans="1:21" x14ac:dyDescent="0.3">
      <c r="A1335" s="41" t="str">
        <f t="shared" si="140"/>
        <v>PBANOU</v>
      </c>
      <c r="B1335" s="43">
        <v>45745</v>
      </c>
      <c r="C1335" s="10" t="s">
        <v>1377</v>
      </c>
      <c r="D1335" s="10" t="s">
        <v>21</v>
      </c>
      <c r="E1335" s="10" t="s">
        <v>2</v>
      </c>
      <c r="F1335" s="10" t="s">
        <v>54</v>
      </c>
      <c r="G1335" s="10" t="s">
        <v>5</v>
      </c>
      <c r="H1335" s="10" t="s">
        <v>16</v>
      </c>
      <c r="I1335" s="45">
        <v>3152</v>
      </c>
      <c r="J1335" s="11">
        <v>0.24600000000000002</v>
      </c>
      <c r="K1335" s="45">
        <f t="shared" si="141"/>
        <v>2376.6080000000002</v>
      </c>
      <c r="L1335" s="10">
        <v>50</v>
      </c>
      <c r="M1335" s="10">
        <v>4.0999999999999996</v>
      </c>
      <c r="N1335" s="10" t="b">
        <v>1</v>
      </c>
      <c r="O1335" s="41" t="s">
        <v>44</v>
      </c>
      <c r="P1335" s="45">
        <f t="shared" si="142"/>
        <v>998.17536000000007</v>
      </c>
      <c r="Q1335" s="45">
        <f t="shared" si="143"/>
        <v>1378.43264</v>
      </c>
      <c r="R1335" s="45">
        <v>150</v>
      </c>
      <c r="S1335" s="45">
        <f t="shared" si="144"/>
        <v>237.66080000000002</v>
      </c>
      <c r="T1335" s="45">
        <f t="shared" si="145"/>
        <v>2376.6080000000002</v>
      </c>
      <c r="U1335" s="47">
        <f t="shared" si="146"/>
        <v>-1385.8361600000003</v>
      </c>
    </row>
    <row r="1336" spans="1:21" x14ac:dyDescent="0.3">
      <c r="A1336" s="41" t="str">
        <f t="shared" si="140"/>
        <v>PGAPBO</v>
      </c>
      <c r="B1336" s="43">
        <v>45745</v>
      </c>
      <c r="C1336" s="10" t="s">
        <v>1378</v>
      </c>
      <c r="D1336" s="10" t="s">
        <v>53</v>
      </c>
      <c r="E1336" s="10" t="s">
        <v>26</v>
      </c>
      <c r="F1336" s="10" t="s">
        <v>54</v>
      </c>
      <c r="G1336" s="10" t="s">
        <v>12</v>
      </c>
      <c r="H1336" s="10" t="s">
        <v>6</v>
      </c>
      <c r="I1336" s="45">
        <v>2081</v>
      </c>
      <c r="J1336" s="11">
        <v>0</v>
      </c>
      <c r="K1336" s="45">
        <f t="shared" si="141"/>
        <v>2081</v>
      </c>
      <c r="L1336" s="10">
        <v>29</v>
      </c>
      <c r="M1336" s="10">
        <v>2.2999999999999998</v>
      </c>
      <c r="N1336" s="10" t="b">
        <v>0</v>
      </c>
      <c r="O1336" s="41"/>
      <c r="P1336" s="45">
        <f t="shared" si="142"/>
        <v>874.02</v>
      </c>
      <c r="Q1336" s="45">
        <f t="shared" si="143"/>
        <v>1206.98</v>
      </c>
      <c r="R1336" s="45">
        <v>0</v>
      </c>
      <c r="S1336" s="45">
        <f t="shared" si="144"/>
        <v>0</v>
      </c>
      <c r="T1336" s="45">
        <f t="shared" si="145"/>
        <v>0</v>
      </c>
      <c r="U1336" s="47">
        <f t="shared" si="146"/>
        <v>1206.98</v>
      </c>
    </row>
    <row r="1337" spans="1:21" x14ac:dyDescent="0.3">
      <c r="A1337" s="41" t="str">
        <f t="shared" si="140"/>
        <v>PZARSH</v>
      </c>
      <c r="B1337" s="43">
        <v>45745</v>
      </c>
      <c r="C1337" s="10" t="s">
        <v>1379</v>
      </c>
      <c r="D1337" s="10" t="s">
        <v>3</v>
      </c>
      <c r="E1337" s="10" t="s">
        <v>18</v>
      </c>
      <c r="F1337" s="10" t="s">
        <v>54</v>
      </c>
      <c r="G1337" s="10" t="s">
        <v>7</v>
      </c>
      <c r="H1337" s="10" t="s">
        <v>43</v>
      </c>
      <c r="I1337" s="45">
        <v>3086</v>
      </c>
      <c r="J1337" s="11">
        <v>0.107</v>
      </c>
      <c r="K1337" s="45">
        <f t="shared" si="141"/>
        <v>2755.7980000000002</v>
      </c>
      <c r="L1337" s="10">
        <v>37</v>
      </c>
      <c r="M1337" s="10"/>
      <c r="N1337" s="10" t="b">
        <v>1</v>
      </c>
      <c r="O1337" s="41" t="s">
        <v>50</v>
      </c>
      <c r="P1337" s="45">
        <f t="shared" si="142"/>
        <v>1157.43516</v>
      </c>
      <c r="Q1337" s="45">
        <f t="shared" si="143"/>
        <v>1598.3628400000002</v>
      </c>
      <c r="R1337" s="45">
        <v>150</v>
      </c>
      <c r="S1337" s="45">
        <f t="shared" si="144"/>
        <v>275.57980000000003</v>
      </c>
      <c r="T1337" s="45">
        <f t="shared" si="145"/>
        <v>2755.7980000000002</v>
      </c>
      <c r="U1337" s="47">
        <f t="shared" si="146"/>
        <v>-1583.01496</v>
      </c>
    </row>
    <row r="1338" spans="1:21" x14ac:dyDescent="0.3">
      <c r="A1338" s="41" t="str">
        <f t="shared" si="140"/>
        <v>PGAPOU</v>
      </c>
      <c r="B1338" s="43">
        <v>45746</v>
      </c>
      <c r="C1338" s="10" t="s">
        <v>1380</v>
      </c>
      <c r="D1338" s="10" t="s">
        <v>53</v>
      </c>
      <c r="E1338" s="10" t="s">
        <v>2</v>
      </c>
      <c r="F1338" s="10" t="s">
        <v>23</v>
      </c>
      <c r="G1338" s="10" t="s">
        <v>46</v>
      </c>
      <c r="H1338" s="10" t="s">
        <v>58</v>
      </c>
      <c r="I1338" s="45">
        <v>3940</v>
      </c>
      <c r="J1338" s="11">
        <v>0.34200000000000003</v>
      </c>
      <c r="K1338" s="45">
        <f t="shared" si="141"/>
        <v>2592.5199999999995</v>
      </c>
      <c r="L1338" s="10">
        <v>14</v>
      </c>
      <c r="M1338" s="10"/>
      <c r="N1338" s="10" t="b">
        <v>0</v>
      </c>
      <c r="O1338" s="41"/>
      <c r="P1338" s="45">
        <f t="shared" si="142"/>
        <v>1088.8583999999998</v>
      </c>
      <c r="Q1338" s="45">
        <f t="shared" si="143"/>
        <v>1503.6615999999997</v>
      </c>
      <c r="R1338" s="45">
        <v>0</v>
      </c>
      <c r="S1338" s="45">
        <f t="shared" si="144"/>
        <v>0</v>
      </c>
      <c r="T1338" s="45">
        <f t="shared" si="145"/>
        <v>0</v>
      </c>
      <c r="U1338" s="47">
        <f t="shared" si="146"/>
        <v>1503.6615999999997</v>
      </c>
    </row>
    <row r="1339" spans="1:21" x14ac:dyDescent="0.3">
      <c r="A1339" s="41" t="str">
        <f t="shared" si="140"/>
        <v>PANNSH</v>
      </c>
      <c r="B1339" s="43">
        <v>45746</v>
      </c>
      <c r="C1339" s="10" t="s">
        <v>1381</v>
      </c>
      <c r="D1339" s="10" t="s">
        <v>42</v>
      </c>
      <c r="E1339" s="10" t="s">
        <v>18</v>
      </c>
      <c r="F1339" s="10" t="s">
        <v>54</v>
      </c>
      <c r="G1339" s="10" t="s">
        <v>38</v>
      </c>
      <c r="H1339" s="10" t="s">
        <v>56</v>
      </c>
      <c r="I1339" s="45">
        <v>3006</v>
      </c>
      <c r="J1339" s="11">
        <v>0</v>
      </c>
      <c r="K1339" s="45">
        <f t="shared" si="141"/>
        <v>3006</v>
      </c>
      <c r="L1339" s="10">
        <v>39</v>
      </c>
      <c r="M1339" s="10">
        <v>3.7</v>
      </c>
      <c r="N1339" s="10" t="b">
        <v>1</v>
      </c>
      <c r="O1339" s="41" t="s">
        <v>33</v>
      </c>
      <c r="P1339" s="45">
        <f t="shared" si="142"/>
        <v>1262.52</v>
      </c>
      <c r="Q1339" s="45">
        <f t="shared" si="143"/>
        <v>1743.48</v>
      </c>
      <c r="R1339" s="45">
        <v>150</v>
      </c>
      <c r="S1339" s="45">
        <f t="shared" si="144"/>
        <v>300.60000000000002</v>
      </c>
      <c r="T1339" s="45">
        <f t="shared" si="145"/>
        <v>3006</v>
      </c>
      <c r="U1339" s="47">
        <f t="shared" si="146"/>
        <v>-1713.12</v>
      </c>
    </row>
    <row r="1340" spans="1:21" x14ac:dyDescent="0.3">
      <c r="A1340" s="41" t="str">
        <f t="shared" si="140"/>
        <v>PFORAC</v>
      </c>
      <c r="B1340" s="43">
        <v>45746</v>
      </c>
      <c r="C1340" s="10" t="s">
        <v>1382</v>
      </c>
      <c r="D1340" s="10" t="s">
        <v>65</v>
      </c>
      <c r="E1340" s="10" t="s">
        <v>15</v>
      </c>
      <c r="F1340" s="10" t="s">
        <v>23</v>
      </c>
      <c r="G1340" s="10" t="s">
        <v>7</v>
      </c>
      <c r="H1340" s="10" t="s">
        <v>32</v>
      </c>
      <c r="I1340" s="45">
        <v>188</v>
      </c>
      <c r="J1340" s="11">
        <v>0</v>
      </c>
      <c r="K1340" s="45">
        <f t="shared" si="141"/>
        <v>188</v>
      </c>
      <c r="L1340" s="10">
        <v>25</v>
      </c>
      <c r="M1340" s="10">
        <v>1.1000000000000001</v>
      </c>
      <c r="N1340" s="10" t="b">
        <v>1</v>
      </c>
      <c r="O1340" s="41" t="s">
        <v>50</v>
      </c>
      <c r="P1340" s="45">
        <f t="shared" si="142"/>
        <v>78.959999999999994</v>
      </c>
      <c r="Q1340" s="45">
        <f t="shared" si="143"/>
        <v>109.04</v>
      </c>
      <c r="R1340" s="45">
        <v>150</v>
      </c>
      <c r="S1340" s="45">
        <f t="shared" si="144"/>
        <v>18.8</v>
      </c>
      <c r="T1340" s="45">
        <f t="shared" si="145"/>
        <v>188</v>
      </c>
      <c r="U1340" s="47">
        <f t="shared" si="146"/>
        <v>-247.76</v>
      </c>
    </row>
    <row r="1341" spans="1:21" x14ac:dyDescent="0.3">
      <c r="A1341" s="41" t="str">
        <f t="shared" si="140"/>
        <v>PBANSH</v>
      </c>
      <c r="B1341" s="43">
        <v>45747</v>
      </c>
      <c r="C1341" s="10" t="s">
        <v>1383</v>
      </c>
      <c r="D1341" s="10" t="s">
        <v>21</v>
      </c>
      <c r="E1341" s="10" t="s">
        <v>18</v>
      </c>
      <c r="F1341" s="10" t="s">
        <v>11</v>
      </c>
      <c r="G1341" s="10" t="s">
        <v>38</v>
      </c>
      <c r="H1341" s="10" t="s">
        <v>43</v>
      </c>
      <c r="I1341" s="45">
        <v>3020</v>
      </c>
      <c r="J1341" s="11">
        <v>0</v>
      </c>
      <c r="K1341" s="45">
        <f t="shared" si="141"/>
        <v>3020</v>
      </c>
      <c r="L1341" s="10">
        <v>7</v>
      </c>
      <c r="M1341" s="10">
        <v>4.5999999999999996</v>
      </c>
      <c r="N1341" s="10" t="b">
        <v>0</v>
      </c>
      <c r="O1341" s="41"/>
      <c r="P1341" s="45">
        <f t="shared" si="142"/>
        <v>1268.3999999999999</v>
      </c>
      <c r="Q1341" s="45">
        <f t="shared" si="143"/>
        <v>1751.6000000000001</v>
      </c>
      <c r="R1341" s="45">
        <v>0</v>
      </c>
      <c r="S1341" s="45">
        <f t="shared" si="144"/>
        <v>0</v>
      </c>
      <c r="T1341" s="45">
        <f t="shared" si="145"/>
        <v>0</v>
      </c>
      <c r="U1341" s="47">
        <f t="shared" si="146"/>
        <v>1751.6000000000001</v>
      </c>
    </row>
    <row r="1342" spans="1:21" x14ac:dyDescent="0.3">
      <c r="A1342" s="41" t="str">
        <f t="shared" si="140"/>
        <v>PGAPSH</v>
      </c>
      <c r="B1342" s="43">
        <v>45747</v>
      </c>
      <c r="C1342" s="10" t="s">
        <v>1384</v>
      </c>
      <c r="D1342" s="10" t="s">
        <v>53</v>
      </c>
      <c r="E1342" s="10" t="s">
        <v>18</v>
      </c>
      <c r="F1342" s="10" t="s">
        <v>4</v>
      </c>
      <c r="G1342" s="10" t="s">
        <v>46</v>
      </c>
      <c r="H1342" s="10" t="s">
        <v>58</v>
      </c>
      <c r="I1342" s="45">
        <v>3233</v>
      </c>
      <c r="J1342" s="11">
        <v>0</v>
      </c>
      <c r="K1342" s="45">
        <f t="shared" si="141"/>
        <v>3233</v>
      </c>
      <c r="L1342" s="10">
        <v>4</v>
      </c>
      <c r="M1342" s="10">
        <v>2.4</v>
      </c>
      <c r="N1342" s="10" t="b">
        <v>0</v>
      </c>
      <c r="O1342" s="41"/>
      <c r="P1342" s="45">
        <f t="shared" si="142"/>
        <v>1357.86</v>
      </c>
      <c r="Q1342" s="45">
        <f t="shared" si="143"/>
        <v>1875.14</v>
      </c>
      <c r="R1342" s="45">
        <v>0</v>
      </c>
      <c r="S1342" s="45">
        <f t="shared" si="144"/>
        <v>0</v>
      </c>
      <c r="T1342" s="45">
        <f t="shared" si="145"/>
        <v>0</v>
      </c>
      <c r="U1342" s="47">
        <f t="shared" si="146"/>
        <v>1875.14</v>
      </c>
    </row>
    <row r="1343" spans="1:21" x14ac:dyDescent="0.3">
      <c r="A1343" s="41" t="str">
        <f t="shared" si="140"/>
        <v>PUNIBO</v>
      </c>
      <c r="B1343" s="43">
        <v>45747</v>
      </c>
      <c r="C1343" s="10" t="s">
        <v>1385</v>
      </c>
      <c r="D1343" s="10" t="s">
        <v>10</v>
      </c>
      <c r="E1343" s="10" t="s">
        <v>26</v>
      </c>
      <c r="F1343" s="10" t="s">
        <v>11</v>
      </c>
      <c r="G1343" s="10" t="s">
        <v>46</v>
      </c>
      <c r="H1343" s="10" t="s">
        <v>35</v>
      </c>
      <c r="I1343" s="45">
        <v>2369</v>
      </c>
      <c r="J1343" s="11">
        <v>0</v>
      </c>
      <c r="K1343" s="45">
        <f t="shared" si="141"/>
        <v>2369</v>
      </c>
      <c r="L1343" s="10">
        <v>48</v>
      </c>
      <c r="M1343" s="10">
        <v>4.2</v>
      </c>
      <c r="N1343" s="10" t="b">
        <v>0</v>
      </c>
      <c r="O1343" s="41"/>
      <c r="P1343" s="45">
        <f t="shared" si="142"/>
        <v>994.98</v>
      </c>
      <c r="Q1343" s="45">
        <f t="shared" si="143"/>
        <v>1374.02</v>
      </c>
      <c r="R1343" s="45">
        <v>0</v>
      </c>
      <c r="S1343" s="45">
        <f t="shared" si="144"/>
        <v>0</v>
      </c>
      <c r="T1343" s="45">
        <f t="shared" si="145"/>
        <v>0</v>
      </c>
      <c r="U1343" s="47">
        <f t="shared" si="146"/>
        <v>1374.02</v>
      </c>
    </row>
    <row r="1344" spans="1:21" x14ac:dyDescent="0.3">
      <c r="A1344" s="41" t="str">
        <f t="shared" si="140"/>
        <v>PBANOU</v>
      </c>
      <c r="B1344" s="43">
        <v>45747</v>
      </c>
      <c r="C1344" s="10" t="s">
        <v>1386</v>
      </c>
      <c r="D1344" s="10" t="s">
        <v>21</v>
      </c>
      <c r="E1344" s="10" t="s">
        <v>2</v>
      </c>
      <c r="F1344" s="10" t="s">
        <v>11</v>
      </c>
      <c r="G1344" s="10" t="s">
        <v>7</v>
      </c>
      <c r="H1344" s="10" t="s">
        <v>6</v>
      </c>
      <c r="I1344" s="45">
        <v>3032</v>
      </c>
      <c r="J1344" s="11">
        <v>0</v>
      </c>
      <c r="K1344" s="45">
        <f t="shared" si="141"/>
        <v>3032</v>
      </c>
      <c r="L1344" s="10">
        <v>18</v>
      </c>
      <c r="M1344" s="10">
        <v>1.8</v>
      </c>
      <c r="N1344" s="10" t="b">
        <v>0</v>
      </c>
      <c r="O1344" s="41"/>
      <c r="P1344" s="45">
        <f t="shared" si="142"/>
        <v>1273.44</v>
      </c>
      <c r="Q1344" s="45">
        <f t="shared" si="143"/>
        <v>1758.56</v>
      </c>
      <c r="R1344" s="45">
        <v>0</v>
      </c>
      <c r="S1344" s="45">
        <f t="shared" si="144"/>
        <v>0</v>
      </c>
      <c r="T1344" s="45">
        <f t="shared" si="145"/>
        <v>0</v>
      </c>
      <c r="U1344" s="47">
        <f t="shared" si="146"/>
        <v>1758.56</v>
      </c>
    </row>
    <row r="1345" spans="1:21" x14ac:dyDescent="0.3">
      <c r="A1345" s="41" t="str">
        <f t="shared" si="140"/>
        <v>PGAPTO</v>
      </c>
      <c r="B1345" s="43">
        <v>45748</v>
      </c>
      <c r="C1345" s="10" t="s">
        <v>1387</v>
      </c>
      <c r="D1345" s="10" t="s">
        <v>53</v>
      </c>
      <c r="E1345" s="10" t="s">
        <v>9</v>
      </c>
      <c r="F1345" s="10" t="s">
        <v>11</v>
      </c>
      <c r="G1345" s="10" t="s">
        <v>46</v>
      </c>
      <c r="H1345" s="10" t="s">
        <v>43</v>
      </c>
      <c r="I1345" s="45">
        <v>1399</v>
      </c>
      <c r="J1345" s="11">
        <v>0.24399999999999999</v>
      </c>
      <c r="K1345" s="45">
        <f t="shared" si="141"/>
        <v>1057.644</v>
      </c>
      <c r="L1345" s="10">
        <v>26</v>
      </c>
      <c r="M1345" s="10">
        <v>2.2999999999999998</v>
      </c>
      <c r="N1345" s="10" t="b">
        <v>0</v>
      </c>
      <c r="O1345" s="41"/>
      <c r="P1345" s="45">
        <f t="shared" si="142"/>
        <v>444.21047999999996</v>
      </c>
      <c r="Q1345" s="45">
        <f t="shared" si="143"/>
        <v>613.43352000000004</v>
      </c>
      <c r="R1345" s="45">
        <v>0</v>
      </c>
      <c r="S1345" s="45">
        <f t="shared" si="144"/>
        <v>0</v>
      </c>
      <c r="T1345" s="45">
        <f t="shared" si="145"/>
        <v>0</v>
      </c>
      <c r="U1345" s="47">
        <f t="shared" si="146"/>
        <v>613.43352000000004</v>
      </c>
    </row>
    <row r="1346" spans="1:21" x14ac:dyDescent="0.3">
      <c r="A1346" s="41" t="str">
        <f t="shared" ref="A1346:A1409" si="147">UPPER("P"&amp;LEFT(D1346,3)&amp;LEFT(E1346,2))</f>
        <v>PH&amp;MDR</v>
      </c>
      <c r="B1346" s="43">
        <v>45748</v>
      </c>
      <c r="C1346" s="10" t="s">
        <v>1388</v>
      </c>
      <c r="D1346" s="10" t="s">
        <v>37</v>
      </c>
      <c r="E1346" s="10" t="s">
        <v>30</v>
      </c>
      <c r="F1346" s="10" t="s">
        <v>23</v>
      </c>
      <c r="G1346" s="10" t="s">
        <v>5</v>
      </c>
      <c r="H1346" s="10" t="s">
        <v>6</v>
      </c>
      <c r="I1346" s="45">
        <v>2397</v>
      </c>
      <c r="J1346" s="11">
        <v>0.316</v>
      </c>
      <c r="K1346" s="45">
        <f t="shared" si="141"/>
        <v>1639.5479999999998</v>
      </c>
      <c r="L1346" s="10">
        <v>5</v>
      </c>
      <c r="M1346" s="10">
        <v>3.2</v>
      </c>
      <c r="N1346" s="10" t="b">
        <v>1</v>
      </c>
      <c r="O1346" s="41" t="s">
        <v>80</v>
      </c>
      <c r="P1346" s="45">
        <f t="shared" si="142"/>
        <v>688.61015999999984</v>
      </c>
      <c r="Q1346" s="45">
        <f t="shared" si="143"/>
        <v>950.93783999999994</v>
      </c>
      <c r="R1346" s="45">
        <v>150</v>
      </c>
      <c r="S1346" s="45">
        <f t="shared" si="144"/>
        <v>163.95479999999998</v>
      </c>
      <c r="T1346" s="45">
        <f t="shared" si="145"/>
        <v>1639.5479999999998</v>
      </c>
      <c r="U1346" s="47">
        <f t="shared" si="146"/>
        <v>-1002.5649599999998</v>
      </c>
    </row>
    <row r="1347" spans="1:21" x14ac:dyDescent="0.3">
      <c r="A1347" s="41" t="str">
        <f t="shared" si="147"/>
        <v>PH&amp;MDR</v>
      </c>
      <c r="B1347" s="43">
        <v>45748</v>
      </c>
      <c r="C1347" s="10" t="s">
        <v>1389</v>
      </c>
      <c r="D1347" s="10" t="s">
        <v>37</v>
      </c>
      <c r="E1347" s="10" t="s">
        <v>30</v>
      </c>
      <c r="F1347" s="10" t="s">
        <v>11</v>
      </c>
      <c r="G1347" s="10" t="s">
        <v>12</v>
      </c>
      <c r="H1347" s="10" t="s">
        <v>47</v>
      </c>
      <c r="I1347" s="45">
        <v>1866</v>
      </c>
      <c r="J1347" s="11">
        <v>0</v>
      </c>
      <c r="K1347" s="45">
        <f t="shared" ref="K1347:K1410" si="148">I1347*(1-J1347)</f>
        <v>1866</v>
      </c>
      <c r="L1347" s="10">
        <v>23</v>
      </c>
      <c r="M1347" s="10">
        <v>4</v>
      </c>
      <c r="N1347" s="10" t="b">
        <v>0</v>
      </c>
      <c r="O1347" s="41"/>
      <c r="P1347" s="45">
        <f t="shared" ref="P1347:P1410" si="149">K1347*0.42</f>
        <v>783.72</v>
      </c>
      <c r="Q1347" s="45">
        <f t="shared" ref="Q1347:Q1410" si="150">K1347-P1347</f>
        <v>1082.28</v>
      </c>
      <c r="R1347" s="45">
        <v>0</v>
      </c>
      <c r="S1347" s="45">
        <f t="shared" ref="S1347:S1410" si="151">IF(N1347=TRUE,K1347*0.1,0)</f>
        <v>0</v>
      </c>
      <c r="T1347" s="45">
        <f t="shared" ref="T1347:T1410" si="152">IF(N1347=TRUE,K1347,0)</f>
        <v>0</v>
      </c>
      <c r="U1347" s="47">
        <f t="shared" ref="U1347:U1410" si="153">Q1347-R1347-S1347-T1347</f>
        <v>1082.28</v>
      </c>
    </row>
    <row r="1348" spans="1:21" x14ac:dyDescent="0.3">
      <c r="A1348" s="41" t="str">
        <f t="shared" si="147"/>
        <v>PFORTO</v>
      </c>
      <c r="B1348" s="43">
        <v>45748</v>
      </c>
      <c r="C1348" s="10" t="s">
        <v>1390</v>
      </c>
      <c r="D1348" s="10" t="s">
        <v>65</v>
      </c>
      <c r="E1348" s="10" t="s">
        <v>9</v>
      </c>
      <c r="F1348" s="10" t="s">
        <v>11</v>
      </c>
      <c r="G1348" s="10" t="s">
        <v>46</v>
      </c>
      <c r="H1348" s="10" t="s">
        <v>32</v>
      </c>
      <c r="I1348" s="45">
        <v>1413</v>
      </c>
      <c r="J1348" s="11">
        <v>0</v>
      </c>
      <c r="K1348" s="45">
        <f t="shared" si="148"/>
        <v>1413</v>
      </c>
      <c r="L1348" s="10">
        <v>28</v>
      </c>
      <c r="M1348" s="10">
        <v>1.5</v>
      </c>
      <c r="N1348" s="10" t="b">
        <v>0</v>
      </c>
      <c r="O1348" s="41"/>
      <c r="P1348" s="45">
        <f t="shared" si="149"/>
        <v>593.45999999999992</v>
      </c>
      <c r="Q1348" s="45">
        <f t="shared" si="150"/>
        <v>819.54000000000008</v>
      </c>
      <c r="R1348" s="45">
        <v>0</v>
      </c>
      <c r="S1348" s="45">
        <f t="shared" si="151"/>
        <v>0</v>
      </c>
      <c r="T1348" s="45">
        <f t="shared" si="152"/>
        <v>0</v>
      </c>
      <c r="U1348" s="47">
        <f t="shared" si="153"/>
        <v>819.54000000000008</v>
      </c>
    </row>
    <row r="1349" spans="1:21" x14ac:dyDescent="0.3">
      <c r="A1349" s="41" t="str">
        <f t="shared" si="147"/>
        <v>PMANDR</v>
      </c>
      <c r="B1349" s="43">
        <v>45749</v>
      </c>
      <c r="C1349" s="10" t="s">
        <v>1391</v>
      </c>
      <c r="D1349" s="10" t="s">
        <v>31</v>
      </c>
      <c r="E1349" s="10" t="s">
        <v>30</v>
      </c>
      <c r="F1349" s="10" t="s">
        <v>23</v>
      </c>
      <c r="G1349" s="10" t="s">
        <v>46</v>
      </c>
      <c r="H1349" s="10" t="s">
        <v>32</v>
      </c>
      <c r="I1349" s="45">
        <v>2282</v>
      </c>
      <c r="J1349" s="11">
        <v>0</v>
      </c>
      <c r="K1349" s="45">
        <f t="shared" si="148"/>
        <v>2282</v>
      </c>
      <c r="L1349" s="10">
        <v>19</v>
      </c>
      <c r="M1349" s="10">
        <v>4.0999999999999996</v>
      </c>
      <c r="N1349" s="10" t="b">
        <v>0</v>
      </c>
      <c r="O1349" s="41"/>
      <c r="P1349" s="45">
        <f t="shared" si="149"/>
        <v>958.43999999999994</v>
      </c>
      <c r="Q1349" s="45">
        <f t="shared" si="150"/>
        <v>1323.56</v>
      </c>
      <c r="R1349" s="45">
        <v>0</v>
      </c>
      <c r="S1349" s="45">
        <f t="shared" si="151"/>
        <v>0</v>
      </c>
      <c r="T1349" s="45">
        <f t="shared" si="152"/>
        <v>0</v>
      </c>
      <c r="U1349" s="47">
        <f t="shared" si="153"/>
        <v>1323.56</v>
      </c>
    </row>
    <row r="1350" spans="1:21" x14ac:dyDescent="0.3">
      <c r="A1350" s="41" t="str">
        <f t="shared" si="147"/>
        <v>PFORBO</v>
      </c>
      <c r="B1350" s="43">
        <v>45749</v>
      </c>
      <c r="C1350" s="10" t="s">
        <v>1392</v>
      </c>
      <c r="D1350" s="10" t="s">
        <v>65</v>
      </c>
      <c r="E1350" s="10" t="s">
        <v>26</v>
      </c>
      <c r="F1350" s="10" t="s">
        <v>4</v>
      </c>
      <c r="G1350" s="10" t="s">
        <v>5</v>
      </c>
      <c r="H1350" s="10" t="s">
        <v>16</v>
      </c>
      <c r="I1350" s="45">
        <v>2393</v>
      </c>
      <c r="J1350" s="11">
        <v>0.41</v>
      </c>
      <c r="K1350" s="45">
        <f t="shared" si="148"/>
        <v>1411.8700000000001</v>
      </c>
      <c r="L1350" s="10">
        <v>21</v>
      </c>
      <c r="M1350" s="10">
        <v>4.5</v>
      </c>
      <c r="N1350" s="10" t="b">
        <v>1</v>
      </c>
      <c r="O1350" s="41" t="s">
        <v>33</v>
      </c>
      <c r="P1350" s="45">
        <f t="shared" si="149"/>
        <v>592.98540000000003</v>
      </c>
      <c r="Q1350" s="45">
        <f t="shared" si="150"/>
        <v>818.88460000000009</v>
      </c>
      <c r="R1350" s="45">
        <v>150</v>
      </c>
      <c r="S1350" s="45">
        <f t="shared" si="151"/>
        <v>141.18700000000001</v>
      </c>
      <c r="T1350" s="45">
        <f t="shared" si="152"/>
        <v>1411.8700000000001</v>
      </c>
      <c r="U1350" s="47">
        <f t="shared" si="153"/>
        <v>-884.17240000000004</v>
      </c>
    </row>
    <row r="1351" spans="1:21" x14ac:dyDescent="0.3">
      <c r="A1351" s="41" t="str">
        <f t="shared" si="147"/>
        <v>PMANOU</v>
      </c>
      <c r="B1351" s="43">
        <v>45749</v>
      </c>
      <c r="C1351" s="10" t="s">
        <v>1393</v>
      </c>
      <c r="D1351" s="10" t="s">
        <v>31</v>
      </c>
      <c r="E1351" s="10" t="s">
        <v>2</v>
      </c>
      <c r="F1351" s="10" t="s">
        <v>11</v>
      </c>
      <c r="G1351" s="10" t="s">
        <v>38</v>
      </c>
      <c r="H1351" s="10" t="s">
        <v>88</v>
      </c>
      <c r="I1351" s="45">
        <v>3911</v>
      </c>
      <c r="J1351" s="11">
        <v>0.23199999999999998</v>
      </c>
      <c r="K1351" s="45">
        <f t="shared" si="148"/>
        <v>3003.6480000000001</v>
      </c>
      <c r="L1351" s="10">
        <v>23</v>
      </c>
      <c r="M1351" s="10">
        <v>2.2000000000000002</v>
      </c>
      <c r="N1351" s="10" t="b">
        <v>0</v>
      </c>
      <c r="O1351" s="41"/>
      <c r="P1351" s="45">
        <f t="shared" si="149"/>
        <v>1261.53216</v>
      </c>
      <c r="Q1351" s="45">
        <f t="shared" si="150"/>
        <v>1742.1158400000002</v>
      </c>
      <c r="R1351" s="45">
        <v>0</v>
      </c>
      <c r="S1351" s="45">
        <f t="shared" si="151"/>
        <v>0</v>
      </c>
      <c r="T1351" s="45">
        <f t="shared" si="152"/>
        <v>0</v>
      </c>
      <c r="U1351" s="47">
        <f t="shared" si="153"/>
        <v>1742.1158400000002</v>
      </c>
    </row>
    <row r="1352" spans="1:21" x14ac:dyDescent="0.3">
      <c r="A1352" s="41" t="str">
        <f t="shared" si="147"/>
        <v>PANNOU</v>
      </c>
      <c r="B1352" s="43">
        <v>45749</v>
      </c>
      <c r="C1352" s="10" t="s">
        <v>1394</v>
      </c>
      <c r="D1352" s="10" t="s">
        <v>42</v>
      </c>
      <c r="E1352" s="10" t="s">
        <v>2</v>
      </c>
      <c r="F1352" s="10" t="s">
        <v>54</v>
      </c>
      <c r="G1352" s="10" t="s">
        <v>49</v>
      </c>
      <c r="H1352" s="10" t="s">
        <v>13</v>
      </c>
      <c r="I1352" s="45">
        <v>3262</v>
      </c>
      <c r="J1352" s="11">
        <v>0</v>
      </c>
      <c r="K1352" s="45">
        <f t="shared" si="148"/>
        <v>3262</v>
      </c>
      <c r="L1352" s="10">
        <v>34</v>
      </c>
      <c r="M1352" s="10">
        <v>3.1</v>
      </c>
      <c r="N1352" s="10" t="b">
        <v>0</v>
      </c>
      <c r="O1352" s="41"/>
      <c r="P1352" s="45">
        <f t="shared" si="149"/>
        <v>1370.04</v>
      </c>
      <c r="Q1352" s="45">
        <f t="shared" si="150"/>
        <v>1891.96</v>
      </c>
      <c r="R1352" s="45">
        <v>0</v>
      </c>
      <c r="S1352" s="45">
        <f t="shared" si="151"/>
        <v>0</v>
      </c>
      <c r="T1352" s="45">
        <f t="shared" si="152"/>
        <v>0</v>
      </c>
      <c r="U1352" s="47">
        <f t="shared" si="153"/>
        <v>1891.96</v>
      </c>
    </row>
    <row r="1353" spans="1:21" x14ac:dyDescent="0.3">
      <c r="A1353" s="41" t="str">
        <f t="shared" si="147"/>
        <v>PBANBO</v>
      </c>
      <c r="B1353" s="43">
        <v>45750</v>
      </c>
      <c r="C1353" s="10" t="s">
        <v>1395</v>
      </c>
      <c r="D1353" s="10" t="s">
        <v>21</v>
      </c>
      <c r="E1353" s="10" t="s">
        <v>26</v>
      </c>
      <c r="F1353" s="10" t="s">
        <v>4</v>
      </c>
      <c r="G1353" s="10" t="s">
        <v>49</v>
      </c>
      <c r="H1353" s="10" t="s">
        <v>7</v>
      </c>
      <c r="I1353" s="45">
        <v>2213</v>
      </c>
      <c r="J1353" s="11">
        <v>0</v>
      </c>
      <c r="K1353" s="45">
        <f t="shared" si="148"/>
        <v>2213</v>
      </c>
      <c r="L1353" s="10">
        <v>13</v>
      </c>
      <c r="M1353" s="10"/>
      <c r="N1353" s="10" t="b">
        <v>1</v>
      </c>
      <c r="O1353" s="41" t="s">
        <v>44</v>
      </c>
      <c r="P1353" s="45">
        <f t="shared" si="149"/>
        <v>929.45999999999992</v>
      </c>
      <c r="Q1353" s="45">
        <f t="shared" si="150"/>
        <v>1283.54</v>
      </c>
      <c r="R1353" s="45">
        <v>150</v>
      </c>
      <c r="S1353" s="45">
        <f t="shared" si="151"/>
        <v>221.3</v>
      </c>
      <c r="T1353" s="45">
        <f t="shared" si="152"/>
        <v>2213</v>
      </c>
      <c r="U1353" s="47">
        <f t="shared" si="153"/>
        <v>-1300.76</v>
      </c>
    </row>
    <row r="1354" spans="1:21" x14ac:dyDescent="0.3">
      <c r="A1354" s="41" t="str">
        <f t="shared" si="147"/>
        <v>PUNITO</v>
      </c>
      <c r="B1354" s="43">
        <v>45750</v>
      </c>
      <c r="C1354" s="10" t="s">
        <v>1396</v>
      </c>
      <c r="D1354" s="10" t="s">
        <v>10</v>
      </c>
      <c r="E1354" s="10" t="s">
        <v>9</v>
      </c>
      <c r="F1354" s="10" t="s">
        <v>23</v>
      </c>
      <c r="G1354" s="10" t="s">
        <v>38</v>
      </c>
      <c r="H1354" s="10" t="s">
        <v>58</v>
      </c>
      <c r="I1354" s="45">
        <v>1228</v>
      </c>
      <c r="J1354" s="11">
        <v>0</v>
      </c>
      <c r="K1354" s="45">
        <f t="shared" si="148"/>
        <v>1228</v>
      </c>
      <c r="L1354" s="10">
        <v>13</v>
      </c>
      <c r="M1354" s="10"/>
      <c r="N1354" s="10" t="b">
        <v>1</v>
      </c>
      <c r="O1354" s="41" t="s">
        <v>24</v>
      </c>
      <c r="P1354" s="45">
        <f t="shared" si="149"/>
        <v>515.76</v>
      </c>
      <c r="Q1354" s="45">
        <f t="shared" si="150"/>
        <v>712.24</v>
      </c>
      <c r="R1354" s="45">
        <v>150</v>
      </c>
      <c r="S1354" s="45">
        <f t="shared" si="151"/>
        <v>122.80000000000001</v>
      </c>
      <c r="T1354" s="45">
        <f t="shared" si="152"/>
        <v>1228</v>
      </c>
      <c r="U1354" s="47">
        <f t="shared" si="153"/>
        <v>-788.56</v>
      </c>
    </row>
    <row r="1355" spans="1:21" x14ac:dyDescent="0.3">
      <c r="A1355" s="41" t="str">
        <f t="shared" si="147"/>
        <v>PZARAC</v>
      </c>
      <c r="B1355" s="43">
        <v>45750</v>
      </c>
      <c r="C1355" s="10" t="s">
        <v>1397</v>
      </c>
      <c r="D1355" s="10" t="s">
        <v>3</v>
      </c>
      <c r="E1355" s="10" t="s">
        <v>15</v>
      </c>
      <c r="F1355" s="10" t="s">
        <v>4</v>
      </c>
      <c r="G1355" s="10" t="s">
        <v>7</v>
      </c>
      <c r="H1355" s="10" t="s">
        <v>28</v>
      </c>
      <c r="I1355" s="45">
        <v>200</v>
      </c>
      <c r="J1355" s="11">
        <v>0.29899999999999999</v>
      </c>
      <c r="K1355" s="45">
        <f t="shared" si="148"/>
        <v>140.20000000000002</v>
      </c>
      <c r="L1355" s="10">
        <v>33</v>
      </c>
      <c r="M1355" s="10">
        <v>4</v>
      </c>
      <c r="N1355" s="10" t="b">
        <v>1</v>
      </c>
      <c r="O1355" s="41" t="s">
        <v>24</v>
      </c>
      <c r="P1355" s="45">
        <f t="shared" si="149"/>
        <v>58.884000000000007</v>
      </c>
      <c r="Q1355" s="45">
        <f t="shared" si="150"/>
        <v>81.316000000000003</v>
      </c>
      <c r="R1355" s="45">
        <v>150</v>
      </c>
      <c r="S1355" s="45">
        <f t="shared" si="151"/>
        <v>14.020000000000003</v>
      </c>
      <c r="T1355" s="45">
        <f t="shared" si="152"/>
        <v>140.20000000000002</v>
      </c>
      <c r="U1355" s="47">
        <f t="shared" si="153"/>
        <v>-222.90400000000002</v>
      </c>
    </row>
    <row r="1356" spans="1:21" x14ac:dyDescent="0.3">
      <c r="A1356" s="41" t="str">
        <f t="shared" si="147"/>
        <v>PBANTO</v>
      </c>
      <c r="B1356" s="43">
        <v>45750</v>
      </c>
      <c r="C1356" s="10" t="s">
        <v>1398</v>
      </c>
      <c r="D1356" s="10" t="s">
        <v>21</v>
      </c>
      <c r="E1356" s="10" t="s">
        <v>9</v>
      </c>
      <c r="F1356" s="10" t="s">
        <v>54</v>
      </c>
      <c r="G1356" s="10" t="s">
        <v>38</v>
      </c>
      <c r="H1356" s="10" t="s">
        <v>35</v>
      </c>
      <c r="I1356" s="45">
        <v>942</v>
      </c>
      <c r="J1356" s="11">
        <v>0.01</v>
      </c>
      <c r="K1356" s="45">
        <f t="shared" si="148"/>
        <v>932.58</v>
      </c>
      <c r="L1356" s="10">
        <v>27</v>
      </c>
      <c r="M1356" s="10">
        <v>3.3</v>
      </c>
      <c r="N1356" s="10" t="b">
        <v>0</v>
      </c>
      <c r="O1356" s="41"/>
      <c r="P1356" s="45">
        <f t="shared" si="149"/>
        <v>391.68360000000001</v>
      </c>
      <c r="Q1356" s="45">
        <f t="shared" si="150"/>
        <v>540.89640000000009</v>
      </c>
      <c r="R1356" s="45">
        <v>0</v>
      </c>
      <c r="S1356" s="45">
        <f t="shared" si="151"/>
        <v>0</v>
      </c>
      <c r="T1356" s="45">
        <f t="shared" si="152"/>
        <v>0</v>
      </c>
      <c r="U1356" s="47">
        <f t="shared" si="153"/>
        <v>540.89640000000009</v>
      </c>
    </row>
    <row r="1357" spans="1:21" x14ac:dyDescent="0.3">
      <c r="A1357" s="41" t="str">
        <f t="shared" si="147"/>
        <v>PMANOU</v>
      </c>
      <c r="B1357" s="43">
        <v>45751</v>
      </c>
      <c r="C1357" s="10" t="s">
        <v>1399</v>
      </c>
      <c r="D1357" s="10" t="s">
        <v>31</v>
      </c>
      <c r="E1357" s="10" t="s">
        <v>2</v>
      </c>
      <c r="F1357" s="10" t="s">
        <v>23</v>
      </c>
      <c r="G1357" s="10" t="s">
        <v>5</v>
      </c>
      <c r="H1357" s="10" t="s">
        <v>32</v>
      </c>
      <c r="I1357" s="45">
        <v>4332</v>
      </c>
      <c r="J1357" s="11">
        <v>0.28300000000000003</v>
      </c>
      <c r="K1357" s="45">
        <f t="shared" si="148"/>
        <v>3106.0439999999999</v>
      </c>
      <c r="L1357" s="10">
        <v>41</v>
      </c>
      <c r="M1357" s="10">
        <v>2.2999999999999998</v>
      </c>
      <c r="N1357" s="10" t="b">
        <v>0</v>
      </c>
      <c r="O1357" s="41"/>
      <c r="P1357" s="45">
        <f t="shared" si="149"/>
        <v>1304.5384799999999</v>
      </c>
      <c r="Q1357" s="45">
        <f t="shared" si="150"/>
        <v>1801.5055199999999</v>
      </c>
      <c r="R1357" s="45">
        <v>0</v>
      </c>
      <c r="S1357" s="45">
        <f t="shared" si="151"/>
        <v>0</v>
      </c>
      <c r="T1357" s="45">
        <f t="shared" si="152"/>
        <v>0</v>
      </c>
      <c r="U1357" s="47">
        <f t="shared" si="153"/>
        <v>1801.5055199999999</v>
      </c>
    </row>
    <row r="1358" spans="1:21" x14ac:dyDescent="0.3">
      <c r="A1358" s="41" t="str">
        <f t="shared" si="147"/>
        <v>PUNITO</v>
      </c>
      <c r="B1358" s="43">
        <v>45751</v>
      </c>
      <c r="C1358" s="10" t="s">
        <v>1400</v>
      </c>
      <c r="D1358" s="10" t="s">
        <v>10</v>
      </c>
      <c r="E1358" s="10" t="s">
        <v>9</v>
      </c>
      <c r="F1358" s="10" t="s">
        <v>23</v>
      </c>
      <c r="G1358" s="10" t="s">
        <v>46</v>
      </c>
      <c r="H1358" s="10" t="s">
        <v>58</v>
      </c>
      <c r="I1358" s="45">
        <v>1102</v>
      </c>
      <c r="J1358" s="11">
        <v>0</v>
      </c>
      <c r="K1358" s="45">
        <f t="shared" si="148"/>
        <v>1102</v>
      </c>
      <c r="L1358" s="10">
        <v>11</v>
      </c>
      <c r="M1358" s="10">
        <v>3</v>
      </c>
      <c r="N1358" s="10" t="b">
        <v>0</v>
      </c>
      <c r="O1358" s="41"/>
      <c r="P1358" s="45">
        <f t="shared" si="149"/>
        <v>462.84</v>
      </c>
      <c r="Q1358" s="45">
        <f t="shared" si="150"/>
        <v>639.16000000000008</v>
      </c>
      <c r="R1358" s="45">
        <v>0</v>
      </c>
      <c r="S1358" s="45">
        <f t="shared" si="151"/>
        <v>0</v>
      </c>
      <c r="T1358" s="45">
        <f t="shared" si="152"/>
        <v>0</v>
      </c>
      <c r="U1358" s="47">
        <f t="shared" si="153"/>
        <v>639.16000000000008</v>
      </c>
    </row>
    <row r="1359" spans="1:21" x14ac:dyDescent="0.3">
      <c r="A1359" s="41" t="str">
        <f t="shared" si="147"/>
        <v>PBANOU</v>
      </c>
      <c r="B1359" s="43">
        <v>45751</v>
      </c>
      <c r="C1359" s="10" t="s">
        <v>1401</v>
      </c>
      <c r="D1359" s="10" t="s">
        <v>21</v>
      </c>
      <c r="E1359" s="10" t="s">
        <v>2</v>
      </c>
      <c r="F1359" s="10" t="s">
        <v>4</v>
      </c>
      <c r="G1359" s="10" t="s">
        <v>5</v>
      </c>
      <c r="H1359" s="10" t="s">
        <v>6</v>
      </c>
      <c r="I1359" s="45">
        <v>3992</v>
      </c>
      <c r="J1359" s="11">
        <v>0</v>
      </c>
      <c r="K1359" s="45">
        <f t="shared" si="148"/>
        <v>3992</v>
      </c>
      <c r="L1359" s="10">
        <v>25</v>
      </c>
      <c r="M1359" s="10">
        <v>3.4</v>
      </c>
      <c r="N1359" s="10" t="b">
        <v>0</v>
      </c>
      <c r="O1359" s="41"/>
      <c r="P1359" s="45">
        <f t="shared" si="149"/>
        <v>1676.6399999999999</v>
      </c>
      <c r="Q1359" s="45">
        <f t="shared" si="150"/>
        <v>2315.36</v>
      </c>
      <c r="R1359" s="45">
        <v>0</v>
      </c>
      <c r="S1359" s="45">
        <f t="shared" si="151"/>
        <v>0</v>
      </c>
      <c r="T1359" s="45">
        <f t="shared" si="152"/>
        <v>0</v>
      </c>
      <c r="U1359" s="47">
        <f t="shared" si="153"/>
        <v>2315.36</v>
      </c>
    </row>
    <row r="1360" spans="1:21" x14ac:dyDescent="0.3">
      <c r="A1360" s="41" t="str">
        <f t="shared" si="147"/>
        <v>PH&amp;MAC</v>
      </c>
      <c r="B1360" s="43">
        <v>45751</v>
      </c>
      <c r="C1360" s="10" t="s">
        <v>1402</v>
      </c>
      <c r="D1360" s="10" t="s">
        <v>37</v>
      </c>
      <c r="E1360" s="10" t="s">
        <v>15</v>
      </c>
      <c r="F1360" s="10" t="s">
        <v>11</v>
      </c>
      <c r="G1360" s="10" t="s">
        <v>7</v>
      </c>
      <c r="H1360" s="10" t="s">
        <v>47</v>
      </c>
      <c r="I1360" s="45">
        <v>391</v>
      </c>
      <c r="J1360" s="11">
        <v>0</v>
      </c>
      <c r="K1360" s="45">
        <f t="shared" si="148"/>
        <v>391</v>
      </c>
      <c r="L1360" s="10">
        <v>19</v>
      </c>
      <c r="M1360" s="10">
        <v>1.1000000000000001</v>
      </c>
      <c r="N1360" s="10" t="b">
        <v>0</v>
      </c>
      <c r="O1360" s="41"/>
      <c r="P1360" s="45">
        <f t="shared" si="149"/>
        <v>164.22</v>
      </c>
      <c r="Q1360" s="45">
        <f t="shared" si="150"/>
        <v>226.78</v>
      </c>
      <c r="R1360" s="45">
        <v>0</v>
      </c>
      <c r="S1360" s="45">
        <f t="shared" si="151"/>
        <v>0</v>
      </c>
      <c r="T1360" s="45">
        <f t="shared" si="152"/>
        <v>0</v>
      </c>
      <c r="U1360" s="47">
        <f t="shared" si="153"/>
        <v>226.78</v>
      </c>
    </row>
    <row r="1361" spans="1:21" x14ac:dyDescent="0.3">
      <c r="A1361" s="41" t="str">
        <f t="shared" si="147"/>
        <v>PZARBO</v>
      </c>
      <c r="B1361" s="43">
        <v>45752</v>
      </c>
      <c r="C1361" s="10" t="s">
        <v>1403</v>
      </c>
      <c r="D1361" s="10" t="s">
        <v>3</v>
      </c>
      <c r="E1361" s="10" t="s">
        <v>26</v>
      </c>
      <c r="F1361" s="10" t="s">
        <v>11</v>
      </c>
      <c r="G1361" s="10" t="s">
        <v>7</v>
      </c>
      <c r="H1361" s="10" t="s">
        <v>88</v>
      </c>
      <c r="I1361" s="45">
        <v>2425</v>
      </c>
      <c r="J1361" s="11">
        <v>0.08</v>
      </c>
      <c r="K1361" s="45">
        <f t="shared" si="148"/>
        <v>2231</v>
      </c>
      <c r="L1361" s="10">
        <v>7</v>
      </c>
      <c r="M1361" s="10"/>
      <c r="N1361" s="10" t="b">
        <v>0</v>
      </c>
      <c r="O1361" s="41"/>
      <c r="P1361" s="45">
        <f t="shared" si="149"/>
        <v>937.02</v>
      </c>
      <c r="Q1361" s="45">
        <f t="shared" si="150"/>
        <v>1293.98</v>
      </c>
      <c r="R1361" s="45">
        <v>0</v>
      </c>
      <c r="S1361" s="45">
        <f t="shared" si="151"/>
        <v>0</v>
      </c>
      <c r="T1361" s="45">
        <f t="shared" si="152"/>
        <v>0</v>
      </c>
      <c r="U1361" s="47">
        <f t="shared" si="153"/>
        <v>1293.98</v>
      </c>
    </row>
    <row r="1362" spans="1:21" x14ac:dyDescent="0.3">
      <c r="A1362" s="41" t="str">
        <f t="shared" si="147"/>
        <v>PFORDR</v>
      </c>
      <c r="B1362" s="43">
        <v>45752</v>
      </c>
      <c r="C1362" s="10" t="s">
        <v>1404</v>
      </c>
      <c r="D1362" s="10" t="s">
        <v>65</v>
      </c>
      <c r="E1362" s="10" t="s">
        <v>30</v>
      </c>
      <c r="F1362" s="10" t="s">
        <v>54</v>
      </c>
      <c r="G1362" s="10" t="s">
        <v>38</v>
      </c>
      <c r="H1362" s="10" t="s">
        <v>88</v>
      </c>
      <c r="I1362" s="45">
        <v>2447</v>
      </c>
      <c r="J1362" s="11">
        <v>5.5E-2</v>
      </c>
      <c r="K1362" s="45">
        <f t="shared" si="148"/>
        <v>2312.415</v>
      </c>
      <c r="L1362" s="10">
        <v>10</v>
      </c>
      <c r="M1362" s="10">
        <v>4.3</v>
      </c>
      <c r="N1362" s="10" t="b">
        <v>0</v>
      </c>
      <c r="O1362" s="41"/>
      <c r="P1362" s="45">
        <f t="shared" si="149"/>
        <v>971.21429999999998</v>
      </c>
      <c r="Q1362" s="45">
        <f t="shared" si="150"/>
        <v>1341.2006999999999</v>
      </c>
      <c r="R1362" s="45">
        <v>0</v>
      </c>
      <c r="S1362" s="45">
        <f t="shared" si="151"/>
        <v>0</v>
      </c>
      <c r="T1362" s="45">
        <f t="shared" si="152"/>
        <v>0</v>
      </c>
      <c r="U1362" s="47">
        <f t="shared" si="153"/>
        <v>1341.2006999999999</v>
      </c>
    </row>
    <row r="1363" spans="1:21" x14ac:dyDescent="0.3">
      <c r="A1363" s="41" t="str">
        <f t="shared" si="147"/>
        <v>PUNISH</v>
      </c>
      <c r="B1363" s="43">
        <v>45752</v>
      </c>
      <c r="C1363" s="10" t="s">
        <v>1405</v>
      </c>
      <c r="D1363" s="10" t="s">
        <v>10</v>
      </c>
      <c r="E1363" s="10" t="s">
        <v>18</v>
      </c>
      <c r="F1363" s="10" t="s">
        <v>4</v>
      </c>
      <c r="G1363" s="10" t="s">
        <v>27</v>
      </c>
      <c r="H1363" s="10" t="s">
        <v>35</v>
      </c>
      <c r="I1363" s="45">
        <v>3072</v>
      </c>
      <c r="J1363" s="11">
        <v>0</v>
      </c>
      <c r="K1363" s="45">
        <f t="shared" si="148"/>
        <v>3072</v>
      </c>
      <c r="L1363" s="10">
        <v>40</v>
      </c>
      <c r="M1363" s="10"/>
      <c r="N1363" s="10" t="b">
        <v>1</v>
      </c>
      <c r="O1363" s="41" t="s">
        <v>50</v>
      </c>
      <c r="P1363" s="45">
        <f t="shared" si="149"/>
        <v>1290.24</v>
      </c>
      <c r="Q1363" s="45">
        <f t="shared" si="150"/>
        <v>1781.76</v>
      </c>
      <c r="R1363" s="45">
        <v>150</v>
      </c>
      <c r="S1363" s="45">
        <f t="shared" si="151"/>
        <v>307.20000000000005</v>
      </c>
      <c r="T1363" s="45">
        <f t="shared" si="152"/>
        <v>3072</v>
      </c>
      <c r="U1363" s="47">
        <f t="shared" si="153"/>
        <v>-1747.44</v>
      </c>
    </row>
    <row r="1364" spans="1:21" x14ac:dyDescent="0.3">
      <c r="A1364" s="41" t="str">
        <f t="shared" si="147"/>
        <v>PBANTO</v>
      </c>
      <c r="B1364" s="43">
        <v>45752</v>
      </c>
      <c r="C1364" s="10" t="s">
        <v>1406</v>
      </c>
      <c r="D1364" s="10" t="s">
        <v>21</v>
      </c>
      <c r="E1364" s="10" t="s">
        <v>9</v>
      </c>
      <c r="F1364" s="10" t="s">
        <v>4</v>
      </c>
      <c r="G1364" s="10" t="s">
        <v>27</v>
      </c>
      <c r="H1364" s="10" t="s">
        <v>28</v>
      </c>
      <c r="I1364" s="45">
        <v>1072</v>
      </c>
      <c r="J1364" s="11">
        <v>0.35100000000000003</v>
      </c>
      <c r="K1364" s="45">
        <f t="shared" si="148"/>
        <v>695.72800000000007</v>
      </c>
      <c r="L1364" s="10">
        <v>16</v>
      </c>
      <c r="M1364" s="10"/>
      <c r="N1364" s="10" t="b">
        <v>0</v>
      </c>
      <c r="O1364" s="41"/>
      <c r="P1364" s="45">
        <f t="shared" si="149"/>
        <v>292.20576</v>
      </c>
      <c r="Q1364" s="45">
        <f t="shared" si="150"/>
        <v>403.52224000000007</v>
      </c>
      <c r="R1364" s="45">
        <v>0</v>
      </c>
      <c r="S1364" s="45">
        <f t="shared" si="151"/>
        <v>0</v>
      </c>
      <c r="T1364" s="45">
        <f t="shared" si="152"/>
        <v>0</v>
      </c>
      <c r="U1364" s="47">
        <f t="shared" si="153"/>
        <v>403.52224000000007</v>
      </c>
    </row>
    <row r="1365" spans="1:21" x14ac:dyDescent="0.3">
      <c r="A1365" s="41" t="str">
        <f t="shared" si="147"/>
        <v>PGAPTO</v>
      </c>
      <c r="B1365" s="43">
        <v>45753</v>
      </c>
      <c r="C1365" s="10" t="s">
        <v>1407</v>
      </c>
      <c r="D1365" s="10" t="s">
        <v>53</v>
      </c>
      <c r="E1365" s="10" t="s">
        <v>9</v>
      </c>
      <c r="F1365" s="10" t="s">
        <v>23</v>
      </c>
      <c r="G1365" s="10" t="s">
        <v>46</v>
      </c>
      <c r="H1365" s="10" t="s">
        <v>6</v>
      </c>
      <c r="I1365" s="45">
        <v>1316</v>
      </c>
      <c r="J1365" s="11">
        <v>0</v>
      </c>
      <c r="K1365" s="45">
        <f t="shared" si="148"/>
        <v>1316</v>
      </c>
      <c r="L1365" s="10">
        <v>6</v>
      </c>
      <c r="M1365" s="10"/>
      <c r="N1365" s="10" t="b">
        <v>0</v>
      </c>
      <c r="O1365" s="41"/>
      <c r="P1365" s="45">
        <f t="shared" si="149"/>
        <v>552.72</v>
      </c>
      <c r="Q1365" s="45">
        <f t="shared" si="150"/>
        <v>763.28</v>
      </c>
      <c r="R1365" s="45">
        <v>0</v>
      </c>
      <c r="S1365" s="45">
        <f t="shared" si="151"/>
        <v>0</v>
      </c>
      <c r="T1365" s="45">
        <f t="shared" si="152"/>
        <v>0</v>
      </c>
      <c r="U1365" s="47">
        <f t="shared" si="153"/>
        <v>763.28</v>
      </c>
    </row>
    <row r="1366" spans="1:21" x14ac:dyDescent="0.3">
      <c r="A1366" s="41" t="str">
        <f t="shared" si="147"/>
        <v>PGAPSH</v>
      </c>
      <c r="B1366" s="43">
        <v>45753</v>
      </c>
      <c r="C1366" s="10" t="s">
        <v>1408</v>
      </c>
      <c r="D1366" s="10" t="s">
        <v>53</v>
      </c>
      <c r="E1366" s="10" t="s">
        <v>18</v>
      </c>
      <c r="F1366" s="10" t="s">
        <v>23</v>
      </c>
      <c r="G1366" s="10" t="s">
        <v>5</v>
      </c>
      <c r="H1366" s="10" t="s">
        <v>88</v>
      </c>
      <c r="I1366" s="45">
        <v>3149</v>
      </c>
      <c r="J1366" s="11">
        <v>0</v>
      </c>
      <c r="K1366" s="45">
        <f t="shared" si="148"/>
        <v>3149</v>
      </c>
      <c r="L1366" s="10">
        <v>30</v>
      </c>
      <c r="M1366" s="10">
        <v>4.8</v>
      </c>
      <c r="N1366" s="10" t="b">
        <v>0</v>
      </c>
      <c r="O1366" s="41"/>
      <c r="P1366" s="45">
        <f t="shared" si="149"/>
        <v>1322.58</v>
      </c>
      <c r="Q1366" s="45">
        <f t="shared" si="150"/>
        <v>1826.42</v>
      </c>
      <c r="R1366" s="45">
        <v>0</v>
      </c>
      <c r="S1366" s="45">
        <f t="shared" si="151"/>
        <v>0</v>
      </c>
      <c r="T1366" s="45">
        <f t="shared" si="152"/>
        <v>0</v>
      </c>
      <c r="U1366" s="47">
        <f t="shared" si="153"/>
        <v>1826.42</v>
      </c>
    </row>
    <row r="1367" spans="1:21" x14ac:dyDescent="0.3">
      <c r="A1367" s="41" t="str">
        <f t="shared" si="147"/>
        <v>PFOROU</v>
      </c>
      <c r="B1367" s="43">
        <v>45753</v>
      </c>
      <c r="C1367" s="10" t="s">
        <v>1409</v>
      </c>
      <c r="D1367" s="10" t="s">
        <v>65</v>
      </c>
      <c r="E1367" s="10" t="s">
        <v>2</v>
      </c>
      <c r="F1367" s="10" t="s">
        <v>4</v>
      </c>
      <c r="G1367" s="10" t="s">
        <v>27</v>
      </c>
      <c r="H1367" s="10" t="s">
        <v>35</v>
      </c>
      <c r="I1367" s="45">
        <v>4091</v>
      </c>
      <c r="J1367" s="11">
        <v>0.48399999999999999</v>
      </c>
      <c r="K1367" s="45">
        <f t="shared" si="148"/>
        <v>2110.9560000000001</v>
      </c>
      <c r="L1367" s="10">
        <v>32</v>
      </c>
      <c r="M1367" s="10"/>
      <c r="N1367" s="10" t="b">
        <v>0</v>
      </c>
      <c r="O1367" s="41"/>
      <c r="P1367" s="45">
        <f t="shared" si="149"/>
        <v>886.60152000000005</v>
      </c>
      <c r="Q1367" s="45">
        <f t="shared" si="150"/>
        <v>1224.35448</v>
      </c>
      <c r="R1367" s="45">
        <v>0</v>
      </c>
      <c r="S1367" s="45">
        <f t="shared" si="151"/>
        <v>0</v>
      </c>
      <c r="T1367" s="45">
        <f t="shared" si="152"/>
        <v>0</v>
      </c>
      <c r="U1367" s="47">
        <f t="shared" si="153"/>
        <v>1224.35448</v>
      </c>
    </row>
    <row r="1368" spans="1:21" x14ac:dyDescent="0.3">
      <c r="A1368" s="41" t="str">
        <f t="shared" si="147"/>
        <v>PANNSH</v>
      </c>
      <c r="B1368" s="43">
        <v>45754</v>
      </c>
      <c r="C1368" s="10" t="s">
        <v>1410</v>
      </c>
      <c r="D1368" s="10" t="s">
        <v>42</v>
      </c>
      <c r="E1368" s="10" t="s">
        <v>18</v>
      </c>
      <c r="F1368" s="10" t="s">
        <v>23</v>
      </c>
      <c r="G1368" s="10" t="s">
        <v>27</v>
      </c>
      <c r="H1368" s="10" t="s">
        <v>58</v>
      </c>
      <c r="I1368" s="45">
        <v>3236</v>
      </c>
      <c r="J1368" s="11">
        <v>0</v>
      </c>
      <c r="K1368" s="45">
        <f t="shared" si="148"/>
        <v>3236</v>
      </c>
      <c r="L1368" s="10">
        <v>19</v>
      </c>
      <c r="M1368" s="10">
        <v>2.6</v>
      </c>
      <c r="N1368" s="10" t="b">
        <v>1</v>
      </c>
      <c r="O1368" s="41" t="s">
        <v>33</v>
      </c>
      <c r="P1368" s="45">
        <f t="shared" si="149"/>
        <v>1359.12</v>
      </c>
      <c r="Q1368" s="45">
        <f t="shared" si="150"/>
        <v>1876.88</v>
      </c>
      <c r="R1368" s="45">
        <v>150</v>
      </c>
      <c r="S1368" s="45">
        <f t="shared" si="151"/>
        <v>323.60000000000002</v>
      </c>
      <c r="T1368" s="45">
        <f t="shared" si="152"/>
        <v>3236</v>
      </c>
      <c r="U1368" s="47">
        <f t="shared" si="153"/>
        <v>-1832.7199999999998</v>
      </c>
    </row>
    <row r="1369" spans="1:21" x14ac:dyDescent="0.3">
      <c r="A1369" s="41" t="str">
        <f t="shared" si="147"/>
        <v>PANNTO</v>
      </c>
      <c r="B1369" s="43">
        <v>45754</v>
      </c>
      <c r="C1369" s="10" t="s">
        <v>1411</v>
      </c>
      <c r="D1369" s="10" t="s">
        <v>42</v>
      </c>
      <c r="E1369" s="10" t="s">
        <v>9</v>
      </c>
      <c r="F1369" s="10" t="s">
        <v>54</v>
      </c>
      <c r="G1369" s="10" t="s">
        <v>12</v>
      </c>
      <c r="H1369" s="10" t="s">
        <v>32</v>
      </c>
      <c r="I1369" s="45">
        <v>1322</v>
      </c>
      <c r="J1369" s="11">
        <v>0</v>
      </c>
      <c r="K1369" s="45">
        <f t="shared" si="148"/>
        <v>1322</v>
      </c>
      <c r="L1369" s="10">
        <v>25</v>
      </c>
      <c r="M1369" s="10"/>
      <c r="N1369" s="10" t="b">
        <v>1</v>
      </c>
      <c r="O1369" s="41" t="s">
        <v>44</v>
      </c>
      <c r="P1369" s="45">
        <f t="shared" si="149"/>
        <v>555.24</v>
      </c>
      <c r="Q1369" s="45">
        <f t="shared" si="150"/>
        <v>766.76</v>
      </c>
      <c r="R1369" s="45">
        <v>150</v>
      </c>
      <c r="S1369" s="45">
        <f t="shared" si="151"/>
        <v>132.20000000000002</v>
      </c>
      <c r="T1369" s="45">
        <f t="shared" si="152"/>
        <v>1322</v>
      </c>
      <c r="U1369" s="47">
        <f t="shared" si="153"/>
        <v>-837.44</v>
      </c>
    </row>
    <row r="1370" spans="1:21" x14ac:dyDescent="0.3">
      <c r="A1370" s="41" t="str">
        <f t="shared" si="147"/>
        <v>PH&amp;MSH</v>
      </c>
      <c r="B1370" s="43">
        <v>45754</v>
      </c>
      <c r="C1370" s="10" t="s">
        <v>1412</v>
      </c>
      <c r="D1370" s="10" t="s">
        <v>37</v>
      </c>
      <c r="E1370" s="10" t="s">
        <v>18</v>
      </c>
      <c r="F1370" s="10" t="s">
        <v>54</v>
      </c>
      <c r="G1370" s="10" t="s">
        <v>5</v>
      </c>
      <c r="H1370" s="10" t="s">
        <v>28</v>
      </c>
      <c r="I1370" s="45">
        <v>3603</v>
      </c>
      <c r="J1370" s="11">
        <v>0.252</v>
      </c>
      <c r="K1370" s="45">
        <f t="shared" si="148"/>
        <v>2695.0439999999999</v>
      </c>
      <c r="L1370" s="10">
        <v>21</v>
      </c>
      <c r="M1370" s="10">
        <v>4.7</v>
      </c>
      <c r="N1370" s="10" t="b">
        <v>0</v>
      </c>
      <c r="O1370" s="41"/>
      <c r="P1370" s="45">
        <f t="shared" si="149"/>
        <v>1131.9184799999998</v>
      </c>
      <c r="Q1370" s="45">
        <f t="shared" si="150"/>
        <v>1563.1255200000001</v>
      </c>
      <c r="R1370" s="45">
        <v>0</v>
      </c>
      <c r="S1370" s="45">
        <f t="shared" si="151"/>
        <v>0</v>
      </c>
      <c r="T1370" s="45">
        <f t="shared" si="152"/>
        <v>0</v>
      </c>
      <c r="U1370" s="47">
        <f t="shared" si="153"/>
        <v>1563.1255200000001</v>
      </c>
    </row>
    <row r="1371" spans="1:21" x14ac:dyDescent="0.3">
      <c r="A1371" s="41" t="str">
        <f t="shared" si="147"/>
        <v>PMANSH</v>
      </c>
      <c r="B1371" s="43">
        <v>45754</v>
      </c>
      <c r="C1371" s="10" t="s">
        <v>1413</v>
      </c>
      <c r="D1371" s="10" t="s">
        <v>31</v>
      </c>
      <c r="E1371" s="10" t="s">
        <v>18</v>
      </c>
      <c r="F1371" s="10" t="s">
        <v>4</v>
      </c>
      <c r="G1371" s="10" t="s">
        <v>27</v>
      </c>
      <c r="H1371" s="10" t="s">
        <v>88</v>
      </c>
      <c r="I1371" s="45">
        <v>3237</v>
      </c>
      <c r="J1371" s="11">
        <v>0</v>
      </c>
      <c r="K1371" s="45">
        <f t="shared" si="148"/>
        <v>3237</v>
      </c>
      <c r="L1371" s="10">
        <v>11</v>
      </c>
      <c r="M1371" s="10"/>
      <c r="N1371" s="10" t="b">
        <v>0</v>
      </c>
      <c r="O1371" s="41"/>
      <c r="P1371" s="45">
        <f t="shared" si="149"/>
        <v>1359.54</v>
      </c>
      <c r="Q1371" s="45">
        <f t="shared" si="150"/>
        <v>1877.46</v>
      </c>
      <c r="R1371" s="45">
        <v>0</v>
      </c>
      <c r="S1371" s="45">
        <f t="shared" si="151"/>
        <v>0</v>
      </c>
      <c r="T1371" s="45">
        <f t="shared" si="152"/>
        <v>0</v>
      </c>
      <c r="U1371" s="47">
        <f t="shared" si="153"/>
        <v>1877.46</v>
      </c>
    </row>
    <row r="1372" spans="1:21" x14ac:dyDescent="0.3">
      <c r="A1372" s="41" t="str">
        <f t="shared" si="147"/>
        <v>PANNBO</v>
      </c>
      <c r="B1372" s="43">
        <v>45755</v>
      </c>
      <c r="C1372" s="10" t="s">
        <v>1414</v>
      </c>
      <c r="D1372" s="10" t="s">
        <v>42</v>
      </c>
      <c r="E1372" s="10" t="s">
        <v>26</v>
      </c>
      <c r="F1372" s="10" t="s">
        <v>23</v>
      </c>
      <c r="G1372" s="10" t="s">
        <v>49</v>
      </c>
      <c r="H1372" s="10" t="s">
        <v>47</v>
      </c>
      <c r="I1372" s="45">
        <v>2836</v>
      </c>
      <c r="J1372" s="11">
        <v>0</v>
      </c>
      <c r="K1372" s="45">
        <f t="shared" si="148"/>
        <v>2836</v>
      </c>
      <c r="L1372" s="10">
        <v>29</v>
      </c>
      <c r="M1372" s="10">
        <v>4.5</v>
      </c>
      <c r="N1372" s="10" t="b">
        <v>0</v>
      </c>
      <c r="O1372" s="41"/>
      <c r="P1372" s="45">
        <f t="shared" si="149"/>
        <v>1191.1199999999999</v>
      </c>
      <c r="Q1372" s="45">
        <f t="shared" si="150"/>
        <v>1644.88</v>
      </c>
      <c r="R1372" s="45">
        <v>0</v>
      </c>
      <c r="S1372" s="45">
        <f t="shared" si="151"/>
        <v>0</v>
      </c>
      <c r="T1372" s="45">
        <f t="shared" si="152"/>
        <v>0</v>
      </c>
      <c r="U1372" s="47">
        <f t="shared" si="153"/>
        <v>1644.88</v>
      </c>
    </row>
    <row r="1373" spans="1:21" x14ac:dyDescent="0.3">
      <c r="A1373" s="41" t="str">
        <f t="shared" si="147"/>
        <v>PUNIAC</v>
      </c>
      <c r="B1373" s="43">
        <v>45755</v>
      </c>
      <c r="C1373" s="10" t="s">
        <v>1415</v>
      </c>
      <c r="D1373" s="10" t="s">
        <v>10</v>
      </c>
      <c r="E1373" s="10" t="s">
        <v>15</v>
      </c>
      <c r="F1373" s="10" t="s">
        <v>54</v>
      </c>
      <c r="G1373" s="10" t="s">
        <v>7</v>
      </c>
      <c r="H1373" s="10" t="s">
        <v>13</v>
      </c>
      <c r="I1373" s="45">
        <v>339</v>
      </c>
      <c r="J1373" s="11">
        <v>0.35299999999999998</v>
      </c>
      <c r="K1373" s="45">
        <f t="shared" si="148"/>
        <v>219.333</v>
      </c>
      <c r="L1373" s="10">
        <v>12</v>
      </c>
      <c r="M1373" s="10">
        <v>4.2</v>
      </c>
      <c r="N1373" s="10" t="b">
        <v>0</v>
      </c>
      <c r="O1373" s="41"/>
      <c r="P1373" s="45">
        <f t="shared" si="149"/>
        <v>92.119860000000003</v>
      </c>
      <c r="Q1373" s="45">
        <f t="shared" si="150"/>
        <v>127.21314</v>
      </c>
      <c r="R1373" s="45">
        <v>0</v>
      </c>
      <c r="S1373" s="45">
        <f t="shared" si="151"/>
        <v>0</v>
      </c>
      <c r="T1373" s="45">
        <f t="shared" si="152"/>
        <v>0</v>
      </c>
      <c r="U1373" s="47">
        <f t="shared" si="153"/>
        <v>127.21314</v>
      </c>
    </row>
    <row r="1374" spans="1:21" x14ac:dyDescent="0.3">
      <c r="A1374" s="41" t="str">
        <f t="shared" si="147"/>
        <v>PMANSH</v>
      </c>
      <c r="B1374" s="43">
        <v>45755</v>
      </c>
      <c r="C1374" s="10" t="s">
        <v>1416</v>
      </c>
      <c r="D1374" s="10" t="s">
        <v>31</v>
      </c>
      <c r="E1374" s="10" t="s">
        <v>18</v>
      </c>
      <c r="F1374" s="10" t="s">
        <v>23</v>
      </c>
      <c r="G1374" s="10" t="s">
        <v>27</v>
      </c>
      <c r="H1374" s="10" t="s">
        <v>13</v>
      </c>
      <c r="I1374" s="45">
        <v>3586</v>
      </c>
      <c r="J1374" s="11">
        <v>0</v>
      </c>
      <c r="K1374" s="45">
        <f t="shared" si="148"/>
        <v>3586</v>
      </c>
      <c r="L1374" s="10">
        <v>18</v>
      </c>
      <c r="M1374" s="10"/>
      <c r="N1374" s="10" t="b">
        <v>0</v>
      </c>
      <c r="O1374" s="41"/>
      <c r="P1374" s="45">
        <f t="shared" si="149"/>
        <v>1506.12</v>
      </c>
      <c r="Q1374" s="45">
        <f t="shared" si="150"/>
        <v>2079.88</v>
      </c>
      <c r="R1374" s="45">
        <v>0</v>
      </c>
      <c r="S1374" s="45">
        <f t="shared" si="151"/>
        <v>0</v>
      </c>
      <c r="T1374" s="45">
        <f t="shared" si="152"/>
        <v>0</v>
      </c>
      <c r="U1374" s="47">
        <f t="shared" si="153"/>
        <v>2079.88</v>
      </c>
    </row>
    <row r="1375" spans="1:21" x14ac:dyDescent="0.3">
      <c r="A1375" s="41" t="str">
        <f t="shared" si="147"/>
        <v>PGAPAC</v>
      </c>
      <c r="B1375" s="43">
        <v>45755</v>
      </c>
      <c r="C1375" s="10" t="s">
        <v>1417</v>
      </c>
      <c r="D1375" s="10" t="s">
        <v>53</v>
      </c>
      <c r="E1375" s="10" t="s">
        <v>15</v>
      </c>
      <c r="F1375" s="10" t="s">
        <v>11</v>
      </c>
      <c r="G1375" s="10" t="s">
        <v>7</v>
      </c>
      <c r="H1375" s="10" t="s">
        <v>32</v>
      </c>
      <c r="I1375" s="45">
        <v>396</v>
      </c>
      <c r="J1375" s="11">
        <v>0.44</v>
      </c>
      <c r="K1375" s="45">
        <f t="shared" si="148"/>
        <v>221.76000000000002</v>
      </c>
      <c r="L1375" s="10">
        <v>25</v>
      </c>
      <c r="M1375" s="10">
        <v>3</v>
      </c>
      <c r="N1375" s="10" t="b">
        <v>0</v>
      </c>
      <c r="O1375" s="41"/>
      <c r="P1375" s="45">
        <f t="shared" si="149"/>
        <v>93.139200000000002</v>
      </c>
      <c r="Q1375" s="45">
        <f t="shared" si="150"/>
        <v>128.62080000000003</v>
      </c>
      <c r="R1375" s="45">
        <v>0</v>
      </c>
      <c r="S1375" s="45">
        <f t="shared" si="151"/>
        <v>0</v>
      </c>
      <c r="T1375" s="45">
        <f t="shared" si="152"/>
        <v>0</v>
      </c>
      <c r="U1375" s="47">
        <f t="shared" si="153"/>
        <v>128.62080000000003</v>
      </c>
    </row>
    <row r="1376" spans="1:21" x14ac:dyDescent="0.3">
      <c r="A1376" s="41" t="str">
        <f t="shared" si="147"/>
        <v>PGAPAC</v>
      </c>
      <c r="B1376" s="43">
        <v>45756</v>
      </c>
      <c r="C1376" s="10" t="s">
        <v>1418</v>
      </c>
      <c r="D1376" s="10" t="s">
        <v>53</v>
      </c>
      <c r="E1376" s="10" t="s">
        <v>15</v>
      </c>
      <c r="F1376" s="10" t="s">
        <v>11</v>
      </c>
      <c r="G1376" s="10" t="s">
        <v>7</v>
      </c>
      <c r="H1376" s="10" t="s">
        <v>58</v>
      </c>
      <c r="I1376" s="45">
        <v>233</v>
      </c>
      <c r="J1376" s="11">
        <v>0</v>
      </c>
      <c r="K1376" s="45">
        <f t="shared" si="148"/>
        <v>233</v>
      </c>
      <c r="L1376" s="10">
        <v>2</v>
      </c>
      <c r="M1376" s="10">
        <v>3.3</v>
      </c>
      <c r="N1376" s="10" t="b">
        <v>0</v>
      </c>
      <c r="O1376" s="41"/>
      <c r="P1376" s="45">
        <f t="shared" si="149"/>
        <v>97.86</v>
      </c>
      <c r="Q1376" s="45">
        <f t="shared" si="150"/>
        <v>135.13999999999999</v>
      </c>
      <c r="R1376" s="45">
        <v>0</v>
      </c>
      <c r="S1376" s="45">
        <f t="shared" si="151"/>
        <v>0</v>
      </c>
      <c r="T1376" s="45">
        <f t="shared" si="152"/>
        <v>0</v>
      </c>
      <c r="U1376" s="47">
        <f t="shared" si="153"/>
        <v>135.13999999999999</v>
      </c>
    </row>
    <row r="1377" spans="1:21" x14ac:dyDescent="0.3">
      <c r="A1377" s="41" t="str">
        <f t="shared" si="147"/>
        <v>PMANSH</v>
      </c>
      <c r="B1377" s="43">
        <v>45756</v>
      </c>
      <c r="C1377" s="10" t="s">
        <v>1419</v>
      </c>
      <c r="D1377" s="10" t="s">
        <v>31</v>
      </c>
      <c r="E1377" s="10" t="s">
        <v>18</v>
      </c>
      <c r="F1377" s="10" t="s">
        <v>23</v>
      </c>
      <c r="G1377" s="10" t="s">
        <v>49</v>
      </c>
      <c r="H1377" s="10" t="s">
        <v>47</v>
      </c>
      <c r="I1377" s="45">
        <v>4447</v>
      </c>
      <c r="J1377" s="11">
        <v>0.59799999999999998</v>
      </c>
      <c r="K1377" s="45">
        <f t="shared" si="148"/>
        <v>1787.6940000000002</v>
      </c>
      <c r="L1377" s="10">
        <v>33</v>
      </c>
      <c r="M1377" s="10">
        <v>4</v>
      </c>
      <c r="N1377" s="10" t="b">
        <v>0</v>
      </c>
      <c r="O1377" s="41"/>
      <c r="P1377" s="45">
        <f t="shared" si="149"/>
        <v>750.83148000000006</v>
      </c>
      <c r="Q1377" s="45">
        <f t="shared" si="150"/>
        <v>1036.8625200000001</v>
      </c>
      <c r="R1377" s="45">
        <v>0</v>
      </c>
      <c r="S1377" s="45">
        <f t="shared" si="151"/>
        <v>0</v>
      </c>
      <c r="T1377" s="45">
        <f t="shared" si="152"/>
        <v>0</v>
      </c>
      <c r="U1377" s="47">
        <f t="shared" si="153"/>
        <v>1036.8625200000001</v>
      </c>
    </row>
    <row r="1378" spans="1:21" x14ac:dyDescent="0.3">
      <c r="A1378" s="41" t="str">
        <f t="shared" si="147"/>
        <v>PFORBO</v>
      </c>
      <c r="B1378" s="43">
        <v>45756</v>
      </c>
      <c r="C1378" s="10" t="s">
        <v>1420</v>
      </c>
      <c r="D1378" s="10" t="s">
        <v>65</v>
      </c>
      <c r="E1378" s="10" t="s">
        <v>26</v>
      </c>
      <c r="F1378" s="10" t="s">
        <v>54</v>
      </c>
      <c r="G1378" s="10" t="s">
        <v>5</v>
      </c>
      <c r="H1378" s="10" t="s">
        <v>16</v>
      </c>
      <c r="I1378" s="45">
        <v>2651</v>
      </c>
      <c r="J1378" s="11">
        <v>0</v>
      </c>
      <c r="K1378" s="45">
        <f t="shared" si="148"/>
        <v>2651</v>
      </c>
      <c r="L1378" s="10">
        <v>29</v>
      </c>
      <c r="M1378" s="10">
        <v>3.7</v>
      </c>
      <c r="N1378" s="10" t="b">
        <v>0</v>
      </c>
      <c r="O1378" s="41"/>
      <c r="P1378" s="45">
        <f t="shared" si="149"/>
        <v>1113.4199999999998</v>
      </c>
      <c r="Q1378" s="45">
        <f t="shared" si="150"/>
        <v>1537.5800000000002</v>
      </c>
      <c r="R1378" s="45">
        <v>0</v>
      </c>
      <c r="S1378" s="45">
        <f t="shared" si="151"/>
        <v>0</v>
      </c>
      <c r="T1378" s="45">
        <f t="shared" si="152"/>
        <v>0</v>
      </c>
      <c r="U1378" s="47">
        <f t="shared" si="153"/>
        <v>1537.5800000000002</v>
      </c>
    </row>
    <row r="1379" spans="1:21" x14ac:dyDescent="0.3">
      <c r="A1379" s="41" t="str">
        <f t="shared" si="147"/>
        <v>PUNIBO</v>
      </c>
      <c r="B1379" s="43">
        <v>45756</v>
      </c>
      <c r="C1379" s="10" t="s">
        <v>1421</v>
      </c>
      <c r="D1379" s="10" t="s">
        <v>10</v>
      </c>
      <c r="E1379" s="10" t="s">
        <v>26</v>
      </c>
      <c r="F1379" s="10" t="s">
        <v>11</v>
      </c>
      <c r="G1379" s="10" t="s">
        <v>12</v>
      </c>
      <c r="H1379" s="10" t="s">
        <v>43</v>
      </c>
      <c r="I1379" s="45">
        <v>2311</v>
      </c>
      <c r="J1379" s="11">
        <v>0</v>
      </c>
      <c r="K1379" s="45">
        <f t="shared" si="148"/>
        <v>2311</v>
      </c>
      <c r="L1379" s="10">
        <v>27</v>
      </c>
      <c r="M1379" s="10"/>
      <c r="N1379" s="10" t="b">
        <v>0</v>
      </c>
      <c r="O1379" s="41"/>
      <c r="P1379" s="45">
        <f t="shared" si="149"/>
        <v>970.62</v>
      </c>
      <c r="Q1379" s="45">
        <f t="shared" si="150"/>
        <v>1340.38</v>
      </c>
      <c r="R1379" s="45">
        <v>0</v>
      </c>
      <c r="S1379" s="45">
        <f t="shared" si="151"/>
        <v>0</v>
      </c>
      <c r="T1379" s="45">
        <f t="shared" si="152"/>
        <v>0</v>
      </c>
      <c r="U1379" s="47">
        <f t="shared" si="153"/>
        <v>1340.38</v>
      </c>
    </row>
    <row r="1380" spans="1:21" x14ac:dyDescent="0.3">
      <c r="A1380" s="41" t="str">
        <f t="shared" si="147"/>
        <v>PGAPAC</v>
      </c>
      <c r="B1380" s="43">
        <v>45757</v>
      </c>
      <c r="C1380" s="10" t="s">
        <v>1422</v>
      </c>
      <c r="D1380" s="10" t="s">
        <v>53</v>
      </c>
      <c r="E1380" s="10" t="s">
        <v>15</v>
      </c>
      <c r="F1380" s="10" t="s">
        <v>11</v>
      </c>
      <c r="G1380" s="10" t="s">
        <v>7</v>
      </c>
      <c r="H1380" s="10" t="s">
        <v>28</v>
      </c>
      <c r="I1380" s="45">
        <v>218</v>
      </c>
      <c r="J1380" s="11">
        <v>0.41</v>
      </c>
      <c r="K1380" s="45">
        <f t="shared" si="148"/>
        <v>128.62</v>
      </c>
      <c r="L1380" s="10">
        <v>43</v>
      </c>
      <c r="M1380" s="10">
        <v>3.5</v>
      </c>
      <c r="N1380" s="10" t="b">
        <v>0</v>
      </c>
      <c r="O1380" s="41"/>
      <c r="P1380" s="45">
        <f t="shared" si="149"/>
        <v>54.020400000000002</v>
      </c>
      <c r="Q1380" s="45">
        <f t="shared" si="150"/>
        <v>74.599600000000009</v>
      </c>
      <c r="R1380" s="45">
        <v>0</v>
      </c>
      <c r="S1380" s="45">
        <f t="shared" si="151"/>
        <v>0</v>
      </c>
      <c r="T1380" s="45">
        <f t="shared" si="152"/>
        <v>0</v>
      </c>
      <c r="U1380" s="47">
        <f t="shared" si="153"/>
        <v>74.599600000000009</v>
      </c>
    </row>
    <row r="1381" spans="1:21" x14ac:dyDescent="0.3">
      <c r="A1381" s="41" t="str">
        <f t="shared" si="147"/>
        <v>PMANBO</v>
      </c>
      <c r="B1381" s="43">
        <v>45757</v>
      </c>
      <c r="C1381" s="10" t="s">
        <v>1423</v>
      </c>
      <c r="D1381" s="10" t="s">
        <v>31</v>
      </c>
      <c r="E1381" s="10" t="s">
        <v>26</v>
      </c>
      <c r="F1381" s="10" t="s">
        <v>54</v>
      </c>
      <c r="G1381" s="10" t="s">
        <v>5</v>
      </c>
      <c r="H1381" s="10" t="s">
        <v>35</v>
      </c>
      <c r="I1381" s="45">
        <v>2409</v>
      </c>
      <c r="J1381" s="11">
        <v>0.17</v>
      </c>
      <c r="K1381" s="45">
        <f t="shared" si="148"/>
        <v>1999.4699999999998</v>
      </c>
      <c r="L1381" s="10">
        <v>24</v>
      </c>
      <c r="M1381" s="10">
        <v>4.9000000000000004</v>
      </c>
      <c r="N1381" s="10" t="b">
        <v>0</v>
      </c>
      <c r="O1381" s="41"/>
      <c r="P1381" s="45">
        <f t="shared" si="149"/>
        <v>839.77739999999983</v>
      </c>
      <c r="Q1381" s="45">
        <f t="shared" si="150"/>
        <v>1159.6925999999999</v>
      </c>
      <c r="R1381" s="45">
        <v>0</v>
      </c>
      <c r="S1381" s="45">
        <f t="shared" si="151"/>
        <v>0</v>
      </c>
      <c r="T1381" s="45">
        <f t="shared" si="152"/>
        <v>0</v>
      </c>
      <c r="U1381" s="47">
        <f t="shared" si="153"/>
        <v>1159.6925999999999</v>
      </c>
    </row>
    <row r="1382" spans="1:21" x14ac:dyDescent="0.3">
      <c r="A1382" s="41" t="str">
        <f t="shared" si="147"/>
        <v>PANNOU</v>
      </c>
      <c r="B1382" s="43">
        <v>45757</v>
      </c>
      <c r="C1382" s="10" t="s">
        <v>1424</v>
      </c>
      <c r="D1382" s="10" t="s">
        <v>42</v>
      </c>
      <c r="E1382" s="10" t="s">
        <v>2</v>
      </c>
      <c r="F1382" s="10" t="s">
        <v>4</v>
      </c>
      <c r="G1382" s="10" t="s">
        <v>46</v>
      </c>
      <c r="H1382" s="10" t="s">
        <v>47</v>
      </c>
      <c r="I1382" s="45">
        <v>3051</v>
      </c>
      <c r="J1382" s="11">
        <v>0</v>
      </c>
      <c r="K1382" s="45">
        <f t="shared" si="148"/>
        <v>3051</v>
      </c>
      <c r="L1382" s="10">
        <v>37</v>
      </c>
      <c r="M1382" s="10">
        <v>3.1</v>
      </c>
      <c r="N1382" s="10" t="b">
        <v>0</v>
      </c>
      <c r="O1382" s="41"/>
      <c r="P1382" s="45">
        <f t="shared" si="149"/>
        <v>1281.4199999999998</v>
      </c>
      <c r="Q1382" s="45">
        <f t="shared" si="150"/>
        <v>1769.5800000000002</v>
      </c>
      <c r="R1382" s="45">
        <v>0</v>
      </c>
      <c r="S1382" s="45">
        <f t="shared" si="151"/>
        <v>0</v>
      </c>
      <c r="T1382" s="45">
        <f t="shared" si="152"/>
        <v>0</v>
      </c>
      <c r="U1382" s="47">
        <f t="shared" si="153"/>
        <v>1769.5800000000002</v>
      </c>
    </row>
    <row r="1383" spans="1:21" x14ac:dyDescent="0.3">
      <c r="A1383" s="41" t="str">
        <f t="shared" si="147"/>
        <v>PZARDR</v>
      </c>
      <c r="B1383" s="43">
        <v>45757</v>
      </c>
      <c r="C1383" s="10" t="s">
        <v>1425</v>
      </c>
      <c r="D1383" s="10" t="s">
        <v>3</v>
      </c>
      <c r="E1383" s="10" t="s">
        <v>30</v>
      </c>
      <c r="F1383" s="10" t="s">
        <v>54</v>
      </c>
      <c r="G1383" s="10" t="s">
        <v>27</v>
      </c>
      <c r="H1383" s="10" t="s">
        <v>47</v>
      </c>
      <c r="I1383" s="45">
        <v>2258</v>
      </c>
      <c r="J1383" s="11">
        <v>0.52800000000000002</v>
      </c>
      <c r="K1383" s="45">
        <f t="shared" si="148"/>
        <v>1065.7759999999998</v>
      </c>
      <c r="L1383" s="10">
        <v>22</v>
      </c>
      <c r="M1383" s="10"/>
      <c r="N1383" s="10" t="b">
        <v>0</v>
      </c>
      <c r="O1383" s="41"/>
      <c r="P1383" s="45">
        <f t="shared" si="149"/>
        <v>447.62591999999989</v>
      </c>
      <c r="Q1383" s="45">
        <f t="shared" si="150"/>
        <v>618.15007999999989</v>
      </c>
      <c r="R1383" s="45">
        <v>0</v>
      </c>
      <c r="S1383" s="45">
        <f t="shared" si="151"/>
        <v>0</v>
      </c>
      <c r="T1383" s="45">
        <f t="shared" si="152"/>
        <v>0</v>
      </c>
      <c r="U1383" s="47">
        <f t="shared" si="153"/>
        <v>618.15007999999989</v>
      </c>
    </row>
    <row r="1384" spans="1:21" x14ac:dyDescent="0.3">
      <c r="A1384" s="41" t="str">
        <f t="shared" si="147"/>
        <v>PMANOU</v>
      </c>
      <c r="B1384" s="43">
        <v>45758</v>
      </c>
      <c r="C1384" s="10" t="s">
        <v>1426</v>
      </c>
      <c r="D1384" s="10" t="s">
        <v>31</v>
      </c>
      <c r="E1384" s="10" t="s">
        <v>2</v>
      </c>
      <c r="F1384" s="10" t="s">
        <v>23</v>
      </c>
      <c r="G1384" s="10" t="s">
        <v>27</v>
      </c>
      <c r="H1384" s="10" t="s">
        <v>43</v>
      </c>
      <c r="I1384" s="45">
        <v>3327</v>
      </c>
      <c r="J1384" s="11">
        <v>9.0000000000000011E-3</v>
      </c>
      <c r="K1384" s="45">
        <f t="shared" si="148"/>
        <v>3297.0569999999998</v>
      </c>
      <c r="L1384" s="10">
        <v>11</v>
      </c>
      <c r="M1384" s="10">
        <v>1.1000000000000001</v>
      </c>
      <c r="N1384" s="10" t="b">
        <v>0</v>
      </c>
      <c r="O1384" s="41"/>
      <c r="P1384" s="45">
        <f t="shared" si="149"/>
        <v>1384.7639399999998</v>
      </c>
      <c r="Q1384" s="45">
        <f t="shared" si="150"/>
        <v>1912.29306</v>
      </c>
      <c r="R1384" s="45">
        <v>0</v>
      </c>
      <c r="S1384" s="45">
        <f t="shared" si="151"/>
        <v>0</v>
      </c>
      <c r="T1384" s="45">
        <f t="shared" si="152"/>
        <v>0</v>
      </c>
      <c r="U1384" s="47">
        <f t="shared" si="153"/>
        <v>1912.29306</v>
      </c>
    </row>
    <row r="1385" spans="1:21" x14ac:dyDescent="0.3">
      <c r="A1385" s="41" t="str">
        <f t="shared" si="147"/>
        <v>PBANDR</v>
      </c>
      <c r="B1385" s="43">
        <v>45758</v>
      </c>
      <c r="C1385" s="10" t="s">
        <v>1427</v>
      </c>
      <c r="D1385" s="10" t="s">
        <v>21</v>
      </c>
      <c r="E1385" s="10" t="s">
        <v>30</v>
      </c>
      <c r="F1385" s="10" t="s">
        <v>54</v>
      </c>
      <c r="G1385" s="10" t="s">
        <v>49</v>
      </c>
      <c r="H1385" s="10" t="s">
        <v>32</v>
      </c>
      <c r="I1385" s="45">
        <v>1843</v>
      </c>
      <c r="J1385" s="11">
        <v>0</v>
      </c>
      <c r="K1385" s="45">
        <f t="shared" si="148"/>
        <v>1843</v>
      </c>
      <c r="L1385" s="10">
        <v>39</v>
      </c>
      <c r="M1385" s="10">
        <v>2.9</v>
      </c>
      <c r="N1385" s="10" t="b">
        <v>0</v>
      </c>
      <c r="O1385" s="41"/>
      <c r="P1385" s="45">
        <f t="shared" si="149"/>
        <v>774.06</v>
      </c>
      <c r="Q1385" s="45">
        <f t="shared" si="150"/>
        <v>1068.94</v>
      </c>
      <c r="R1385" s="45">
        <v>0</v>
      </c>
      <c r="S1385" s="45">
        <f t="shared" si="151"/>
        <v>0</v>
      </c>
      <c r="T1385" s="45">
        <f t="shared" si="152"/>
        <v>0</v>
      </c>
      <c r="U1385" s="47">
        <f t="shared" si="153"/>
        <v>1068.94</v>
      </c>
    </row>
    <row r="1386" spans="1:21" x14ac:dyDescent="0.3">
      <c r="A1386" s="41" t="str">
        <f t="shared" si="147"/>
        <v>PMANDR</v>
      </c>
      <c r="B1386" s="43">
        <v>45758</v>
      </c>
      <c r="C1386" s="10" t="s">
        <v>1428</v>
      </c>
      <c r="D1386" s="10" t="s">
        <v>31</v>
      </c>
      <c r="E1386" s="10" t="s">
        <v>30</v>
      </c>
      <c r="F1386" s="10" t="s">
        <v>23</v>
      </c>
      <c r="G1386" s="10" t="s">
        <v>46</v>
      </c>
      <c r="H1386" s="10" t="s">
        <v>88</v>
      </c>
      <c r="I1386" s="45">
        <v>2861</v>
      </c>
      <c r="J1386" s="11">
        <v>0.37</v>
      </c>
      <c r="K1386" s="45">
        <f t="shared" si="148"/>
        <v>1802.43</v>
      </c>
      <c r="L1386" s="10">
        <v>25</v>
      </c>
      <c r="M1386" s="10"/>
      <c r="N1386" s="10" t="b">
        <v>0</v>
      </c>
      <c r="O1386" s="41"/>
      <c r="P1386" s="45">
        <f t="shared" si="149"/>
        <v>757.02059999999994</v>
      </c>
      <c r="Q1386" s="45">
        <f t="shared" si="150"/>
        <v>1045.4094</v>
      </c>
      <c r="R1386" s="45">
        <v>0</v>
      </c>
      <c r="S1386" s="45">
        <f t="shared" si="151"/>
        <v>0</v>
      </c>
      <c r="T1386" s="45">
        <f t="shared" si="152"/>
        <v>0</v>
      </c>
      <c r="U1386" s="47">
        <f t="shared" si="153"/>
        <v>1045.4094</v>
      </c>
    </row>
    <row r="1387" spans="1:21" x14ac:dyDescent="0.3">
      <c r="A1387" s="41" t="str">
        <f t="shared" si="147"/>
        <v>PUNISH</v>
      </c>
      <c r="B1387" s="43">
        <v>45758</v>
      </c>
      <c r="C1387" s="10" t="s">
        <v>1429</v>
      </c>
      <c r="D1387" s="10" t="s">
        <v>10</v>
      </c>
      <c r="E1387" s="10" t="s">
        <v>18</v>
      </c>
      <c r="F1387" s="10" t="s">
        <v>11</v>
      </c>
      <c r="G1387" s="10" t="s">
        <v>27</v>
      </c>
      <c r="H1387" s="10" t="s">
        <v>32</v>
      </c>
      <c r="I1387" s="45">
        <v>3457</v>
      </c>
      <c r="J1387" s="11">
        <v>0</v>
      </c>
      <c r="K1387" s="45">
        <f t="shared" si="148"/>
        <v>3457</v>
      </c>
      <c r="L1387" s="10">
        <v>14</v>
      </c>
      <c r="M1387" s="10">
        <v>2.7</v>
      </c>
      <c r="N1387" s="10" t="b">
        <v>0</v>
      </c>
      <c r="O1387" s="41"/>
      <c r="P1387" s="45">
        <f t="shared" si="149"/>
        <v>1451.94</v>
      </c>
      <c r="Q1387" s="45">
        <f t="shared" si="150"/>
        <v>2005.06</v>
      </c>
      <c r="R1387" s="45">
        <v>0</v>
      </c>
      <c r="S1387" s="45">
        <f t="shared" si="151"/>
        <v>0</v>
      </c>
      <c r="T1387" s="45">
        <f t="shared" si="152"/>
        <v>0</v>
      </c>
      <c r="U1387" s="47">
        <f t="shared" si="153"/>
        <v>2005.06</v>
      </c>
    </row>
    <row r="1388" spans="1:21" x14ac:dyDescent="0.3">
      <c r="A1388" s="41" t="str">
        <f t="shared" si="147"/>
        <v>PZARBO</v>
      </c>
      <c r="B1388" s="43">
        <v>45759</v>
      </c>
      <c r="C1388" s="10" t="s">
        <v>1430</v>
      </c>
      <c r="D1388" s="10" t="s">
        <v>3</v>
      </c>
      <c r="E1388" s="10" t="s">
        <v>26</v>
      </c>
      <c r="F1388" s="10" t="s">
        <v>54</v>
      </c>
      <c r="G1388" s="10" t="s">
        <v>27</v>
      </c>
      <c r="H1388" s="10" t="s">
        <v>88</v>
      </c>
      <c r="I1388" s="45">
        <v>2613</v>
      </c>
      <c r="J1388" s="11">
        <v>4.5999999999999999E-2</v>
      </c>
      <c r="K1388" s="45">
        <f t="shared" si="148"/>
        <v>2492.8019999999997</v>
      </c>
      <c r="L1388" s="10">
        <v>19</v>
      </c>
      <c r="M1388" s="10">
        <v>4.7</v>
      </c>
      <c r="N1388" s="10" t="b">
        <v>0</v>
      </c>
      <c r="O1388" s="41"/>
      <c r="P1388" s="45">
        <f t="shared" si="149"/>
        <v>1046.9768399999998</v>
      </c>
      <c r="Q1388" s="45">
        <f t="shared" si="150"/>
        <v>1445.8251599999999</v>
      </c>
      <c r="R1388" s="45">
        <v>0</v>
      </c>
      <c r="S1388" s="45">
        <f t="shared" si="151"/>
        <v>0</v>
      </c>
      <c r="T1388" s="45">
        <f t="shared" si="152"/>
        <v>0</v>
      </c>
      <c r="U1388" s="47">
        <f t="shared" si="153"/>
        <v>1445.8251599999999</v>
      </c>
    </row>
    <row r="1389" spans="1:21" x14ac:dyDescent="0.3">
      <c r="A1389" s="41" t="str">
        <f t="shared" si="147"/>
        <v>PFORBO</v>
      </c>
      <c r="B1389" s="43">
        <v>45759</v>
      </c>
      <c r="C1389" s="10" t="s">
        <v>1431</v>
      </c>
      <c r="D1389" s="10" t="s">
        <v>65</v>
      </c>
      <c r="E1389" s="10" t="s">
        <v>26</v>
      </c>
      <c r="F1389" s="10" t="s">
        <v>11</v>
      </c>
      <c r="G1389" s="10" t="s">
        <v>12</v>
      </c>
      <c r="H1389" s="10" t="s">
        <v>88</v>
      </c>
      <c r="I1389" s="45">
        <v>2403</v>
      </c>
      <c r="J1389" s="11">
        <v>0.441</v>
      </c>
      <c r="K1389" s="45">
        <f t="shared" si="148"/>
        <v>1343.2769999999998</v>
      </c>
      <c r="L1389" s="10">
        <v>6</v>
      </c>
      <c r="M1389" s="10">
        <v>2.4</v>
      </c>
      <c r="N1389" s="10" t="b">
        <v>0</v>
      </c>
      <c r="O1389" s="41"/>
      <c r="P1389" s="45">
        <f t="shared" si="149"/>
        <v>564.17633999999987</v>
      </c>
      <c r="Q1389" s="45">
        <f t="shared" si="150"/>
        <v>779.10065999999995</v>
      </c>
      <c r="R1389" s="45">
        <v>0</v>
      </c>
      <c r="S1389" s="45">
        <f t="shared" si="151"/>
        <v>0</v>
      </c>
      <c r="T1389" s="45">
        <f t="shared" si="152"/>
        <v>0</v>
      </c>
      <c r="U1389" s="47">
        <f t="shared" si="153"/>
        <v>779.10065999999995</v>
      </c>
    </row>
    <row r="1390" spans="1:21" x14ac:dyDescent="0.3">
      <c r="A1390" s="41" t="str">
        <f t="shared" si="147"/>
        <v>PH&amp;MSH</v>
      </c>
      <c r="B1390" s="43">
        <v>45759</v>
      </c>
      <c r="C1390" s="10" t="s">
        <v>1432</v>
      </c>
      <c r="D1390" s="10" t="s">
        <v>37</v>
      </c>
      <c r="E1390" s="10" t="s">
        <v>18</v>
      </c>
      <c r="F1390" s="10" t="s">
        <v>4</v>
      </c>
      <c r="G1390" s="10" t="s">
        <v>49</v>
      </c>
      <c r="H1390" s="10" t="s">
        <v>35</v>
      </c>
      <c r="I1390" s="45">
        <v>4037</v>
      </c>
      <c r="J1390" s="11">
        <v>0</v>
      </c>
      <c r="K1390" s="45">
        <f t="shared" si="148"/>
        <v>4037</v>
      </c>
      <c r="L1390" s="10">
        <v>41</v>
      </c>
      <c r="M1390" s="10">
        <v>4</v>
      </c>
      <c r="N1390" s="10" t="b">
        <v>1</v>
      </c>
      <c r="O1390" s="41" t="s">
        <v>33</v>
      </c>
      <c r="P1390" s="45">
        <f t="shared" si="149"/>
        <v>1695.54</v>
      </c>
      <c r="Q1390" s="45">
        <f t="shared" si="150"/>
        <v>2341.46</v>
      </c>
      <c r="R1390" s="45">
        <v>150</v>
      </c>
      <c r="S1390" s="45">
        <f t="shared" si="151"/>
        <v>403.70000000000005</v>
      </c>
      <c r="T1390" s="45">
        <f t="shared" si="152"/>
        <v>4037</v>
      </c>
      <c r="U1390" s="47">
        <f t="shared" si="153"/>
        <v>-2249.2399999999998</v>
      </c>
    </row>
    <row r="1391" spans="1:21" x14ac:dyDescent="0.3">
      <c r="A1391" s="41" t="str">
        <f t="shared" si="147"/>
        <v>PBANTO</v>
      </c>
      <c r="B1391" s="43">
        <v>45759</v>
      </c>
      <c r="C1391" s="10" t="s">
        <v>1433</v>
      </c>
      <c r="D1391" s="10" t="s">
        <v>21</v>
      </c>
      <c r="E1391" s="10" t="s">
        <v>9</v>
      </c>
      <c r="F1391" s="10" t="s">
        <v>23</v>
      </c>
      <c r="G1391" s="10" t="s">
        <v>27</v>
      </c>
      <c r="H1391" s="10" t="s">
        <v>28</v>
      </c>
      <c r="I1391" s="45">
        <v>1450</v>
      </c>
      <c r="J1391" s="11">
        <v>0</v>
      </c>
      <c r="K1391" s="45">
        <f t="shared" si="148"/>
        <v>1450</v>
      </c>
      <c r="L1391" s="10">
        <v>49</v>
      </c>
      <c r="M1391" s="10">
        <v>1.5</v>
      </c>
      <c r="N1391" s="10" t="b">
        <v>1</v>
      </c>
      <c r="O1391" s="41" t="s">
        <v>44</v>
      </c>
      <c r="P1391" s="45">
        <f t="shared" si="149"/>
        <v>609</v>
      </c>
      <c r="Q1391" s="45">
        <f t="shared" si="150"/>
        <v>841</v>
      </c>
      <c r="R1391" s="45">
        <v>150</v>
      </c>
      <c r="S1391" s="45">
        <f t="shared" si="151"/>
        <v>145</v>
      </c>
      <c r="T1391" s="45">
        <f t="shared" si="152"/>
        <v>1450</v>
      </c>
      <c r="U1391" s="47">
        <f t="shared" si="153"/>
        <v>-904</v>
      </c>
    </row>
    <row r="1392" spans="1:21" x14ac:dyDescent="0.3">
      <c r="A1392" s="41" t="str">
        <f t="shared" si="147"/>
        <v>PGAPDR</v>
      </c>
      <c r="B1392" s="43">
        <v>45760</v>
      </c>
      <c r="C1392" s="10" t="s">
        <v>1434</v>
      </c>
      <c r="D1392" s="10" t="s">
        <v>53</v>
      </c>
      <c r="E1392" s="10" t="s">
        <v>30</v>
      </c>
      <c r="F1392" s="10" t="s">
        <v>11</v>
      </c>
      <c r="G1392" s="10" t="s">
        <v>38</v>
      </c>
      <c r="H1392" s="10" t="s">
        <v>35</v>
      </c>
      <c r="I1392" s="45">
        <v>2155</v>
      </c>
      <c r="J1392" s="11">
        <v>0</v>
      </c>
      <c r="K1392" s="45">
        <f t="shared" si="148"/>
        <v>2155</v>
      </c>
      <c r="L1392" s="10">
        <v>35</v>
      </c>
      <c r="M1392" s="10">
        <v>1.8</v>
      </c>
      <c r="N1392" s="10" t="b">
        <v>0</v>
      </c>
      <c r="O1392" s="41"/>
      <c r="P1392" s="45">
        <f t="shared" si="149"/>
        <v>905.1</v>
      </c>
      <c r="Q1392" s="45">
        <f t="shared" si="150"/>
        <v>1249.9000000000001</v>
      </c>
      <c r="R1392" s="45">
        <v>0</v>
      </c>
      <c r="S1392" s="45">
        <f t="shared" si="151"/>
        <v>0</v>
      </c>
      <c r="T1392" s="45">
        <f t="shared" si="152"/>
        <v>0</v>
      </c>
      <c r="U1392" s="47">
        <f t="shared" si="153"/>
        <v>1249.9000000000001</v>
      </c>
    </row>
    <row r="1393" spans="1:21" x14ac:dyDescent="0.3">
      <c r="A1393" s="41" t="str">
        <f t="shared" si="147"/>
        <v>PANNOU</v>
      </c>
      <c r="B1393" s="43">
        <v>45760</v>
      </c>
      <c r="C1393" s="10" t="s">
        <v>1435</v>
      </c>
      <c r="D1393" s="10" t="s">
        <v>42</v>
      </c>
      <c r="E1393" s="10" t="s">
        <v>2</v>
      </c>
      <c r="F1393" s="10" t="s">
        <v>11</v>
      </c>
      <c r="G1393" s="10" t="s">
        <v>46</v>
      </c>
      <c r="H1393" s="10" t="s">
        <v>13</v>
      </c>
      <c r="I1393" s="45">
        <v>4426</v>
      </c>
      <c r="J1393" s="11">
        <v>0</v>
      </c>
      <c r="K1393" s="45">
        <f t="shared" si="148"/>
        <v>4426</v>
      </c>
      <c r="L1393" s="10">
        <v>1</v>
      </c>
      <c r="M1393" s="10">
        <v>1</v>
      </c>
      <c r="N1393" s="10" t="b">
        <v>0</v>
      </c>
      <c r="O1393" s="41"/>
      <c r="P1393" s="45">
        <f t="shared" si="149"/>
        <v>1858.9199999999998</v>
      </c>
      <c r="Q1393" s="45">
        <f t="shared" si="150"/>
        <v>2567.08</v>
      </c>
      <c r="R1393" s="45">
        <v>0</v>
      </c>
      <c r="S1393" s="45">
        <f t="shared" si="151"/>
        <v>0</v>
      </c>
      <c r="T1393" s="45">
        <f t="shared" si="152"/>
        <v>0</v>
      </c>
      <c r="U1393" s="47">
        <f t="shared" si="153"/>
        <v>2567.08</v>
      </c>
    </row>
    <row r="1394" spans="1:21" x14ac:dyDescent="0.3">
      <c r="A1394" s="41" t="str">
        <f t="shared" si="147"/>
        <v>PGAPTO</v>
      </c>
      <c r="B1394" s="43">
        <v>45760</v>
      </c>
      <c r="C1394" s="10" t="s">
        <v>1436</v>
      </c>
      <c r="D1394" s="10" t="s">
        <v>53</v>
      </c>
      <c r="E1394" s="10" t="s">
        <v>9</v>
      </c>
      <c r="F1394" s="10" t="s">
        <v>4</v>
      </c>
      <c r="G1394" s="10" t="s">
        <v>27</v>
      </c>
      <c r="H1394" s="10" t="s">
        <v>6</v>
      </c>
      <c r="I1394" s="45">
        <v>1540</v>
      </c>
      <c r="J1394" s="11">
        <v>0</v>
      </c>
      <c r="K1394" s="45">
        <f t="shared" si="148"/>
        <v>1540</v>
      </c>
      <c r="L1394" s="10">
        <v>25</v>
      </c>
      <c r="M1394" s="10">
        <v>3.9</v>
      </c>
      <c r="N1394" s="10" t="b">
        <v>0</v>
      </c>
      <c r="O1394" s="41"/>
      <c r="P1394" s="45">
        <f t="shared" si="149"/>
        <v>646.79999999999995</v>
      </c>
      <c r="Q1394" s="45">
        <f t="shared" si="150"/>
        <v>893.2</v>
      </c>
      <c r="R1394" s="45">
        <v>0</v>
      </c>
      <c r="S1394" s="45">
        <f t="shared" si="151"/>
        <v>0</v>
      </c>
      <c r="T1394" s="45">
        <f t="shared" si="152"/>
        <v>0</v>
      </c>
      <c r="U1394" s="47">
        <f t="shared" si="153"/>
        <v>893.2</v>
      </c>
    </row>
    <row r="1395" spans="1:21" x14ac:dyDescent="0.3">
      <c r="A1395" s="41" t="str">
        <f t="shared" si="147"/>
        <v>PBANBO</v>
      </c>
      <c r="B1395" s="43">
        <v>45760</v>
      </c>
      <c r="C1395" s="10" t="s">
        <v>1437</v>
      </c>
      <c r="D1395" s="10" t="s">
        <v>21</v>
      </c>
      <c r="E1395" s="10" t="s">
        <v>26</v>
      </c>
      <c r="F1395" s="10" t="s">
        <v>54</v>
      </c>
      <c r="G1395" s="10" t="s">
        <v>46</v>
      </c>
      <c r="H1395" s="10" t="s">
        <v>16</v>
      </c>
      <c r="I1395" s="45">
        <v>2403</v>
      </c>
      <c r="J1395" s="11">
        <v>0</v>
      </c>
      <c r="K1395" s="45">
        <f t="shared" si="148"/>
        <v>2403</v>
      </c>
      <c r="L1395" s="10">
        <v>27</v>
      </c>
      <c r="M1395" s="10">
        <v>2.8</v>
      </c>
      <c r="N1395" s="10" t="b">
        <v>0</v>
      </c>
      <c r="O1395" s="41"/>
      <c r="P1395" s="45">
        <f t="shared" si="149"/>
        <v>1009.26</v>
      </c>
      <c r="Q1395" s="45">
        <f t="shared" si="150"/>
        <v>1393.74</v>
      </c>
      <c r="R1395" s="45">
        <v>0</v>
      </c>
      <c r="S1395" s="45">
        <f t="shared" si="151"/>
        <v>0</v>
      </c>
      <c r="T1395" s="45">
        <f t="shared" si="152"/>
        <v>0</v>
      </c>
      <c r="U1395" s="47">
        <f t="shared" si="153"/>
        <v>1393.74</v>
      </c>
    </row>
    <row r="1396" spans="1:21" x14ac:dyDescent="0.3">
      <c r="A1396" s="41" t="str">
        <f t="shared" si="147"/>
        <v>PGAPTO</v>
      </c>
      <c r="B1396" s="43">
        <v>45761</v>
      </c>
      <c r="C1396" s="10" t="s">
        <v>1438</v>
      </c>
      <c r="D1396" s="10" t="s">
        <v>53</v>
      </c>
      <c r="E1396" s="10" t="s">
        <v>9</v>
      </c>
      <c r="F1396" s="10" t="s">
        <v>54</v>
      </c>
      <c r="G1396" s="10" t="s">
        <v>5</v>
      </c>
      <c r="H1396" s="10" t="s">
        <v>32</v>
      </c>
      <c r="I1396" s="45">
        <v>1456</v>
      </c>
      <c r="J1396" s="11">
        <v>0.55200000000000005</v>
      </c>
      <c r="K1396" s="45">
        <f t="shared" si="148"/>
        <v>652.2879999999999</v>
      </c>
      <c r="L1396" s="10">
        <v>26</v>
      </c>
      <c r="M1396" s="10">
        <v>3</v>
      </c>
      <c r="N1396" s="10" t="b">
        <v>0</v>
      </c>
      <c r="O1396" s="41"/>
      <c r="P1396" s="45">
        <f t="shared" si="149"/>
        <v>273.96095999999994</v>
      </c>
      <c r="Q1396" s="45">
        <f t="shared" si="150"/>
        <v>378.32703999999995</v>
      </c>
      <c r="R1396" s="45">
        <v>0</v>
      </c>
      <c r="S1396" s="45">
        <f t="shared" si="151"/>
        <v>0</v>
      </c>
      <c r="T1396" s="45">
        <f t="shared" si="152"/>
        <v>0</v>
      </c>
      <c r="U1396" s="47">
        <f t="shared" si="153"/>
        <v>378.32703999999995</v>
      </c>
    </row>
    <row r="1397" spans="1:21" x14ac:dyDescent="0.3">
      <c r="A1397" s="41" t="str">
        <f t="shared" si="147"/>
        <v>PGAPSH</v>
      </c>
      <c r="B1397" s="43">
        <v>45761</v>
      </c>
      <c r="C1397" s="10" t="s">
        <v>1439</v>
      </c>
      <c r="D1397" s="10" t="s">
        <v>53</v>
      </c>
      <c r="E1397" s="10" t="s">
        <v>18</v>
      </c>
      <c r="F1397" s="10" t="s">
        <v>54</v>
      </c>
      <c r="G1397" s="10" t="s">
        <v>27</v>
      </c>
      <c r="H1397" s="10" t="s">
        <v>35</v>
      </c>
      <c r="I1397" s="45">
        <v>4233</v>
      </c>
      <c r="J1397" s="11">
        <v>0.58399999999999996</v>
      </c>
      <c r="K1397" s="45">
        <f t="shared" si="148"/>
        <v>1760.9280000000001</v>
      </c>
      <c r="L1397" s="10">
        <v>45</v>
      </c>
      <c r="M1397" s="10">
        <v>1.1000000000000001</v>
      </c>
      <c r="N1397" s="10" t="b">
        <v>0</v>
      </c>
      <c r="O1397" s="41"/>
      <c r="P1397" s="45">
        <f t="shared" si="149"/>
        <v>739.58976000000007</v>
      </c>
      <c r="Q1397" s="45">
        <f t="shared" si="150"/>
        <v>1021.33824</v>
      </c>
      <c r="R1397" s="45">
        <v>0</v>
      </c>
      <c r="S1397" s="45">
        <f t="shared" si="151"/>
        <v>0</v>
      </c>
      <c r="T1397" s="45">
        <f t="shared" si="152"/>
        <v>0</v>
      </c>
      <c r="U1397" s="47">
        <f t="shared" si="153"/>
        <v>1021.33824</v>
      </c>
    </row>
    <row r="1398" spans="1:21" x14ac:dyDescent="0.3">
      <c r="A1398" s="41" t="str">
        <f t="shared" si="147"/>
        <v>PANNSH</v>
      </c>
      <c r="B1398" s="43">
        <v>45761</v>
      </c>
      <c r="C1398" s="10" t="s">
        <v>1440</v>
      </c>
      <c r="D1398" s="10" t="s">
        <v>42</v>
      </c>
      <c r="E1398" s="10" t="s">
        <v>18</v>
      </c>
      <c r="F1398" s="10" t="s">
        <v>54</v>
      </c>
      <c r="G1398" s="10" t="s">
        <v>12</v>
      </c>
      <c r="H1398" s="10" t="s">
        <v>28</v>
      </c>
      <c r="I1398" s="45">
        <v>3684</v>
      </c>
      <c r="J1398" s="11">
        <v>0.58799999999999997</v>
      </c>
      <c r="K1398" s="45">
        <f t="shared" si="148"/>
        <v>1517.8080000000002</v>
      </c>
      <c r="L1398" s="10">
        <v>37</v>
      </c>
      <c r="M1398" s="10">
        <v>4.5999999999999996</v>
      </c>
      <c r="N1398" s="10" t="b">
        <v>0</v>
      </c>
      <c r="O1398" s="41"/>
      <c r="P1398" s="45">
        <f t="shared" si="149"/>
        <v>637.47936000000004</v>
      </c>
      <c r="Q1398" s="45">
        <f t="shared" si="150"/>
        <v>880.32864000000018</v>
      </c>
      <c r="R1398" s="45">
        <v>0</v>
      </c>
      <c r="S1398" s="45">
        <f t="shared" si="151"/>
        <v>0</v>
      </c>
      <c r="T1398" s="45">
        <f t="shared" si="152"/>
        <v>0</v>
      </c>
      <c r="U1398" s="47">
        <f t="shared" si="153"/>
        <v>880.32864000000018</v>
      </c>
    </row>
    <row r="1399" spans="1:21" x14ac:dyDescent="0.3">
      <c r="A1399" s="41" t="str">
        <f t="shared" si="147"/>
        <v>PFORSH</v>
      </c>
      <c r="B1399" s="43">
        <v>45762</v>
      </c>
      <c r="C1399" s="10" t="s">
        <v>1441</v>
      </c>
      <c r="D1399" s="10" t="s">
        <v>65</v>
      </c>
      <c r="E1399" s="10" t="s">
        <v>18</v>
      </c>
      <c r="F1399" s="10" t="s">
        <v>11</v>
      </c>
      <c r="G1399" s="10" t="s">
        <v>46</v>
      </c>
      <c r="H1399" s="10" t="s">
        <v>43</v>
      </c>
      <c r="I1399" s="45">
        <v>3360</v>
      </c>
      <c r="J1399" s="11">
        <v>0</v>
      </c>
      <c r="K1399" s="45">
        <f t="shared" si="148"/>
        <v>3360</v>
      </c>
      <c r="L1399" s="10">
        <v>47</v>
      </c>
      <c r="M1399" s="10">
        <v>4.0999999999999996</v>
      </c>
      <c r="N1399" s="10" t="b">
        <v>0</v>
      </c>
      <c r="O1399" s="41"/>
      <c r="P1399" s="45">
        <f t="shared" si="149"/>
        <v>1411.2</v>
      </c>
      <c r="Q1399" s="45">
        <f t="shared" si="150"/>
        <v>1948.8</v>
      </c>
      <c r="R1399" s="45">
        <v>0</v>
      </c>
      <c r="S1399" s="45">
        <f t="shared" si="151"/>
        <v>0</v>
      </c>
      <c r="T1399" s="45">
        <f t="shared" si="152"/>
        <v>0</v>
      </c>
      <c r="U1399" s="47">
        <f t="shared" si="153"/>
        <v>1948.8</v>
      </c>
    </row>
    <row r="1400" spans="1:21" x14ac:dyDescent="0.3">
      <c r="A1400" s="41" t="str">
        <f t="shared" si="147"/>
        <v>PANNTO</v>
      </c>
      <c r="B1400" s="43">
        <v>45762</v>
      </c>
      <c r="C1400" s="10" t="s">
        <v>1442</v>
      </c>
      <c r="D1400" s="10" t="s">
        <v>42</v>
      </c>
      <c r="E1400" s="10" t="s">
        <v>9</v>
      </c>
      <c r="F1400" s="10" t="s">
        <v>54</v>
      </c>
      <c r="G1400" s="10" t="s">
        <v>49</v>
      </c>
      <c r="H1400" s="10" t="s">
        <v>88</v>
      </c>
      <c r="I1400" s="45">
        <v>1749</v>
      </c>
      <c r="J1400" s="11">
        <v>0</v>
      </c>
      <c r="K1400" s="45">
        <f t="shared" si="148"/>
        <v>1749</v>
      </c>
      <c r="L1400" s="10">
        <v>25</v>
      </c>
      <c r="M1400" s="10">
        <v>4.7</v>
      </c>
      <c r="N1400" s="10" t="b">
        <v>0</v>
      </c>
      <c r="O1400" s="41"/>
      <c r="P1400" s="45">
        <f t="shared" si="149"/>
        <v>734.57999999999993</v>
      </c>
      <c r="Q1400" s="45">
        <f t="shared" si="150"/>
        <v>1014.4200000000001</v>
      </c>
      <c r="R1400" s="45">
        <v>0</v>
      </c>
      <c r="S1400" s="45">
        <f t="shared" si="151"/>
        <v>0</v>
      </c>
      <c r="T1400" s="45">
        <f t="shared" si="152"/>
        <v>0</v>
      </c>
      <c r="U1400" s="47">
        <f t="shared" si="153"/>
        <v>1014.4200000000001</v>
      </c>
    </row>
    <row r="1401" spans="1:21" x14ac:dyDescent="0.3">
      <c r="A1401" s="41" t="str">
        <f t="shared" si="147"/>
        <v>PZAROU</v>
      </c>
      <c r="B1401" s="43">
        <v>45762</v>
      </c>
      <c r="C1401" s="10" t="s">
        <v>1443</v>
      </c>
      <c r="D1401" s="10" t="s">
        <v>3</v>
      </c>
      <c r="E1401" s="10" t="s">
        <v>2</v>
      </c>
      <c r="F1401" s="10" t="s">
        <v>11</v>
      </c>
      <c r="G1401" s="10" t="s">
        <v>49</v>
      </c>
      <c r="H1401" s="10" t="s">
        <v>43</v>
      </c>
      <c r="I1401" s="45">
        <v>4348</v>
      </c>
      <c r="J1401" s="11">
        <v>0</v>
      </c>
      <c r="K1401" s="45">
        <f t="shared" si="148"/>
        <v>4348</v>
      </c>
      <c r="L1401" s="10">
        <v>45</v>
      </c>
      <c r="M1401" s="10">
        <v>3.4</v>
      </c>
      <c r="N1401" s="10" t="b">
        <v>1</v>
      </c>
      <c r="O1401" s="41" t="s">
        <v>309</v>
      </c>
      <c r="P1401" s="45">
        <f t="shared" si="149"/>
        <v>1826.1599999999999</v>
      </c>
      <c r="Q1401" s="45">
        <f t="shared" si="150"/>
        <v>2521.84</v>
      </c>
      <c r="R1401" s="45">
        <v>150</v>
      </c>
      <c r="S1401" s="45">
        <f t="shared" si="151"/>
        <v>434.8</v>
      </c>
      <c r="T1401" s="45">
        <f t="shared" si="152"/>
        <v>4348</v>
      </c>
      <c r="U1401" s="47">
        <f t="shared" si="153"/>
        <v>-2410.96</v>
      </c>
    </row>
    <row r="1402" spans="1:21" x14ac:dyDescent="0.3">
      <c r="A1402" s="41" t="str">
        <f t="shared" si="147"/>
        <v>PBANSH</v>
      </c>
      <c r="B1402" s="43">
        <v>45762</v>
      </c>
      <c r="C1402" s="10" t="s">
        <v>1444</v>
      </c>
      <c r="D1402" s="10" t="s">
        <v>21</v>
      </c>
      <c r="E1402" s="10" t="s">
        <v>18</v>
      </c>
      <c r="F1402" s="10" t="s">
        <v>4</v>
      </c>
      <c r="G1402" s="10" t="s">
        <v>49</v>
      </c>
      <c r="H1402" s="10" t="s">
        <v>32</v>
      </c>
      <c r="I1402" s="45">
        <v>3745</v>
      </c>
      <c r="J1402" s="11">
        <v>0</v>
      </c>
      <c r="K1402" s="45">
        <f t="shared" si="148"/>
        <v>3745</v>
      </c>
      <c r="L1402" s="10">
        <v>24</v>
      </c>
      <c r="M1402" s="10">
        <v>4.3</v>
      </c>
      <c r="N1402" s="10" t="b">
        <v>1</v>
      </c>
      <c r="O1402" s="41" t="s">
        <v>44</v>
      </c>
      <c r="P1402" s="45">
        <f t="shared" si="149"/>
        <v>1572.8999999999999</v>
      </c>
      <c r="Q1402" s="45">
        <f t="shared" si="150"/>
        <v>2172.1000000000004</v>
      </c>
      <c r="R1402" s="45">
        <v>150</v>
      </c>
      <c r="S1402" s="45">
        <f t="shared" si="151"/>
        <v>374.5</v>
      </c>
      <c r="T1402" s="45">
        <f t="shared" si="152"/>
        <v>3745</v>
      </c>
      <c r="U1402" s="47">
        <f t="shared" si="153"/>
        <v>-2097.3999999999996</v>
      </c>
    </row>
    <row r="1403" spans="1:21" x14ac:dyDescent="0.3">
      <c r="A1403" s="41" t="str">
        <f t="shared" si="147"/>
        <v>PBANTO</v>
      </c>
      <c r="B1403" s="43">
        <v>45763</v>
      </c>
      <c r="C1403" s="10" t="s">
        <v>1445</v>
      </c>
      <c r="D1403" s="10" t="s">
        <v>21</v>
      </c>
      <c r="E1403" s="10" t="s">
        <v>9</v>
      </c>
      <c r="F1403" s="10" t="s">
        <v>23</v>
      </c>
      <c r="G1403" s="10" t="s">
        <v>38</v>
      </c>
      <c r="H1403" s="10" t="s">
        <v>88</v>
      </c>
      <c r="I1403" s="45">
        <v>1146</v>
      </c>
      <c r="J1403" s="11">
        <v>0</v>
      </c>
      <c r="K1403" s="45">
        <f t="shared" si="148"/>
        <v>1146</v>
      </c>
      <c r="L1403" s="10">
        <v>46</v>
      </c>
      <c r="M1403" s="10">
        <v>4.5</v>
      </c>
      <c r="N1403" s="10" t="b">
        <v>0</v>
      </c>
      <c r="O1403" s="41"/>
      <c r="P1403" s="45">
        <f t="shared" si="149"/>
        <v>481.32</v>
      </c>
      <c r="Q1403" s="45">
        <f t="shared" si="150"/>
        <v>664.68000000000006</v>
      </c>
      <c r="R1403" s="45">
        <v>0</v>
      </c>
      <c r="S1403" s="45">
        <f t="shared" si="151"/>
        <v>0</v>
      </c>
      <c r="T1403" s="45">
        <f t="shared" si="152"/>
        <v>0</v>
      </c>
      <c r="U1403" s="47">
        <f t="shared" si="153"/>
        <v>664.68000000000006</v>
      </c>
    </row>
    <row r="1404" spans="1:21" x14ac:dyDescent="0.3">
      <c r="A1404" s="41" t="str">
        <f t="shared" si="147"/>
        <v>PH&amp;MTO</v>
      </c>
      <c r="B1404" s="43">
        <v>45763</v>
      </c>
      <c r="C1404" s="10" t="s">
        <v>1446</v>
      </c>
      <c r="D1404" s="10" t="s">
        <v>37</v>
      </c>
      <c r="E1404" s="10" t="s">
        <v>9</v>
      </c>
      <c r="F1404" s="10" t="s">
        <v>54</v>
      </c>
      <c r="G1404" s="10" t="s">
        <v>12</v>
      </c>
      <c r="H1404" s="10" t="s">
        <v>56</v>
      </c>
      <c r="I1404" s="45">
        <v>948</v>
      </c>
      <c r="J1404" s="11">
        <v>0</v>
      </c>
      <c r="K1404" s="45">
        <f t="shared" si="148"/>
        <v>948</v>
      </c>
      <c r="L1404" s="10">
        <v>17</v>
      </c>
      <c r="M1404" s="10">
        <v>1.6</v>
      </c>
      <c r="N1404" s="10" t="b">
        <v>0</v>
      </c>
      <c r="O1404" s="41"/>
      <c r="P1404" s="45">
        <f t="shared" si="149"/>
        <v>398.15999999999997</v>
      </c>
      <c r="Q1404" s="45">
        <f t="shared" si="150"/>
        <v>549.84</v>
      </c>
      <c r="R1404" s="45">
        <v>0</v>
      </c>
      <c r="S1404" s="45">
        <f t="shared" si="151"/>
        <v>0</v>
      </c>
      <c r="T1404" s="45">
        <f t="shared" si="152"/>
        <v>0</v>
      </c>
      <c r="U1404" s="47">
        <f t="shared" si="153"/>
        <v>549.84</v>
      </c>
    </row>
    <row r="1405" spans="1:21" x14ac:dyDescent="0.3">
      <c r="A1405" s="41" t="str">
        <f t="shared" si="147"/>
        <v>PH&amp;MTO</v>
      </c>
      <c r="B1405" s="43">
        <v>45763</v>
      </c>
      <c r="C1405" s="10" t="s">
        <v>1447</v>
      </c>
      <c r="D1405" s="10" t="s">
        <v>37</v>
      </c>
      <c r="E1405" s="10" t="s">
        <v>9</v>
      </c>
      <c r="F1405" s="10" t="s">
        <v>4</v>
      </c>
      <c r="G1405" s="10" t="s">
        <v>27</v>
      </c>
      <c r="H1405" s="10" t="s">
        <v>35</v>
      </c>
      <c r="I1405" s="45">
        <v>1563</v>
      </c>
      <c r="J1405" s="11">
        <v>0.436</v>
      </c>
      <c r="K1405" s="45">
        <f t="shared" si="148"/>
        <v>881.53200000000004</v>
      </c>
      <c r="L1405" s="10">
        <v>21</v>
      </c>
      <c r="M1405" s="10">
        <v>4.4000000000000004</v>
      </c>
      <c r="N1405" s="10" t="b">
        <v>0</v>
      </c>
      <c r="O1405" s="41"/>
      <c r="P1405" s="45">
        <f t="shared" si="149"/>
        <v>370.24344000000002</v>
      </c>
      <c r="Q1405" s="45">
        <f t="shared" si="150"/>
        <v>511.28856000000002</v>
      </c>
      <c r="R1405" s="45">
        <v>0</v>
      </c>
      <c r="S1405" s="45">
        <f t="shared" si="151"/>
        <v>0</v>
      </c>
      <c r="T1405" s="45">
        <f t="shared" si="152"/>
        <v>0</v>
      </c>
      <c r="U1405" s="47">
        <f t="shared" si="153"/>
        <v>511.28856000000002</v>
      </c>
    </row>
    <row r="1406" spans="1:21" x14ac:dyDescent="0.3">
      <c r="A1406" s="41" t="str">
        <f t="shared" si="147"/>
        <v>PZARAC</v>
      </c>
      <c r="B1406" s="43">
        <v>45763</v>
      </c>
      <c r="C1406" s="10" t="s">
        <v>1448</v>
      </c>
      <c r="D1406" s="10" t="s">
        <v>3</v>
      </c>
      <c r="E1406" s="10" t="s">
        <v>15</v>
      </c>
      <c r="F1406" s="10" t="s">
        <v>23</v>
      </c>
      <c r="G1406" s="10" t="s">
        <v>7</v>
      </c>
      <c r="H1406" s="10" t="s">
        <v>35</v>
      </c>
      <c r="I1406" s="45">
        <v>166</v>
      </c>
      <c r="J1406" s="11">
        <v>0</v>
      </c>
      <c r="K1406" s="45">
        <f t="shared" si="148"/>
        <v>166</v>
      </c>
      <c r="L1406" s="10">
        <v>22</v>
      </c>
      <c r="M1406" s="10">
        <v>1.1000000000000001</v>
      </c>
      <c r="N1406" s="10" t="b">
        <v>0</v>
      </c>
      <c r="O1406" s="41"/>
      <c r="P1406" s="45">
        <f t="shared" si="149"/>
        <v>69.72</v>
      </c>
      <c r="Q1406" s="45">
        <f t="shared" si="150"/>
        <v>96.28</v>
      </c>
      <c r="R1406" s="45">
        <v>0</v>
      </c>
      <c r="S1406" s="45">
        <f t="shared" si="151"/>
        <v>0</v>
      </c>
      <c r="T1406" s="45">
        <f t="shared" si="152"/>
        <v>0</v>
      </c>
      <c r="U1406" s="47">
        <f t="shared" si="153"/>
        <v>96.28</v>
      </c>
    </row>
    <row r="1407" spans="1:21" x14ac:dyDescent="0.3">
      <c r="A1407" s="41" t="str">
        <f t="shared" si="147"/>
        <v>PMANSH</v>
      </c>
      <c r="B1407" s="43">
        <v>45763</v>
      </c>
      <c r="C1407" s="10" t="s">
        <v>1449</v>
      </c>
      <c r="D1407" s="10" t="s">
        <v>31</v>
      </c>
      <c r="E1407" s="10" t="s">
        <v>18</v>
      </c>
      <c r="F1407" s="10" t="s">
        <v>54</v>
      </c>
      <c r="G1407" s="10" t="s">
        <v>7</v>
      </c>
      <c r="H1407" s="10" t="s">
        <v>13</v>
      </c>
      <c r="I1407" s="45">
        <v>3699</v>
      </c>
      <c r="J1407" s="11">
        <v>0</v>
      </c>
      <c r="K1407" s="45">
        <f t="shared" si="148"/>
        <v>3699</v>
      </c>
      <c r="L1407" s="10">
        <v>14</v>
      </c>
      <c r="M1407" s="10"/>
      <c r="N1407" s="10" t="b">
        <v>0</v>
      </c>
      <c r="O1407" s="41"/>
      <c r="P1407" s="45">
        <f t="shared" si="149"/>
        <v>1553.58</v>
      </c>
      <c r="Q1407" s="45">
        <f t="shared" si="150"/>
        <v>2145.42</v>
      </c>
      <c r="R1407" s="45">
        <v>0</v>
      </c>
      <c r="S1407" s="45">
        <f t="shared" si="151"/>
        <v>0</v>
      </c>
      <c r="T1407" s="45">
        <f t="shared" si="152"/>
        <v>0</v>
      </c>
      <c r="U1407" s="47">
        <f t="shared" si="153"/>
        <v>2145.42</v>
      </c>
    </row>
    <row r="1408" spans="1:21" x14ac:dyDescent="0.3">
      <c r="A1408" s="41" t="str">
        <f t="shared" si="147"/>
        <v>PH&amp;MAC</v>
      </c>
      <c r="B1408" s="43">
        <v>45764</v>
      </c>
      <c r="C1408" s="10" t="s">
        <v>1450</v>
      </c>
      <c r="D1408" s="10" t="s">
        <v>37</v>
      </c>
      <c r="E1408" s="10" t="s">
        <v>15</v>
      </c>
      <c r="F1408" s="10" t="s">
        <v>4</v>
      </c>
      <c r="G1408" s="10" t="s">
        <v>7</v>
      </c>
      <c r="H1408" s="10" t="s">
        <v>35</v>
      </c>
      <c r="I1408" s="45">
        <v>261</v>
      </c>
      <c r="J1408" s="11">
        <v>0</v>
      </c>
      <c r="K1408" s="45">
        <f t="shared" si="148"/>
        <v>261</v>
      </c>
      <c r="L1408" s="10">
        <v>28</v>
      </c>
      <c r="M1408" s="10">
        <v>4.7</v>
      </c>
      <c r="N1408" s="10" t="b">
        <v>0</v>
      </c>
      <c r="O1408" s="41"/>
      <c r="P1408" s="45">
        <f t="shared" si="149"/>
        <v>109.61999999999999</v>
      </c>
      <c r="Q1408" s="45">
        <f t="shared" si="150"/>
        <v>151.38</v>
      </c>
      <c r="R1408" s="45">
        <v>0</v>
      </c>
      <c r="S1408" s="45">
        <f t="shared" si="151"/>
        <v>0</v>
      </c>
      <c r="T1408" s="45">
        <f t="shared" si="152"/>
        <v>0</v>
      </c>
      <c r="U1408" s="47">
        <f t="shared" si="153"/>
        <v>151.38</v>
      </c>
    </row>
    <row r="1409" spans="1:21" x14ac:dyDescent="0.3">
      <c r="A1409" s="41" t="str">
        <f t="shared" si="147"/>
        <v>PMANTO</v>
      </c>
      <c r="B1409" s="43">
        <v>45764</v>
      </c>
      <c r="C1409" s="10" t="s">
        <v>1451</v>
      </c>
      <c r="D1409" s="10" t="s">
        <v>31</v>
      </c>
      <c r="E1409" s="10" t="s">
        <v>9</v>
      </c>
      <c r="F1409" s="10" t="s">
        <v>23</v>
      </c>
      <c r="G1409" s="10" t="s">
        <v>12</v>
      </c>
      <c r="H1409" s="10" t="s">
        <v>43</v>
      </c>
      <c r="I1409" s="45">
        <v>1669</v>
      </c>
      <c r="J1409" s="11">
        <v>0</v>
      </c>
      <c r="K1409" s="45">
        <f t="shared" si="148"/>
        <v>1669</v>
      </c>
      <c r="L1409" s="10">
        <v>26</v>
      </c>
      <c r="M1409" s="10"/>
      <c r="N1409" s="10" t="b">
        <v>0</v>
      </c>
      <c r="O1409" s="41"/>
      <c r="P1409" s="45">
        <f t="shared" si="149"/>
        <v>700.98</v>
      </c>
      <c r="Q1409" s="45">
        <f t="shared" si="150"/>
        <v>968.02</v>
      </c>
      <c r="R1409" s="45">
        <v>0</v>
      </c>
      <c r="S1409" s="45">
        <f t="shared" si="151"/>
        <v>0</v>
      </c>
      <c r="T1409" s="45">
        <f t="shared" si="152"/>
        <v>0</v>
      </c>
      <c r="U1409" s="47">
        <f t="shared" si="153"/>
        <v>968.02</v>
      </c>
    </row>
    <row r="1410" spans="1:21" x14ac:dyDescent="0.3">
      <c r="A1410" s="41" t="str">
        <f t="shared" ref="A1410:A1473" si="154">UPPER("P"&amp;LEFT(D1410,3)&amp;LEFT(E1410,2))</f>
        <v>PANNDR</v>
      </c>
      <c r="B1410" s="43">
        <v>45764</v>
      </c>
      <c r="C1410" s="10" t="s">
        <v>1452</v>
      </c>
      <c r="D1410" s="10" t="s">
        <v>42</v>
      </c>
      <c r="E1410" s="10" t="s">
        <v>30</v>
      </c>
      <c r="F1410" s="10" t="s">
        <v>4</v>
      </c>
      <c r="G1410" s="10" t="s">
        <v>12</v>
      </c>
      <c r="H1410" s="10" t="s">
        <v>28</v>
      </c>
      <c r="I1410" s="45">
        <v>2532</v>
      </c>
      <c r="J1410" s="11">
        <v>0.29199999999999998</v>
      </c>
      <c r="K1410" s="45">
        <f t="shared" si="148"/>
        <v>1792.6559999999999</v>
      </c>
      <c r="L1410" s="10">
        <v>25</v>
      </c>
      <c r="M1410" s="10">
        <v>1.1000000000000001</v>
      </c>
      <c r="N1410" s="10" t="b">
        <v>0</v>
      </c>
      <c r="O1410" s="41"/>
      <c r="P1410" s="45">
        <f t="shared" si="149"/>
        <v>752.9155199999999</v>
      </c>
      <c r="Q1410" s="45">
        <f t="shared" si="150"/>
        <v>1039.7404799999999</v>
      </c>
      <c r="R1410" s="45">
        <v>0</v>
      </c>
      <c r="S1410" s="45">
        <f t="shared" si="151"/>
        <v>0</v>
      </c>
      <c r="T1410" s="45">
        <f t="shared" si="152"/>
        <v>0</v>
      </c>
      <c r="U1410" s="47">
        <f t="shared" si="153"/>
        <v>1039.7404799999999</v>
      </c>
    </row>
    <row r="1411" spans="1:21" x14ac:dyDescent="0.3">
      <c r="A1411" s="41" t="str">
        <f t="shared" si="154"/>
        <v>PMANSH</v>
      </c>
      <c r="B1411" s="43">
        <v>45765</v>
      </c>
      <c r="C1411" s="10" t="s">
        <v>1453</v>
      </c>
      <c r="D1411" s="10" t="s">
        <v>31</v>
      </c>
      <c r="E1411" s="10" t="s">
        <v>18</v>
      </c>
      <c r="F1411" s="10" t="s">
        <v>23</v>
      </c>
      <c r="G1411" s="10" t="s">
        <v>27</v>
      </c>
      <c r="H1411" s="10" t="s">
        <v>7</v>
      </c>
      <c r="I1411" s="45">
        <v>3425</v>
      </c>
      <c r="J1411" s="11">
        <v>0</v>
      </c>
      <c r="K1411" s="45">
        <f t="shared" ref="K1411:K1474" si="155">I1411*(1-J1411)</f>
        <v>3425</v>
      </c>
      <c r="L1411" s="10">
        <v>2</v>
      </c>
      <c r="M1411" s="10">
        <v>3.1</v>
      </c>
      <c r="N1411" s="10" t="b">
        <v>1</v>
      </c>
      <c r="O1411" s="41" t="s">
        <v>33</v>
      </c>
      <c r="P1411" s="45">
        <f t="shared" ref="P1411:P1474" si="156">K1411*0.42</f>
        <v>1438.5</v>
      </c>
      <c r="Q1411" s="45">
        <f t="shared" ref="Q1411:Q1474" si="157">K1411-P1411</f>
        <v>1986.5</v>
      </c>
      <c r="R1411" s="45">
        <v>150</v>
      </c>
      <c r="S1411" s="45">
        <f t="shared" ref="S1411:S1474" si="158">IF(N1411=TRUE,K1411*0.1,0)</f>
        <v>342.5</v>
      </c>
      <c r="T1411" s="45">
        <f t="shared" ref="T1411:T1474" si="159">IF(N1411=TRUE,K1411,0)</f>
        <v>3425</v>
      </c>
      <c r="U1411" s="47">
        <f t="shared" ref="U1411:U1474" si="160">Q1411-R1411-S1411-T1411</f>
        <v>-1931</v>
      </c>
    </row>
    <row r="1412" spans="1:21" x14ac:dyDescent="0.3">
      <c r="A1412" s="41" t="str">
        <f t="shared" si="154"/>
        <v>PMANDR</v>
      </c>
      <c r="B1412" s="43">
        <v>45765</v>
      </c>
      <c r="C1412" s="10" t="s">
        <v>1454</v>
      </c>
      <c r="D1412" s="10" t="s">
        <v>31</v>
      </c>
      <c r="E1412" s="10" t="s">
        <v>30</v>
      </c>
      <c r="F1412" s="10" t="s">
        <v>11</v>
      </c>
      <c r="G1412" s="10" t="s">
        <v>49</v>
      </c>
      <c r="H1412" s="10" t="s">
        <v>47</v>
      </c>
      <c r="I1412" s="45">
        <v>2431</v>
      </c>
      <c r="J1412" s="11">
        <v>0.14800000000000002</v>
      </c>
      <c r="K1412" s="45">
        <f t="shared" si="155"/>
        <v>2071.212</v>
      </c>
      <c r="L1412" s="10">
        <v>21</v>
      </c>
      <c r="M1412" s="10"/>
      <c r="N1412" s="10" t="b">
        <v>0</v>
      </c>
      <c r="O1412" s="41"/>
      <c r="P1412" s="45">
        <f t="shared" si="156"/>
        <v>869.90904</v>
      </c>
      <c r="Q1412" s="45">
        <f t="shared" si="157"/>
        <v>1201.30296</v>
      </c>
      <c r="R1412" s="45">
        <v>0</v>
      </c>
      <c r="S1412" s="45">
        <f t="shared" si="158"/>
        <v>0</v>
      </c>
      <c r="T1412" s="45">
        <f t="shared" si="159"/>
        <v>0</v>
      </c>
      <c r="U1412" s="47">
        <f t="shared" si="160"/>
        <v>1201.30296</v>
      </c>
    </row>
    <row r="1413" spans="1:21" x14ac:dyDescent="0.3">
      <c r="A1413" s="41" t="str">
        <f t="shared" si="154"/>
        <v>PMANBO</v>
      </c>
      <c r="B1413" s="43">
        <v>45765</v>
      </c>
      <c r="C1413" s="10" t="s">
        <v>1455</v>
      </c>
      <c r="D1413" s="10" t="s">
        <v>31</v>
      </c>
      <c r="E1413" s="10" t="s">
        <v>26</v>
      </c>
      <c r="F1413" s="10" t="s">
        <v>23</v>
      </c>
      <c r="G1413" s="10" t="s">
        <v>5</v>
      </c>
      <c r="H1413" s="10" t="s">
        <v>13</v>
      </c>
      <c r="I1413" s="45">
        <v>2453</v>
      </c>
      <c r="J1413" s="11">
        <v>0.20899999999999999</v>
      </c>
      <c r="K1413" s="45">
        <f t="shared" si="155"/>
        <v>1940.3230000000001</v>
      </c>
      <c r="L1413" s="10">
        <v>6</v>
      </c>
      <c r="M1413" s="10">
        <v>2.2999999999999998</v>
      </c>
      <c r="N1413" s="10" t="b">
        <v>1</v>
      </c>
      <c r="O1413" s="41" t="s">
        <v>50</v>
      </c>
      <c r="P1413" s="45">
        <f t="shared" si="156"/>
        <v>814.93565999999998</v>
      </c>
      <c r="Q1413" s="45">
        <f t="shared" si="157"/>
        <v>1125.3873400000002</v>
      </c>
      <c r="R1413" s="45">
        <v>150</v>
      </c>
      <c r="S1413" s="45">
        <f t="shared" si="158"/>
        <v>194.03230000000002</v>
      </c>
      <c r="T1413" s="45">
        <f t="shared" si="159"/>
        <v>1940.3230000000001</v>
      </c>
      <c r="U1413" s="47">
        <f t="shared" si="160"/>
        <v>-1158.9679599999999</v>
      </c>
    </row>
    <row r="1414" spans="1:21" x14ac:dyDescent="0.3">
      <c r="A1414" s="41" t="str">
        <f t="shared" si="154"/>
        <v>PH&amp;MTO</v>
      </c>
      <c r="B1414" s="43">
        <v>45765</v>
      </c>
      <c r="C1414" s="10" t="s">
        <v>1456</v>
      </c>
      <c r="D1414" s="10" t="s">
        <v>37</v>
      </c>
      <c r="E1414" s="10" t="s">
        <v>9</v>
      </c>
      <c r="F1414" s="10" t="s">
        <v>4</v>
      </c>
      <c r="G1414" s="10" t="s">
        <v>12</v>
      </c>
      <c r="H1414" s="10" t="s">
        <v>35</v>
      </c>
      <c r="I1414" s="45">
        <v>998</v>
      </c>
      <c r="J1414" s="11">
        <v>0</v>
      </c>
      <c r="K1414" s="45">
        <f t="shared" si="155"/>
        <v>998</v>
      </c>
      <c r="L1414" s="10">
        <v>14</v>
      </c>
      <c r="M1414" s="10">
        <v>2.7</v>
      </c>
      <c r="N1414" s="10" t="b">
        <v>1</v>
      </c>
      <c r="O1414" s="41" t="s">
        <v>33</v>
      </c>
      <c r="P1414" s="45">
        <f t="shared" si="156"/>
        <v>419.15999999999997</v>
      </c>
      <c r="Q1414" s="45">
        <f t="shared" si="157"/>
        <v>578.84</v>
      </c>
      <c r="R1414" s="45">
        <v>150</v>
      </c>
      <c r="S1414" s="45">
        <f t="shared" si="158"/>
        <v>99.800000000000011</v>
      </c>
      <c r="T1414" s="45">
        <f t="shared" si="159"/>
        <v>998</v>
      </c>
      <c r="U1414" s="47">
        <f t="shared" si="160"/>
        <v>-668.96</v>
      </c>
    </row>
    <row r="1415" spans="1:21" x14ac:dyDescent="0.3">
      <c r="A1415" s="41" t="str">
        <f t="shared" si="154"/>
        <v>PFORAC</v>
      </c>
      <c r="B1415" s="43">
        <v>45766</v>
      </c>
      <c r="C1415" s="10" t="s">
        <v>1457</v>
      </c>
      <c r="D1415" s="10" t="s">
        <v>65</v>
      </c>
      <c r="E1415" s="10" t="s">
        <v>15</v>
      </c>
      <c r="F1415" s="10" t="s">
        <v>11</v>
      </c>
      <c r="G1415" s="10" t="s">
        <v>7</v>
      </c>
      <c r="H1415" s="10" t="s">
        <v>16</v>
      </c>
      <c r="I1415" s="45">
        <v>470</v>
      </c>
      <c r="J1415" s="11">
        <v>0</v>
      </c>
      <c r="K1415" s="45">
        <f t="shared" si="155"/>
        <v>470</v>
      </c>
      <c r="L1415" s="10">
        <v>28</v>
      </c>
      <c r="M1415" s="10"/>
      <c r="N1415" s="10" t="b">
        <v>0</v>
      </c>
      <c r="O1415" s="41"/>
      <c r="P1415" s="45">
        <f t="shared" si="156"/>
        <v>197.4</v>
      </c>
      <c r="Q1415" s="45">
        <f t="shared" si="157"/>
        <v>272.60000000000002</v>
      </c>
      <c r="R1415" s="45">
        <v>0</v>
      </c>
      <c r="S1415" s="45">
        <f t="shared" si="158"/>
        <v>0</v>
      </c>
      <c r="T1415" s="45">
        <f t="shared" si="159"/>
        <v>0</v>
      </c>
      <c r="U1415" s="47">
        <f t="shared" si="160"/>
        <v>272.60000000000002</v>
      </c>
    </row>
    <row r="1416" spans="1:21" x14ac:dyDescent="0.3">
      <c r="A1416" s="41" t="str">
        <f t="shared" si="154"/>
        <v>PUNIOU</v>
      </c>
      <c r="B1416" s="43">
        <v>45766</v>
      </c>
      <c r="C1416" s="10" t="s">
        <v>1458</v>
      </c>
      <c r="D1416" s="10" t="s">
        <v>10</v>
      </c>
      <c r="E1416" s="10" t="s">
        <v>2</v>
      </c>
      <c r="F1416" s="10" t="s">
        <v>4</v>
      </c>
      <c r="G1416" s="10" t="s">
        <v>49</v>
      </c>
      <c r="H1416" s="10" t="s">
        <v>16</v>
      </c>
      <c r="I1416" s="45">
        <v>3499</v>
      </c>
      <c r="J1416" s="11">
        <v>0</v>
      </c>
      <c r="K1416" s="45">
        <f t="shared" si="155"/>
        <v>3499</v>
      </c>
      <c r="L1416" s="10">
        <v>17</v>
      </c>
      <c r="M1416" s="10">
        <v>4.5999999999999996</v>
      </c>
      <c r="N1416" s="10" t="b">
        <v>0</v>
      </c>
      <c r="O1416" s="41"/>
      <c r="P1416" s="45">
        <f t="shared" si="156"/>
        <v>1469.58</v>
      </c>
      <c r="Q1416" s="45">
        <f t="shared" si="157"/>
        <v>2029.42</v>
      </c>
      <c r="R1416" s="45">
        <v>0</v>
      </c>
      <c r="S1416" s="45">
        <f t="shared" si="158"/>
        <v>0</v>
      </c>
      <c r="T1416" s="45">
        <f t="shared" si="159"/>
        <v>0</v>
      </c>
      <c r="U1416" s="47">
        <f t="shared" si="160"/>
        <v>2029.42</v>
      </c>
    </row>
    <row r="1417" spans="1:21" x14ac:dyDescent="0.3">
      <c r="A1417" s="41" t="str">
        <f t="shared" si="154"/>
        <v>PZARBO</v>
      </c>
      <c r="B1417" s="43">
        <v>45766</v>
      </c>
      <c r="C1417" s="10" t="s">
        <v>1459</v>
      </c>
      <c r="D1417" s="10" t="s">
        <v>3</v>
      </c>
      <c r="E1417" s="10" t="s">
        <v>26</v>
      </c>
      <c r="F1417" s="10" t="s">
        <v>23</v>
      </c>
      <c r="G1417" s="10" t="s">
        <v>27</v>
      </c>
      <c r="H1417" s="10" t="s">
        <v>28</v>
      </c>
      <c r="I1417" s="45">
        <v>2679</v>
      </c>
      <c r="J1417" s="11">
        <v>0.40600000000000003</v>
      </c>
      <c r="K1417" s="45">
        <f t="shared" si="155"/>
        <v>1591.326</v>
      </c>
      <c r="L1417" s="10">
        <v>9</v>
      </c>
      <c r="M1417" s="10">
        <v>1.3</v>
      </c>
      <c r="N1417" s="10" t="b">
        <v>0</v>
      </c>
      <c r="O1417" s="41"/>
      <c r="P1417" s="45">
        <f t="shared" si="156"/>
        <v>668.35691999999995</v>
      </c>
      <c r="Q1417" s="45">
        <f t="shared" si="157"/>
        <v>922.96908000000008</v>
      </c>
      <c r="R1417" s="45">
        <v>0</v>
      </c>
      <c r="S1417" s="45">
        <f t="shared" si="158"/>
        <v>0</v>
      </c>
      <c r="T1417" s="45">
        <f t="shared" si="159"/>
        <v>0</v>
      </c>
      <c r="U1417" s="47">
        <f t="shared" si="160"/>
        <v>922.96908000000008</v>
      </c>
    </row>
    <row r="1418" spans="1:21" x14ac:dyDescent="0.3">
      <c r="A1418" s="41" t="str">
        <f t="shared" si="154"/>
        <v>PFOROU</v>
      </c>
      <c r="B1418" s="43">
        <v>45766</v>
      </c>
      <c r="C1418" s="10" t="s">
        <v>1460</v>
      </c>
      <c r="D1418" s="10" t="s">
        <v>65</v>
      </c>
      <c r="E1418" s="10" t="s">
        <v>2</v>
      </c>
      <c r="F1418" s="10" t="s">
        <v>54</v>
      </c>
      <c r="G1418" s="10" t="s">
        <v>5</v>
      </c>
      <c r="H1418" s="10" t="s">
        <v>47</v>
      </c>
      <c r="I1418" s="45">
        <v>3238</v>
      </c>
      <c r="J1418" s="11">
        <v>0</v>
      </c>
      <c r="K1418" s="45">
        <f t="shared" si="155"/>
        <v>3238</v>
      </c>
      <c r="L1418" s="10">
        <v>33</v>
      </c>
      <c r="M1418" s="10">
        <v>5</v>
      </c>
      <c r="N1418" s="10" t="b">
        <v>0</v>
      </c>
      <c r="O1418" s="41"/>
      <c r="P1418" s="45">
        <f t="shared" si="156"/>
        <v>1359.96</v>
      </c>
      <c r="Q1418" s="45">
        <f t="shared" si="157"/>
        <v>1878.04</v>
      </c>
      <c r="R1418" s="45">
        <v>0</v>
      </c>
      <c r="S1418" s="45">
        <f t="shared" si="158"/>
        <v>0</v>
      </c>
      <c r="T1418" s="45">
        <f t="shared" si="159"/>
        <v>0</v>
      </c>
      <c r="U1418" s="47">
        <f t="shared" si="160"/>
        <v>1878.04</v>
      </c>
    </row>
    <row r="1419" spans="1:21" x14ac:dyDescent="0.3">
      <c r="A1419" s="41" t="str">
        <f t="shared" si="154"/>
        <v>PZARAC</v>
      </c>
      <c r="B1419" s="43">
        <v>45767</v>
      </c>
      <c r="C1419" s="10" t="s">
        <v>1461</v>
      </c>
      <c r="D1419" s="10" t="s">
        <v>3</v>
      </c>
      <c r="E1419" s="10" t="s">
        <v>15</v>
      </c>
      <c r="F1419" s="10" t="s">
        <v>4</v>
      </c>
      <c r="G1419" s="10" t="s">
        <v>7</v>
      </c>
      <c r="H1419" s="10" t="s">
        <v>88</v>
      </c>
      <c r="I1419" s="45">
        <v>159</v>
      </c>
      <c r="J1419" s="11">
        <v>1.8000000000000002E-2</v>
      </c>
      <c r="K1419" s="45">
        <f t="shared" si="155"/>
        <v>156.13800000000001</v>
      </c>
      <c r="L1419" s="10">
        <v>4</v>
      </c>
      <c r="M1419" s="10">
        <v>2.2999999999999998</v>
      </c>
      <c r="N1419" s="10" t="b">
        <v>0</v>
      </c>
      <c r="O1419" s="41"/>
      <c r="P1419" s="45">
        <f t="shared" si="156"/>
        <v>65.577960000000004</v>
      </c>
      <c r="Q1419" s="45">
        <f t="shared" si="157"/>
        <v>90.560040000000001</v>
      </c>
      <c r="R1419" s="45">
        <v>0</v>
      </c>
      <c r="S1419" s="45">
        <f t="shared" si="158"/>
        <v>0</v>
      </c>
      <c r="T1419" s="45">
        <f t="shared" si="159"/>
        <v>0</v>
      </c>
      <c r="U1419" s="47">
        <f t="shared" si="160"/>
        <v>90.560040000000001</v>
      </c>
    </row>
    <row r="1420" spans="1:21" x14ac:dyDescent="0.3">
      <c r="A1420" s="41" t="str">
        <f t="shared" si="154"/>
        <v>PUNIBO</v>
      </c>
      <c r="B1420" s="43">
        <v>45767</v>
      </c>
      <c r="C1420" s="10" t="s">
        <v>1462</v>
      </c>
      <c r="D1420" s="10" t="s">
        <v>10</v>
      </c>
      <c r="E1420" s="10" t="s">
        <v>26</v>
      </c>
      <c r="F1420" s="10" t="s">
        <v>23</v>
      </c>
      <c r="G1420" s="10" t="s">
        <v>49</v>
      </c>
      <c r="H1420" s="10" t="s">
        <v>28</v>
      </c>
      <c r="I1420" s="45">
        <v>2881</v>
      </c>
      <c r="J1420" s="11">
        <v>0</v>
      </c>
      <c r="K1420" s="45">
        <f t="shared" si="155"/>
        <v>2881</v>
      </c>
      <c r="L1420" s="10">
        <v>33</v>
      </c>
      <c r="M1420" s="10"/>
      <c r="N1420" s="10" t="b">
        <v>1</v>
      </c>
      <c r="O1420" s="41" t="s">
        <v>44</v>
      </c>
      <c r="P1420" s="45">
        <f t="shared" si="156"/>
        <v>1210.02</v>
      </c>
      <c r="Q1420" s="45">
        <f t="shared" si="157"/>
        <v>1670.98</v>
      </c>
      <c r="R1420" s="45">
        <v>150</v>
      </c>
      <c r="S1420" s="45">
        <f t="shared" si="158"/>
        <v>288.10000000000002</v>
      </c>
      <c r="T1420" s="45">
        <f t="shared" si="159"/>
        <v>2881</v>
      </c>
      <c r="U1420" s="47">
        <f t="shared" si="160"/>
        <v>-1648.12</v>
      </c>
    </row>
    <row r="1421" spans="1:21" x14ac:dyDescent="0.3">
      <c r="A1421" s="41" t="str">
        <f t="shared" si="154"/>
        <v>PZARTO</v>
      </c>
      <c r="B1421" s="43">
        <v>45767</v>
      </c>
      <c r="C1421" s="10" t="s">
        <v>1463</v>
      </c>
      <c r="D1421" s="10" t="s">
        <v>3</v>
      </c>
      <c r="E1421" s="10" t="s">
        <v>9</v>
      </c>
      <c r="F1421" s="10" t="s">
        <v>4</v>
      </c>
      <c r="G1421" s="10" t="s">
        <v>5</v>
      </c>
      <c r="H1421" s="10" t="s">
        <v>32</v>
      </c>
      <c r="I1421" s="45">
        <v>1443</v>
      </c>
      <c r="J1421" s="11">
        <v>0</v>
      </c>
      <c r="K1421" s="45">
        <f t="shared" si="155"/>
        <v>1443</v>
      </c>
      <c r="L1421" s="10">
        <v>40</v>
      </c>
      <c r="M1421" s="10">
        <v>4.8</v>
      </c>
      <c r="N1421" s="10" t="b">
        <v>0</v>
      </c>
      <c r="O1421" s="41"/>
      <c r="P1421" s="45">
        <f t="shared" si="156"/>
        <v>606.05999999999995</v>
      </c>
      <c r="Q1421" s="45">
        <f t="shared" si="157"/>
        <v>836.94</v>
      </c>
      <c r="R1421" s="45">
        <v>0</v>
      </c>
      <c r="S1421" s="45">
        <f t="shared" si="158"/>
        <v>0</v>
      </c>
      <c r="T1421" s="45">
        <f t="shared" si="159"/>
        <v>0</v>
      </c>
      <c r="U1421" s="47">
        <f t="shared" si="160"/>
        <v>836.94</v>
      </c>
    </row>
    <row r="1422" spans="1:21" x14ac:dyDescent="0.3">
      <c r="A1422" s="41" t="str">
        <f t="shared" si="154"/>
        <v>PGAPDR</v>
      </c>
      <c r="B1422" s="43">
        <v>45767</v>
      </c>
      <c r="C1422" s="10" t="s">
        <v>1464</v>
      </c>
      <c r="D1422" s="10" t="s">
        <v>53</v>
      </c>
      <c r="E1422" s="10" t="s">
        <v>30</v>
      </c>
      <c r="F1422" s="10" t="s">
        <v>23</v>
      </c>
      <c r="G1422" s="10" t="s">
        <v>49</v>
      </c>
      <c r="H1422" s="10" t="s">
        <v>56</v>
      </c>
      <c r="I1422" s="45">
        <v>2800</v>
      </c>
      <c r="J1422" s="11">
        <v>0</v>
      </c>
      <c r="K1422" s="45">
        <f t="shared" si="155"/>
        <v>2800</v>
      </c>
      <c r="L1422" s="10">
        <v>2</v>
      </c>
      <c r="M1422" s="10"/>
      <c r="N1422" s="10" t="b">
        <v>0</v>
      </c>
      <c r="O1422" s="41"/>
      <c r="P1422" s="45">
        <f t="shared" si="156"/>
        <v>1176</v>
      </c>
      <c r="Q1422" s="45">
        <f t="shared" si="157"/>
        <v>1624</v>
      </c>
      <c r="R1422" s="45">
        <v>0</v>
      </c>
      <c r="S1422" s="45">
        <f t="shared" si="158"/>
        <v>0</v>
      </c>
      <c r="T1422" s="45">
        <f t="shared" si="159"/>
        <v>0</v>
      </c>
      <c r="U1422" s="47">
        <f t="shared" si="160"/>
        <v>1624</v>
      </c>
    </row>
    <row r="1423" spans="1:21" x14ac:dyDescent="0.3">
      <c r="A1423" s="41" t="str">
        <f t="shared" si="154"/>
        <v>PFORAC</v>
      </c>
      <c r="B1423" s="43">
        <v>45768</v>
      </c>
      <c r="C1423" s="10" t="s">
        <v>1465</v>
      </c>
      <c r="D1423" s="10" t="s">
        <v>65</v>
      </c>
      <c r="E1423" s="10" t="s">
        <v>15</v>
      </c>
      <c r="F1423" s="10" t="s">
        <v>23</v>
      </c>
      <c r="G1423" s="10" t="s">
        <v>7</v>
      </c>
      <c r="H1423" s="10" t="s">
        <v>16</v>
      </c>
      <c r="I1423" s="45">
        <v>315</v>
      </c>
      <c r="J1423" s="11">
        <v>0</v>
      </c>
      <c r="K1423" s="45">
        <f t="shared" si="155"/>
        <v>315</v>
      </c>
      <c r="L1423" s="10">
        <v>42</v>
      </c>
      <c r="M1423" s="10"/>
      <c r="N1423" s="10" t="b">
        <v>0</v>
      </c>
      <c r="O1423" s="41"/>
      <c r="P1423" s="45">
        <f t="shared" si="156"/>
        <v>132.29999999999998</v>
      </c>
      <c r="Q1423" s="45">
        <f t="shared" si="157"/>
        <v>182.70000000000002</v>
      </c>
      <c r="R1423" s="45">
        <v>0</v>
      </c>
      <c r="S1423" s="45">
        <f t="shared" si="158"/>
        <v>0</v>
      </c>
      <c r="T1423" s="45">
        <f t="shared" si="159"/>
        <v>0</v>
      </c>
      <c r="U1423" s="47">
        <f t="shared" si="160"/>
        <v>182.70000000000002</v>
      </c>
    </row>
    <row r="1424" spans="1:21" x14ac:dyDescent="0.3">
      <c r="A1424" s="41" t="str">
        <f t="shared" si="154"/>
        <v>PUNIBO</v>
      </c>
      <c r="B1424" s="43">
        <v>45768</v>
      </c>
      <c r="C1424" s="10" t="s">
        <v>1466</v>
      </c>
      <c r="D1424" s="10" t="s">
        <v>10</v>
      </c>
      <c r="E1424" s="10" t="s">
        <v>26</v>
      </c>
      <c r="F1424" s="10" t="s">
        <v>23</v>
      </c>
      <c r="G1424" s="10" t="s">
        <v>46</v>
      </c>
      <c r="H1424" s="10" t="s">
        <v>58</v>
      </c>
      <c r="I1424" s="45">
        <v>2078</v>
      </c>
      <c r="J1424" s="11">
        <v>0</v>
      </c>
      <c r="K1424" s="45">
        <f t="shared" si="155"/>
        <v>2078</v>
      </c>
      <c r="L1424" s="10">
        <v>9</v>
      </c>
      <c r="M1424" s="10">
        <v>3.2</v>
      </c>
      <c r="N1424" s="10" t="b">
        <v>1</v>
      </c>
      <c r="O1424" s="41" t="s">
        <v>33</v>
      </c>
      <c r="P1424" s="45">
        <f t="shared" si="156"/>
        <v>872.76</v>
      </c>
      <c r="Q1424" s="45">
        <f t="shared" si="157"/>
        <v>1205.24</v>
      </c>
      <c r="R1424" s="45">
        <v>150</v>
      </c>
      <c r="S1424" s="45">
        <f t="shared" si="158"/>
        <v>207.8</v>
      </c>
      <c r="T1424" s="45">
        <f t="shared" si="159"/>
        <v>2078</v>
      </c>
      <c r="U1424" s="47">
        <f t="shared" si="160"/>
        <v>-1230.56</v>
      </c>
    </row>
    <row r="1425" spans="1:21" x14ac:dyDescent="0.3">
      <c r="A1425" s="41" t="str">
        <f t="shared" si="154"/>
        <v>PUNISH</v>
      </c>
      <c r="B1425" s="43">
        <v>45768</v>
      </c>
      <c r="C1425" s="10" t="s">
        <v>1467</v>
      </c>
      <c r="D1425" s="10" t="s">
        <v>10</v>
      </c>
      <c r="E1425" s="10" t="s">
        <v>18</v>
      </c>
      <c r="F1425" s="10" t="s">
        <v>23</v>
      </c>
      <c r="G1425" s="10" t="s">
        <v>5</v>
      </c>
      <c r="H1425" s="10" t="s">
        <v>28</v>
      </c>
      <c r="I1425" s="45">
        <v>3101</v>
      </c>
      <c r="J1425" s="11">
        <v>0.25800000000000001</v>
      </c>
      <c r="K1425" s="45">
        <f t="shared" si="155"/>
        <v>2300.942</v>
      </c>
      <c r="L1425" s="10">
        <v>17</v>
      </c>
      <c r="M1425" s="10">
        <v>3.2</v>
      </c>
      <c r="N1425" s="10" t="b">
        <v>0</v>
      </c>
      <c r="O1425" s="41"/>
      <c r="P1425" s="45">
        <f t="shared" si="156"/>
        <v>966.39563999999996</v>
      </c>
      <c r="Q1425" s="45">
        <f t="shared" si="157"/>
        <v>1334.54636</v>
      </c>
      <c r="R1425" s="45">
        <v>0</v>
      </c>
      <c r="S1425" s="45">
        <f t="shared" si="158"/>
        <v>0</v>
      </c>
      <c r="T1425" s="45">
        <f t="shared" si="159"/>
        <v>0</v>
      </c>
      <c r="U1425" s="47">
        <f t="shared" si="160"/>
        <v>1334.54636</v>
      </c>
    </row>
    <row r="1426" spans="1:21" x14ac:dyDescent="0.3">
      <c r="A1426" s="41" t="str">
        <f t="shared" si="154"/>
        <v>PANNTO</v>
      </c>
      <c r="B1426" s="43">
        <v>45768</v>
      </c>
      <c r="C1426" s="10" t="s">
        <v>1468</v>
      </c>
      <c r="D1426" s="10" t="s">
        <v>42</v>
      </c>
      <c r="E1426" s="10" t="s">
        <v>9</v>
      </c>
      <c r="F1426" s="10" t="s">
        <v>4</v>
      </c>
      <c r="G1426" s="10" t="s">
        <v>5</v>
      </c>
      <c r="H1426" s="10" t="s">
        <v>32</v>
      </c>
      <c r="I1426" s="45">
        <v>961</v>
      </c>
      <c r="J1426" s="11">
        <v>0</v>
      </c>
      <c r="K1426" s="45">
        <f t="shared" si="155"/>
        <v>961</v>
      </c>
      <c r="L1426" s="10">
        <v>39</v>
      </c>
      <c r="M1426" s="10">
        <v>1.5</v>
      </c>
      <c r="N1426" s="10" t="b">
        <v>0</v>
      </c>
      <c r="O1426" s="41"/>
      <c r="P1426" s="45">
        <f t="shared" si="156"/>
        <v>403.62</v>
      </c>
      <c r="Q1426" s="45">
        <f t="shared" si="157"/>
        <v>557.38</v>
      </c>
      <c r="R1426" s="45">
        <v>0</v>
      </c>
      <c r="S1426" s="45">
        <f t="shared" si="158"/>
        <v>0</v>
      </c>
      <c r="T1426" s="45">
        <f t="shared" si="159"/>
        <v>0</v>
      </c>
      <c r="U1426" s="47">
        <f t="shared" si="160"/>
        <v>557.38</v>
      </c>
    </row>
    <row r="1427" spans="1:21" x14ac:dyDescent="0.3">
      <c r="A1427" s="41" t="str">
        <f t="shared" si="154"/>
        <v>PMANSH</v>
      </c>
      <c r="B1427" s="43">
        <v>45768</v>
      </c>
      <c r="C1427" s="10" t="s">
        <v>1469</v>
      </c>
      <c r="D1427" s="10" t="s">
        <v>31</v>
      </c>
      <c r="E1427" s="10" t="s">
        <v>18</v>
      </c>
      <c r="F1427" s="10" t="s">
        <v>11</v>
      </c>
      <c r="G1427" s="10" t="s">
        <v>12</v>
      </c>
      <c r="H1427" s="10" t="s">
        <v>58</v>
      </c>
      <c r="I1427" s="45">
        <v>3353</v>
      </c>
      <c r="J1427" s="11">
        <v>0</v>
      </c>
      <c r="K1427" s="45">
        <f t="shared" si="155"/>
        <v>3353</v>
      </c>
      <c r="L1427" s="10">
        <v>32</v>
      </c>
      <c r="M1427" s="10">
        <v>4.5</v>
      </c>
      <c r="N1427" s="10" t="b">
        <v>0</v>
      </c>
      <c r="O1427" s="41"/>
      <c r="P1427" s="45">
        <f t="shared" si="156"/>
        <v>1408.26</v>
      </c>
      <c r="Q1427" s="45">
        <f t="shared" si="157"/>
        <v>1944.74</v>
      </c>
      <c r="R1427" s="45">
        <v>0</v>
      </c>
      <c r="S1427" s="45">
        <f t="shared" si="158"/>
        <v>0</v>
      </c>
      <c r="T1427" s="45">
        <f t="shared" si="159"/>
        <v>0</v>
      </c>
      <c r="U1427" s="47">
        <f t="shared" si="160"/>
        <v>1944.74</v>
      </c>
    </row>
    <row r="1428" spans="1:21" x14ac:dyDescent="0.3">
      <c r="A1428" s="41" t="str">
        <f t="shared" si="154"/>
        <v>PMANBO</v>
      </c>
      <c r="B1428" s="43">
        <v>45769</v>
      </c>
      <c r="C1428" s="10" t="s">
        <v>1470</v>
      </c>
      <c r="D1428" s="10" t="s">
        <v>31</v>
      </c>
      <c r="E1428" s="10" t="s">
        <v>26</v>
      </c>
      <c r="F1428" s="10" t="s">
        <v>11</v>
      </c>
      <c r="G1428" s="10" t="s">
        <v>27</v>
      </c>
      <c r="H1428" s="10" t="s">
        <v>35</v>
      </c>
      <c r="I1428" s="45">
        <v>2685</v>
      </c>
      <c r="J1428" s="11">
        <v>0.56799999999999995</v>
      </c>
      <c r="K1428" s="45">
        <f t="shared" si="155"/>
        <v>1159.92</v>
      </c>
      <c r="L1428" s="10">
        <v>15</v>
      </c>
      <c r="M1428" s="10">
        <v>4</v>
      </c>
      <c r="N1428" s="10" t="b">
        <v>1</v>
      </c>
      <c r="O1428" s="41" t="s">
        <v>33</v>
      </c>
      <c r="P1428" s="45">
        <f t="shared" si="156"/>
        <v>487.16640000000001</v>
      </c>
      <c r="Q1428" s="45">
        <f t="shared" si="157"/>
        <v>672.75360000000001</v>
      </c>
      <c r="R1428" s="45">
        <v>150</v>
      </c>
      <c r="S1428" s="45">
        <f t="shared" si="158"/>
        <v>115.99200000000002</v>
      </c>
      <c r="T1428" s="45">
        <f t="shared" si="159"/>
        <v>1159.92</v>
      </c>
      <c r="U1428" s="47">
        <f t="shared" si="160"/>
        <v>-753.15840000000003</v>
      </c>
    </row>
    <row r="1429" spans="1:21" x14ac:dyDescent="0.3">
      <c r="A1429" s="41" t="str">
        <f t="shared" si="154"/>
        <v>PZARTO</v>
      </c>
      <c r="B1429" s="43">
        <v>45769</v>
      </c>
      <c r="C1429" s="10" t="s">
        <v>1471</v>
      </c>
      <c r="D1429" s="10" t="s">
        <v>3</v>
      </c>
      <c r="E1429" s="10" t="s">
        <v>9</v>
      </c>
      <c r="F1429" s="10" t="s">
        <v>54</v>
      </c>
      <c r="G1429" s="10" t="s">
        <v>5</v>
      </c>
      <c r="H1429" s="10" t="s">
        <v>13</v>
      </c>
      <c r="I1429" s="45">
        <v>1152</v>
      </c>
      <c r="J1429" s="11">
        <v>0.111</v>
      </c>
      <c r="K1429" s="45">
        <f t="shared" si="155"/>
        <v>1024.1279999999999</v>
      </c>
      <c r="L1429" s="10">
        <v>39</v>
      </c>
      <c r="M1429" s="10">
        <v>1.1000000000000001</v>
      </c>
      <c r="N1429" s="10" t="b">
        <v>0</v>
      </c>
      <c r="O1429" s="41"/>
      <c r="P1429" s="45">
        <f t="shared" si="156"/>
        <v>430.13375999999994</v>
      </c>
      <c r="Q1429" s="45">
        <f t="shared" si="157"/>
        <v>593.99423999999999</v>
      </c>
      <c r="R1429" s="45">
        <v>0</v>
      </c>
      <c r="S1429" s="45">
        <f t="shared" si="158"/>
        <v>0</v>
      </c>
      <c r="T1429" s="45">
        <f t="shared" si="159"/>
        <v>0</v>
      </c>
      <c r="U1429" s="47">
        <f t="shared" si="160"/>
        <v>593.99423999999999</v>
      </c>
    </row>
    <row r="1430" spans="1:21" x14ac:dyDescent="0.3">
      <c r="A1430" s="41" t="str">
        <f t="shared" si="154"/>
        <v>PH&amp;MAC</v>
      </c>
      <c r="B1430" s="43">
        <v>45769</v>
      </c>
      <c r="C1430" s="10" t="s">
        <v>1472</v>
      </c>
      <c r="D1430" s="10" t="s">
        <v>37</v>
      </c>
      <c r="E1430" s="10" t="s">
        <v>15</v>
      </c>
      <c r="F1430" s="10" t="s">
        <v>4</v>
      </c>
      <c r="G1430" s="10" t="s">
        <v>7</v>
      </c>
      <c r="H1430" s="10" t="s">
        <v>32</v>
      </c>
      <c r="I1430" s="45">
        <v>216</v>
      </c>
      <c r="J1430" s="11">
        <v>0.40399999999999997</v>
      </c>
      <c r="K1430" s="45">
        <f t="shared" si="155"/>
        <v>128.73600000000002</v>
      </c>
      <c r="L1430" s="10">
        <v>20</v>
      </c>
      <c r="M1430" s="10">
        <v>4.3</v>
      </c>
      <c r="N1430" s="10" t="b">
        <v>1</v>
      </c>
      <c r="O1430" s="41" t="s">
        <v>50</v>
      </c>
      <c r="P1430" s="45">
        <f t="shared" si="156"/>
        <v>54.069120000000005</v>
      </c>
      <c r="Q1430" s="45">
        <f t="shared" si="157"/>
        <v>74.66688000000002</v>
      </c>
      <c r="R1430" s="45">
        <v>150</v>
      </c>
      <c r="S1430" s="45">
        <f t="shared" si="158"/>
        <v>12.873600000000003</v>
      </c>
      <c r="T1430" s="45">
        <f t="shared" si="159"/>
        <v>128.73600000000002</v>
      </c>
      <c r="U1430" s="47">
        <f t="shared" si="160"/>
        <v>-216.94272000000001</v>
      </c>
    </row>
    <row r="1431" spans="1:21" x14ac:dyDescent="0.3">
      <c r="A1431" s="41" t="str">
        <f t="shared" si="154"/>
        <v>PMANTO</v>
      </c>
      <c r="B1431" s="43">
        <v>45770</v>
      </c>
      <c r="C1431" s="10" t="s">
        <v>1473</v>
      </c>
      <c r="D1431" s="10" t="s">
        <v>31</v>
      </c>
      <c r="E1431" s="10" t="s">
        <v>9</v>
      </c>
      <c r="F1431" s="10" t="s">
        <v>4</v>
      </c>
      <c r="G1431" s="10" t="s">
        <v>5</v>
      </c>
      <c r="H1431" s="10" t="s">
        <v>88</v>
      </c>
      <c r="I1431" s="45">
        <v>1099</v>
      </c>
      <c r="J1431" s="11">
        <v>0</v>
      </c>
      <c r="K1431" s="45">
        <f t="shared" si="155"/>
        <v>1099</v>
      </c>
      <c r="L1431" s="10">
        <v>8</v>
      </c>
      <c r="M1431" s="10">
        <v>4.0999999999999996</v>
      </c>
      <c r="N1431" s="10" t="b">
        <v>0</v>
      </c>
      <c r="O1431" s="41"/>
      <c r="P1431" s="45">
        <f t="shared" si="156"/>
        <v>461.58</v>
      </c>
      <c r="Q1431" s="45">
        <f t="shared" si="157"/>
        <v>637.42000000000007</v>
      </c>
      <c r="R1431" s="45">
        <v>0</v>
      </c>
      <c r="S1431" s="45">
        <f t="shared" si="158"/>
        <v>0</v>
      </c>
      <c r="T1431" s="45">
        <f t="shared" si="159"/>
        <v>0</v>
      </c>
      <c r="U1431" s="47">
        <f t="shared" si="160"/>
        <v>637.42000000000007</v>
      </c>
    </row>
    <row r="1432" spans="1:21" x14ac:dyDescent="0.3">
      <c r="A1432" s="41" t="str">
        <f t="shared" si="154"/>
        <v>PMANDR</v>
      </c>
      <c r="B1432" s="43">
        <v>45770</v>
      </c>
      <c r="C1432" s="10" t="s">
        <v>1474</v>
      </c>
      <c r="D1432" s="10" t="s">
        <v>31</v>
      </c>
      <c r="E1432" s="10" t="s">
        <v>30</v>
      </c>
      <c r="F1432" s="10" t="s">
        <v>11</v>
      </c>
      <c r="G1432" s="10" t="s">
        <v>49</v>
      </c>
      <c r="H1432" s="10" t="s">
        <v>56</v>
      </c>
      <c r="I1432" s="45">
        <v>1979</v>
      </c>
      <c r="J1432" s="11">
        <v>0</v>
      </c>
      <c r="K1432" s="45">
        <f t="shared" si="155"/>
        <v>1979</v>
      </c>
      <c r="L1432" s="10">
        <v>1</v>
      </c>
      <c r="M1432" s="10">
        <v>2.6</v>
      </c>
      <c r="N1432" s="10" t="b">
        <v>0</v>
      </c>
      <c r="O1432" s="41"/>
      <c r="P1432" s="45">
        <f t="shared" si="156"/>
        <v>831.18</v>
      </c>
      <c r="Q1432" s="45">
        <f t="shared" si="157"/>
        <v>1147.8200000000002</v>
      </c>
      <c r="R1432" s="45">
        <v>0</v>
      </c>
      <c r="S1432" s="45">
        <f t="shared" si="158"/>
        <v>0</v>
      </c>
      <c r="T1432" s="45">
        <f t="shared" si="159"/>
        <v>0</v>
      </c>
      <c r="U1432" s="47">
        <f t="shared" si="160"/>
        <v>1147.8200000000002</v>
      </c>
    </row>
    <row r="1433" spans="1:21" x14ac:dyDescent="0.3">
      <c r="A1433" s="41" t="str">
        <f t="shared" si="154"/>
        <v>PMANAC</v>
      </c>
      <c r="B1433" s="43">
        <v>45770</v>
      </c>
      <c r="C1433" s="10" t="s">
        <v>1475</v>
      </c>
      <c r="D1433" s="10" t="s">
        <v>31</v>
      </c>
      <c r="E1433" s="10" t="s">
        <v>15</v>
      </c>
      <c r="F1433" s="10" t="s">
        <v>54</v>
      </c>
      <c r="G1433" s="10" t="s">
        <v>7</v>
      </c>
      <c r="H1433" s="10" t="s">
        <v>58</v>
      </c>
      <c r="I1433" s="45">
        <v>256</v>
      </c>
      <c r="J1433" s="11">
        <v>0</v>
      </c>
      <c r="K1433" s="45">
        <f t="shared" si="155"/>
        <v>256</v>
      </c>
      <c r="L1433" s="10">
        <v>35</v>
      </c>
      <c r="M1433" s="10">
        <v>2.2000000000000002</v>
      </c>
      <c r="N1433" s="10" t="b">
        <v>1</v>
      </c>
      <c r="O1433" s="41" t="s">
        <v>44</v>
      </c>
      <c r="P1433" s="45">
        <f t="shared" si="156"/>
        <v>107.52</v>
      </c>
      <c r="Q1433" s="45">
        <f t="shared" si="157"/>
        <v>148.48000000000002</v>
      </c>
      <c r="R1433" s="45">
        <v>150</v>
      </c>
      <c r="S1433" s="45">
        <f t="shared" si="158"/>
        <v>25.6</v>
      </c>
      <c r="T1433" s="45">
        <f t="shared" si="159"/>
        <v>256</v>
      </c>
      <c r="U1433" s="47">
        <f t="shared" si="160"/>
        <v>-283.12</v>
      </c>
    </row>
    <row r="1434" spans="1:21" x14ac:dyDescent="0.3">
      <c r="A1434" s="41" t="str">
        <f t="shared" si="154"/>
        <v>PANNTO</v>
      </c>
      <c r="B1434" s="43">
        <v>45770</v>
      </c>
      <c r="C1434" s="10" t="s">
        <v>1476</v>
      </c>
      <c r="D1434" s="10" t="s">
        <v>42</v>
      </c>
      <c r="E1434" s="10" t="s">
        <v>9</v>
      </c>
      <c r="F1434" s="10" t="s">
        <v>23</v>
      </c>
      <c r="G1434" s="10" t="s">
        <v>46</v>
      </c>
      <c r="H1434" s="10" t="s">
        <v>6</v>
      </c>
      <c r="I1434" s="45">
        <v>1322</v>
      </c>
      <c r="J1434" s="11">
        <v>0</v>
      </c>
      <c r="K1434" s="45">
        <f t="shared" si="155"/>
        <v>1322</v>
      </c>
      <c r="L1434" s="10">
        <v>5</v>
      </c>
      <c r="M1434" s="10">
        <v>2.2999999999999998</v>
      </c>
      <c r="N1434" s="10" t="b">
        <v>0</v>
      </c>
      <c r="O1434" s="41"/>
      <c r="P1434" s="45">
        <f t="shared" si="156"/>
        <v>555.24</v>
      </c>
      <c r="Q1434" s="45">
        <f t="shared" si="157"/>
        <v>766.76</v>
      </c>
      <c r="R1434" s="45">
        <v>0</v>
      </c>
      <c r="S1434" s="45">
        <f t="shared" si="158"/>
        <v>0</v>
      </c>
      <c r="T1434" s="45">
        <f t="shared" si="159"/>
        <v>0</v>
      </c>
      <c r="U1434" s="47">
        <f t="shared" si="160"/>
        <v>766.76</v>
      </c>
    </row>
    <row r="1435" spans="1:21" x14ac:dyDescent="0.3">
      <c r="A1435" s="41" t="str">
        <f t="shared" si="154"/>
        <v>PH&amp;MSH</v>
      </c>
      <c r="B1435" s="43">
        <v>45771</v>
      </c>
      <c r="C1435" s="10" t="s">
        <v>1477</v>
      </c>
      <c r="D1435" s="10" t="s">
        <v>37</v>
      </c>
      <c r="E1435" s="10" t="s">
        <v>18</v>
      </c>
      <c r="F1435" s="10" t="s">
        <v>54</v>
      </c>
      <c r="G1435" s="10" t="s">
        <v>46</v>
      </c>
      <c r="H1435" s="10" t="s">
        <v>43</v>
      </c>
      <c r="I1435" s="45">
        <v>4063</v>
      </c>
      <c r="J1435" s="11">
        <v>8.8000000000000009E-2</v>
      </c>
      <c r="K1435" s="45">
        <f t="shared" si="155"/>
        <v>3705.4560000000001</v>
      </c>
      <c r="L1435" s="10">
        <v>1</v>
      </c>
      <c r="M1435" s="10">
        <v>1.7</v>
      </c>
      <c r="N1435" s="10" t="b">
        <v>1</v>
      </c>
      <c r="O1435" s="41" t="s">
        <v>309</v>
      </c>
      <c r="P1435" s="45">
        <f t="shared" si="156"/>
        <v>1556.29152</v>
      </c>
      <c r="Q1435" s="45">
        <f t="shared" si="157"/>
        <v>2149.1644800000004</v>
      </c>
      <c r="R1435" s="45">
        <v>150</v>
      </c>
      <c r="S1435" s="45">
        <f t="shared" si="158"/>
        <v>370.54560000000004</v>
      </c>
      <c r="T1435" s="45">
        <f t="shared" si="159"/>
        <v>3705.4560000000001</v>
      </c>
      <c r="U1435" s="47">
        <f t="shared" si="160"/>
        <v>-2076.8371199999997</v>
      </c>
    </row>
    <row r="1436" spans="1:21" x14ac:dyDescent="0.3">
      <c r="A1436" s="41" t="str">
        <f t="shared" si="154"/>
        <v>PANNDR</v>
      </c>
      <c r="B1436" s="43">
        <v>45771</v>
      </c>
      <c r="C1436" s="10" t="s">
        <v>1478</v>
      </c>
      <c r="D1436" s="10" t="s">
        <v>42</v>
      </c>
      <c r="E1436" s="10" t="s">
        <v>30</v>
      </c>
      <c r="F1436" s="10" t="s">
        <v>11</v>
      </c>
      <c r="G1436" s="10" t="s">
        <v>12</v>
      </c>
      <c r="H1436" s="10" t="s">
        <v>6</v>
      </c>
      <c r="I1436" s="45">
        <v>1842</v>
      </c>
      <c r="J1436" s="11">
        <v>0</v>
      </c>
      <c r="K1436" s="45">
        <f t="shared" si="155"/>
        <v>1842</v>
      </c>
      <c r="L1436" s="10">
        <v>45</v>
      </c>
      <c r="M1436" s="10">
        <v>4.3</v>
      </c>
      <c r="N1436" s="10" t="b">
        <v>0</v>
      </c>
      <c r="O1436" s="41"/>
      <c r="P1436" s="45">
        <f t="shared" si="156"/>
        <v>773.64</v>
      </c>
      <c r="Q1436" s="45">
        <f t="shared" si="157"/>
        <v>1068.3600000000001</v>
      </c>
      <c r="R1436" s="45">
        <v>0</v>
      </c>
      <c r="S1436" s="45">
        <f t="shared" si="158"/>
        <v>0</v>
      </c>
      <c r="T1436" s="45">
        <f t="shared" si="159"/>
        <v>0</v>
      </c>
      <c r="U1436" s="47">
        <f t="shared" si="160"/>
        <v>1068.3600000000001</v>
      </c>
    </row>
    <row r="1437" spans="1:21" x14ac:dyDescent="0.3">
      <c r="A1437" s="41" t="str">
        <f t="shared" si="154"/>
        <v>PMANSH</v>
      </c>
      <c r="B1437" s="43">
        <v>45771</v>
      </c>
      <c r="C1437" s="10" t="s">
        <v>1479</v>
      </c>
      <c r="D1437" s="10" t="s">
        <v>31</v>
      </c>
      <c r="E1437" s="10" t="s">
        <v>18</v>
      </c>
      <c r="F1437" s="10" t="s">
        <v>23</v>
      </c>
      <c r="G1437" s="10" t="s">
        <v>5</v>
      </c>
      <c r="H1437" s="10" t="s">
        <v>13</v>
      </c>
      <c r="I1437" s="45">
        <v>4459</v>
      </c>
      <c r="J1437" s="11">
        <v>0</v>
      </c>
      <c r="K1437" s="45">
        <f t="shared" si="155"/>
        <v>4459</v>
      </c>
      <c r="L1437" s="10">
        <v>1</v>
      </c>
      <c r="M1437" s="10">
        <v>3.5</v>
      </c>
      <c r="N1437" s="10" t="b">
        <v>0</v>
      </c>
      <c r="O1437" s="41"/>
      <c r="P1437" s="45">
        <f t="shared" si="156"/>
        <v>1872.78</v>
      </c>
      <c r="Q1437" s="45">
        <f t="shared" si="157"/>
        <v>2586.2200000000003</v>
      </c>
      <c r="R1437" s="45">
        <v>0</v>
      </c>
      <c r="S1437" s="45">
        <f t="shared" si="158"/>
        <v>0</v>
      </c>
      <c r="T1437" s="45">
        <f t="shared" si="159"/>
        <v>0</v>
      </c>
      <c r="U1437" s="47">
        <f t="shared" si="160"/>
        <v>2586.2200000000003</v>
      </c>
    </row>
    <row r="1438" spans="1:21" x14ac:dyDescent="0.3">
      <c r="A1438" s="41" t="str">
        <f t="shared" si="154"/>
        <v>PBANDR</v>
      </c>
      <c r="B1438" s="43">
        <v>45771</v>
      </c>
      <c r="C1438" s="10" t="s">
        <v>1480</v>
      </c>
      <c r="D1438" s="10" t="s">
        <v>21</v>
      </c>
      <c r="E1438" s="10" t="s">
        <v>30</v>
      </c>
      <c r="F1438" s="10" t="s">
        <v>4</v>
      </c>
      <c r="G1438" s="10" t="s">
        <v>5</v>
      </c>
      <c r="H1438" s="10" t="s">
        <v>32</v>
      </c>
      <c r="I1438" s="45">
        <v>2652</v>
      </c>
      <c r="J1438" s="11">
        <v>0</v>
      </c>
      <c r="K1438" s="45">
        <f t="shared" si="155"/>
        <v>2652</v>
      </c>
      <c r="L1438" s="10">
        <v>20</v>
      </c>
      <c r="M1438" s="10">
        <v>3.2</v>
      </c>
      <c r="N1438" s="10" t="b">
        <v>0</v>
      </c>
      <c r="O1438" s="41"/>
      <c r="P1438" s="45">
        <f t="shared" si="156"/>
        <v>1113.8399999999999</v>
      </c>
      <c r="Q1438" s="45">
        <f t="shared" si="157"/>
        <v>1538.16</v>
      </c>
      <c r="R1438" s="45">
        <v>0</v>
      </c>
      <c r="S1438" s="45">
        <f t="shared" si="158"/>
        <v>0</v>
      </c>
      <c r="T1438" s="45">
        <f t="shared" si="159"/>
        <v>0</v>
      </c>
      <c r="U1438" s="47">
        <f t="shared" si="160"/>
        <v>1538.16</v>
      </c>
    </row>
    <row r="1439" spans="1:21" x14ac:dyDescent="0.3">
      <c r="A1439" s="41" t="str">
        <f t="shared" si="154"/>
        <v>PFORTO</v>
      </c>
      <c r="B1439" s="43">
        <v>45772</v>
      </c>
      <c r="C1439" s="10" t="s">
        <v>1481</v>
      </c>
      <c r="D1439" s="10" t="s">
        <v>65</v>
      </c>
      <c r="E1439" s="10" t="s">
        <v>9</v>
      </c>
      <c r="F1439" s="10" t="s">
        <v>4</v>
      </c>
      <c r="G1439" s="10" t="s">
        <v>46</v>
      </c>
      <c r="H1439" s="10" t="s">
        <v>56</v>
      </c>
      <c r="I1439" s="45">
        <v>1504</v>
      </c>
      <c r="J1439" s="11">
        <v>0</v>
      </c>
      <c r="K1439" s="45">
        <f t="shared" si="155"/>
        <v>1504</v>
      </c>
      <c r="L1439" s="10">
        <v>7</v>
      </c>
      <c r="M1439" s="10">
        <v>3.6</v>
      </c>
      <c r="N1439" s="10" t="b">
        <v>0</v>
      </c>
      <c r="O1439" s="41"/>
      <c r="P1439" s="45">
        <f t="shared" si="156"/>
        <v>631.67999999999995</v>
      </c>
      <c r="Q1439" s="45">
        <f t="shared" si="157"/>
        <v>872.32</v>
      </c>
      <c r="R1439" s="45">
        <v>0</v>
      </c>
      <c r="S1439" s="45">
        <f t="shared" si="158"/>
        <v>0</v>
      </c>
      <c r="T1439" s="45">
        <f t="shared" si="159"/>
        <v>0</v>
      </c>
      <c r="U1439" s="47">
        <f t="shared" si="160"/>
        <v>872.32</v>
      </c>
    </row>
    <row r="1440" spans="1:21" x14ac:dyDescent="0.3">
      <c r="A1440" s="41" t="str">
        <f t="shared" si="154"/>
        <v>PUNITO</v>
      </c>
      <c r="B1440" s="43">
        <v>45772</v>
      </c>
      <c r="C1440" s="10" t="s">
        <v>1482</v>
      </c>
      <c r="D1440" s="10" t="s">
        <v>10</v>
      </c>
      <c r="E1440" s="10" t="s">
        <v>9</v>
      </c>
      <c r="F1440" s="10" t="s">
        <v>4</v>
      </c>
      <c r="G1440" s="10" t="s">
        <v>46</v>
      </c>
      <c r="H1440" s="10" t="s">
        <v>32</v>
      </c>
      <c r="I1440" s="45">
        <v>959</v>
      </c>
      <c r="J1440" s="11">
        <v>0</v>
      </c>
      <c r="K1440" s="45">
        <f t="shared" si="155"/>
        <v>959</v>
      </c>
      <c r="L1440" s="10">
        <v>9</v>
      </c>
      <c r="M1440" s="10">
        <v>2.5</v>
      </c>
      <c r="N1440" s="10" t="b">
        <v>0</v>
      </c>
      <c r="O1440" s="41"/>
      <c r="P1440" s="45">
        <f t="shared" si="156"/>
        <v>402.78</v>
      </c>
      <c r="Q1440" s="45">
        <f t="shared" si="157"/>
        <v>556.22</v>
      </c>
      <c r="R1440" s="45">
        <v>0</v>
      </c>
      <c r="S1440" s="45">
        <f t="shared" si="158"/>
        <v>0</v>
      </c>
      <c r="T1440" s="45">
        <f t="shared" si="159"/>
        <v>0</v>
      </c>
      <c r="U1440" s="47">
        <f t="shared" si="160"/>
        <v>556.22</v>
      </c>
    </row>
    <row r="1441" spans="1:21" x14ac:dyDescent="0.3">
      <c r="A1441" s="41" t="str">
        <f t="shared" si="154"/>
        <v>PGAPAC</v>
      </c>
      <c r="B1441" s="43">
        <v>45772</v>
      </c>
      <c r="C1441" s="10" t="s">
        <v>1483</v>
      </c>
      <c r="D1441" s="10" t="s">
        <v>53</v>
      </c>
      <c r="E1441" s="10" t="s">
        <v>15</v>
      </c>
      <c r="F1441" s="10" t="s">
        <v>54</v>
      </c>
      <c r="G1441" s="10" t="s">
        <v>7</v>
      </c>
      <c r="H1441" s="10" t="s">
        <v>28</v>
      </c>
      <c r="I1441" s="45">
        <v>251</v>
      </c>
      <c r="J1441" s="11">
        <v>0.499</v>
      </c>
      <c r="K1441" s="45">
        <f t="shared" si="155"/>
        <v>125.751</v>
      </c>
      <c r="L1441" s="10">
        <v>26</v>
      </c>
      <c r="M1441" s="10">
        <v>4</v>
      </c>
      <c r="N1441" s="10" t="b">
        <v>0</v>
      </c>
      <c r="O1441" s="41"/>
      <c r="P1441" s="45">
        <f t="shared" si="156"/>
        <v>52.815420000000003</v>
      </c>
      <c r="Q1441" s="45">
        <f t="shared" si="157"/>
        <v>72.935580000000002</v>
      </c>
      <c r="R1441" s="45">
        <v>0</v>
      </c>
      <c r="S1441" s="45">
        <f t="shared" si="158"/>
        <v>0</v>
      </c>
      <c r="T1441" s="45">
        <f t="shared" si="159"/>
        <v>0</v>
      </c>
      <c r="U1441" s="47">
        <f t="shared" si="160"/>
        <v>72.935580000000002</v>
      </c>
    </row>
    <row r="1442" spans="1:21" x14ac:dyDescent="0.3">
      <c r="A1442" s="41" t="str">
        <f t="shared" si="154"/>
        <v>PBANBO</v>
      </c>
      <c r="B1442" s="43">
        <v>45773</v>
      </c>
      <c r="C1442" s="10" t="s">
        <v>1484</v>
      </c>
      <c r="D1442" s="10" t="s">
        <v>21</v>
      </c>
      <c r="E1442" s="10" t="s">
        <v>26</v>
      </c>
      <c r="F1442" s="10" t="s">
        <v>23</v>
      </c>
      <c r="G1442" s="10" t="s">
        <v>5</v>
      </c>
      <c r="H1442" s="10" t="s">
        <v>6</v>
      </c>
      <c r="I1442" s="45">
        <v>2934</v>
      </c>
      <c r="J1442" s="11">
        <v>0</v>
      </c>
      <c r="K1442" s="45">
        <f t="shared" si="155"/>
        <v>2934</v>
      </c>
      <c r="L1442" s="10">
        <v>11</v>
      </c>
      <c r="M1442" s="10">
        <v>3.5</v>
      </c>
      <c r="N1442" s="10" t="b">
        <v>0</v>
      </c>
      <c r="O1442" s="41"/>
      <c r="P1442" s="45">
        <f t="shared" si="156"/>
        <v>1232.28</v>
      </c>
      <c r="Q1442" s="45">
        <f t="shared" si="157"/>
        <v>1701.72</v>
      </c>
      <c r="R1442" s="45">
        <v>0</v>
      </c>
      <c r="S1442" s="45">
        <f t="shared" si="158"/>
        <v>0</v>
      </c>
      <c r="T1442" s="45">
        <f t="shared" si="159"/>
        <v>0</v>
      </c>
      <c r="U1442" s="47">
        <f t="shared" si="160"/>
        <v>1701.72</v>
      </c>
    </row>
    <row r="1443" spans="1:21" x14ac:dyDescent="0.3">
      <c r="A1443" s="41" t="str">
        <f t="shared" si="154"/>
        <v>PH&amp;MOU</v>
      </c>
      <c r="B1443" s="43">
        <v>45773</v>
      </c>
      <c r="C1443" s="10" t="s">
        <v>1485</v>
      </c>
      <c r="D1443" s="10" t="s">
        <v>37</v>
      </c>
      <c r="E1443" s="10" t="s">
        <v>2</v>
      </c>
      <c r="F1443" s="10" t="s">
        <v>54</v>
      </c>
      <c r="G1443" s="10" t="s">
        <v>7</v>
      </c>
      <c r="H1443" s="10" t="s">
        <v>16</v>
      </c>
      <c r="I1443" s="45">
        <v>3868</v>
      </c>
      <c r="J1443" s="11">
        <v>0</v>
      </c>
      <c r="K1443" s="45">
        <f t="shared" si="155"/>
        <v>3868</v>
      </c>
      <c r="L1443" s="10">
        <v>29</v>
      </c>
      <c r="M1443" s="10">
        <v>1.9</v>
      </c>
      <c r="N1443" s="10" t="b">
        <v>0</v>
      </c>
      <c r="O1443" s="41"/>
      <c r="P1443" s="45">
        <f t="shared" si="156"/>
        <v>1624.56</v>
      </c>
      <c r="Q1443" s="45">
        <f t="shared" si="157"/>
        <v>2243.44</v>
      </c>
      <c r="R1443" s="45">
        <v>0</v>
      </c>
      <c r="S1443" s="45">
        <f t="shared" si="158"/>
        <v>0</v>
      </c>
      <c r="T1443" s="45">
        <f t="shared" si="159"/>
        <v>0</v>
      </c>
      <c r="U1443" s="47">
        <f t="shared" si="160"/>
        <v>2243.44</v>
      </c>
    </row>
    <row r="1444" spans="1:21" x14ac:dyDescent="0.3">
      <c r="A1444" s="41" t="str">
        <f t="shared" si="154"/>
        <v>PANNOU</v>
      </c>
      <c r="B1444" s="43">
        <v>45773</v>
      </c>
      <c r="C1444" s="10" t="s">
        <v>1486</v>
      </c>
      <c r="D1444" s="10" t="s">
        <v>42</v>
      </c>
      <c r="E1444" s="10" t="s">
        <v>2</v>
      </c>
      <c r="F1444" s="10" t="s">
        <v>4</v>
      </c>
      <c r="G1444" s="10" t="s">
        <v>7</v>
      </c>
      <c r="H1444" s="10" t="s">
        <v>43</v>
      </c>
      <c r="I1444" s="45">
        <v>3818</v>
      </c>
      <c r="J1444" s="11">
        <v>0.14199999999999999</v>
      </c>
      <c r="K1444" s="45">
        <f t="shared" si="155"/>
        <v>3275.8440000000001</v>
      </c>
      <c r="L1444" s="10">
        <v>29</v>
      </c>
      <c r="M1444" s="10"/>
      <c r="N1444" s="10" t="b">
        <v>0</v>
      </c>
      <c r="O1444" s="41"/>
      <c r="P1444" s="45">
        <f t="shared" si="156"/>
        <v>1375.85448</v>
      </c>
      <c r="Q1444" s="45">
        <f t="shared" si="157"/>
        <v>1899.9895200000001</v>
      </c>
      <c r="R1444" s="45">
        <v>0</v>
      </c>
      <c r="S1444" s="45">
        <f t="shared" si="158"/>
        <v>0</v>
      </c>
      <c r="T1444" s="45">
        <f t="shared" si="159"/>
        <v>0</v>
      </c>
      <c r="U1444" s="47">
        <f t="shared" si="160"/>
        <v>1899.9895200000001</v>
      </c>
    </row>
    <row r="1445" spans="1:21" x14ac:dyDescent="0.3">
      <c r="A1445" s="41" t="str">
        <f t="shared" si="154"/>
        <v>PGAPTO</v>
      </c>
      <c r="B1445" s="43">
        <v>45773</v>
      </c>
      <c r="C1445" s="10" t="s">
        <v>1487</v>
      </c>
      <c r="D1445" s="10" t="s">
        <v>53</v>
      </c>
      <c r="E1445" s="10" t="s">
        <v>9</v>
      </c>
      <c r="F1445" s="10" t="s">
        <v>54</v>
      </c>
      <c r="G1445" s="10" t="s">
        <v>38</v>
      </c>
      <c r="H1445" s="10" t="s">
        <v>13</v>
      </c>
      <c r="I1445" s="45">
        <v>1153</v>
      </c>
      <c r="J1445" s="11">
        <v>0</v>
      </c>
      <c r="K1445" s="45">
        <f t="shared" si="155"/>
        <v>1153</v>
      </c>
      <c r="L1445" s="10">
        <v>24</v>
      </c>
      <c r="M1445" s="10">
        <v>2.4</v>
      </c>
      <c r="N1445" s="10" t="b">
        <v>0</v>
      </c>
      <c r="O1445" s="41"/>
      <c r="P1445" s="45">
        <f t="shared" si="156"/>
        <v>484.26</v>
      </c>
      <c r="Q1445" s="45">
        <f t="shared" si="157"/>
        <v>668.74</v>
      </c>
      <c r="R1445" s="45">
        <v>0</v>
      </c>
      <c r="S1445" s="45">
        <f t="shared" si="158"/>
        <v>0</v>
      </c>
      <c r="T1445" s="45">
        <f t="shared" si="159"/>
        <v>0</v>
      </c>
      <c r="U1445" s="47">
        <f t="shared" si="160"/>
        <v>668.74</v>
      </c>
    </row>
    <row r="1446" spans="1:21" x14ac:dyDescent="0.3">
      <c r="A1446" s="41" t="str">
        <f t="shared" si="154"/>
        <v>PUNIAC</v>
      </c>
      <c r="B1446" s="43">
        <v>45774</v>
      </c>
      <c r="C1446" s="10" t="s">
        <v>1488</v>
      </c>
      <c r="D1446" s="10" t="s">
        <v>10</v>
      </c>
      <c r="E1446" s="10" t="s">
        <v>15</v>
      </c>
      <c r="F1446" s="10" t="s">
        <v>23</v>
      </c>
      <c r="G1446" s="10" t="s">
        <v>7</v>
      </c>
      <c r="H1446" s="10" t="s">
        <v>16</v>
      </c>
      <c r="I1446" s="45">
        <v>260</v>
      </c>
      <c r="J1446" s="11">
        <v>0</v>
      </c>
      <c r="K1446" s="45">
        <f t="shared" si="155"/>
        <v>260</v>
      </c>
      <c r="L1446" s="10">
        <v>0</v>
      </c>
      <c r="M1446" s="10">
        <v>4.7</v>
      </c>
      <c r="N1446" s="10" t="b">
        <v>0</v>
      </c>
      <c r="O1446" s="41"/>
      <c r="P1446" s="45">
        <f t="shared" si="156"/>
        <v>109.2</v>
      </c>
      <c r="Q1446" s="45">
        <f t="shared" si="157"/>
        <v>150.80000000000001</v>
      </c>
      <c r="R1446" s="45">
        <v>0</v>
      </c>
      <c r="S1446" s="45">
        <f t="shared" si="158"/>
        <v>0</v>
      </c>
      <c r="T1446" s="45">
        <f t="shared" si="159"/>
        <v>0</v>
      </c>
      <c r="U1446" s="47">
        <f t="shared" si="160"/>
        <v>150.80000000000001</v>
      </c>
    </row>
    <row r="1447" spans="1:21" x14ac:dyDescent="0.3">
      <c r="A1447" s="41" t="str">
        <f t="shared" si="154"/>
        <v>PZAROU</v>
      </c>
      <c r="B1447" s="43">
        <v>45774</v>
      </c>
      <c r="C1447" s="10" t="s">
        <v>1489</v>
      </c>
      <c r="D1447" s="10" t="s">
        <v>3</v>
      </c>
      <c r="E1447" s="10" t="s">
        <v>2</v>
      </c>
      <c r="F1447" s="10" t="s">
        <v>4</v>
      </c>
      <c r="G1447" s="10" t="s">
        <v>27</v>
      </c>
      <c r="H1447" s="10" t="s">
        <v>88</v>
      </c>
      <c r="I1447" s="45">
        <v>4439</v>
      </c>
      <c r="J1447" s="11">
        <v>0.14899999999999999</v>
      </c>
      <c r="K1447" s="45">
        <f t="shared" si="155"/>
        <v>3777.5889999999999</v>
      </c>
      <c r="L1447" s="10">
        <v>35</v>
      </c>
      <c r="M1447" s="10">
        <v>4.0999999999999996</v>
      </c>
      <c r="N1447" s="10" t="b">
        <v>1</v>
      </c>
      <c r="O1447" s="41" t="s">
        <v>309</v>
      </c>
      <c r="P1447" s="45">
        <f t="shared" si="156"/>
        <v>1586.5873799999999</v>
      </c>
      <c r="Q1447" s="45">
        <f t="shared" si="157"/>
        <v>2191.00162</v>
      </c>
      <c r="R1447" s="45">
        <v>150</v>
      </c>
      <c r="S1447" s="45">
        <f t="shared" si="158"/>
        <v>377.75890000000004</v>
      </c>
      <c r="T1447" s="45">
        <f t="shared" si="159"/>
        <v>3777.5889999999999</v>
      </c>
      <c r="U1447" s="47">
        <f t="shared" si="160"/>
        <v>-2114.3462799999998</v>
      </c>
    </row>
    <row r="1448" spans="1:21" x14ac:dyDescent="0.3">
      <c r="A1448" s="41" t="str">
        <f t="shared" si="154"/>
        <v>PBANBO</v>
      </c>
      <c r="B1448" s="43">
        <v>45774</v>
      </c>
      <c r="C1448" s="10" t="s">
        <v>1490</v>
      </c>
      <c r="D1448" s="10" t="s">
        <v>21</v>
      </c>
      <c r="E1448" s="10" t="s">
        <v>26</v>
      </c>
      <c r="F1448" s="10" t="s">
        <v>23</v>
      </c>
      <c r="G1448" s="10" t="s">
        <v>46</v>
      </c>
      <c r="H1448" s="10" t="s">
        <v>6</v>
      </c>
      <c r="I1448" s="45">
        <v>2251</v>
      </c>
      <c r="J1448" s="11">
        <v>0</v>
      </c>
      <c r="K1448" s="45">
        <f t="shared" si="155"/>
        <v>2251</v>
      </c>
      <c r="L1448" s="10">
        <v>6</v>
      </c>
      <c r="M1448" s="10">
        <v>1.3</v>
      </c>
      <c r="N1448" s="10" t="b">
        <v>0</v>
      </c>
      <c r="O1448" s="41"/>
      <c r="P1448" s="45">
        <f t="shared" si="156"/>
        <v>945.42</v>
      </c>
      <c r="Q1448" s="45">
        <f t="shared" si="157"/>
        <v>1305.58</v>
      </c>
      <c r="R1448" s="45">
        <v>0</v>
      </c>
      <c r="S1448" s="45">
        <f t="shared" si="158"/>
        <v>0</v>
      </c>
      <c r="T1448" s="45">
        <f t="shared" si="159"/>
        <v>0</v>
      </c>
      <c r="U1448" s="47">
        <f t="shared" si="160"/>
        <v>1305.58</v>
      </c>
    </row>
    <row r="1449" spans="1:21" x14ac:dyDescent="0.3">
      <c r="A1449" s="41" t="str">
        <f t="shared" si="154"/>
        <v>PZAROU</v>
      </c>
      <c r="B1449" s="43">
        <v>45774</v>
      </c>
      <c r="C1449" s="10" t="s">
        <v>1491</v>
      </c>
      <c r="D1449" s="10" t="s">
        <v>3</v>
      </c>
      <c r="E1449" s="10" t="s">
        <v>2</v>
      </c>
      <c r="F1449" s="10" t="s">
        <v>23</v>
      </c>
      <c r="G1449" s="10" t="s">
        <v>7</v>
      </c>
      <c r="H1449" s="10" t="s">
        <v>47</v>
      </c>
      <c r="I1449" s="45">
        <v>3804</v>
      </c>
      <c r="J1449" s="11">
        <v>0.30499999999999999</v>
      </c>
      <c r="K1449" s="45">
        <f t="shared" si="155"/>
        <v>2643.78</v>
      </c>
      <c r="L1449" s="10">
        <v>10</v>
      </c>
      <c r="M1449" s="10"/>
      <c r="N1449" s="10" t="b">
        <v>0</v>
      </c>
      <c r="O1449" s="41"/>
      <c r="P1449" s="45">
        <f t="shared" si="156"/>
        <v>1110.3876</v>
      </c>
      <c r="Q1449" s="45">
        <f t="shared" si="157"/>
        <v>1533.3924000000002</v>
      </c>
      <c r="R1449" s="45">
        <v>0</v>
      </c>
      <c r="S1449" s="45">
        <f t="shared" si="158"/>
        <v>0</v>
      </c>
      <c r="T1449" s="45">
        <f t="shared" si="159"/>
        <v>0</v>
      </c>
      <c r="U1449" s="47">
        <f t="shared" si="160"/>
        <v>1533.3924000000002</v>
      </c>
    </row>
    <row r="1450" spans="1:21" x14ac:dyDescent="0.3">
      <c r="A1450" s="41" t="str">
        <f t="shared" si="154"/>
        <v>PMANAC</v>
      </c>
      <c r="B1450" s="43">
        <v>45775</v>
      </c>
      <c r="C1450" s="10" t="s">
        <v>1492</v>
      </c>
      <c r="D1450" s="10" t="s">
        <v>31</v>
      </c>
      <c r="E1450" s="10" t="s">
        <v>15</v>
      </c>
      <c r="F1450" s="10" t="s">
        <v>11</v>
      </c>
      <c r="G1450" s="10" t="s">
        <v>7</v>
      </c>
      <c r="H1450" s="10" t="s">
        <v>58</v>
      </c>
      <c r="I1450" s="45">
        <v>377</v>
      </c>
      <c r="J1450" s="11">
        <v>0</v>
      </c>
      <c r="K1450" s="45">
        <f t="shared" si="155"/>
        <v>377</v>
      </c>
      <c r="L1450" s="10">
        <v>22</v>
      </c>
      <c r="M1450" s="10">
        <v>1.9</v>
      </c>
      <c r="N1450" s="10" t="b">
        <v>1</v>
      </c>
      <c r="O1450" s="41" t="s">
        <v>33</v>
      </c>
      <c r="P1450" s="45">
        <f t="shared" si="156"/>
        <v>158.34</v>
      </c>
      <c r="Q1450" s="45">
        <f t="shared" si="157"/>
        <v>218.66</v>
      </c>
      <c r="R1450" s="45">
        <v>150</v>
      </c>
      <c r="S1450" s="45">
        <f t="shared" si="158"/>
        <v>37.700000000000003</v>
      </c>
      <c r="T1450" s="45">
        <f t="shared" si="159"/>
        <v>377</v>
      </c>
      <c r="U1450" s="47">
        <f t="shared" si="160"/>
        <v>-346.04</v>
      </c>
    </row>
    <row r="1451" spans="1:21" x14ac:dyDescent="0.3">
      <c r="A1451" s="41" t="str">
        <f t="shared" si="154"/>
        <v>PH&amp;MBO</v>
      </c>
      <c r="B1451" s="43">
        <v>45775</v>
      </c>
      <c r="C1451" s="10" t="s">
        <v>1493</v>
      </c>
      <c r="D1451" s="10" t="s">
        <v>37</v>
      </c>
      <c r="E1451" s="10" t="s">
        <v>26</v>
      </c>
      <c r="F1451" s="10" t="s">
        <v>54</v>
      </c>
      <c r="G1451" s="10" t="s">
        <v>46</v>
      </c>
      <c r="H1451" s="10" t="s">
        <v>56</v>
      </c>
      <c r="I1451" s="45">
        <v>2157</v>
      </c>
      <c r="J1451" s="11">
        <v>0</v>
      </c>
      <c r="K1451" s="45">
        <f t="shared" si="155"/>
        <v>2157</v>
      </c>
      <c r="L1451" s="10">
        <v>9</v>
      </c>
      <c r="M1451" s="10"/>
      <c r="N1451" s="10" t="b">
        <v>0</v>
      </c>
      <c r="O1451" s="41"/>
      <c r="P1451" s="45">
        <f t="shared" si="156"/>
        <v>905.93999999999994</v>
      </c>
      <c r="Q1451" s="45">
        <f t="shared" si="157"/>
        <v>1251.06</v>
      </c>
      <c r="R1451" s="45">
        <v>0</v>
      </c>
      <c r="S1451" s="45">
        <f t="shared" si="158"/>
        <v>0</v>
      </c>
      <c r="T1451" s="45">
        <f t="shared" si="159"/>
        <v>0</v>
      </c>
      <c r="U1451" s="47">
        <f t="shared" si="160"/>
        <v>1251.06</v>
      </c>
    </row>
    <row r="1452" spans="1:21" x14ac:dyDescent="0.3">
      <c r="A1452" s="41" t="str">
        <f t="shared" si="154"/>
        <v>PANNAC</v>
      </c>
      <c r="B1452" s="43">
        <v>45775</v>
      </c>
      <c r="C1452" s="10" t="s">
        <v>1494</v>
      </c>
      <c r="D1452" s="10" t="s">
        <v>42</v>
      </c>
      <c r="E1452" s="10" t="s">
        <v>15</v>
      </c>
      <c r="F1452" s="10" t="s">
        <v>4</v>
      </c>
      <c r="G1452" s="10" t="s">
        <v>7</v>
      </c>
      <c r="H1452" s="10" t="s">
        <v>16</v>
      </c>
      <c r="I1452" s="45">
        <v>371</v>
      </c>
      <c r="J1452" s="11">
        <v>6.2E-2</v>
      </c>
      <c r="K1452" s="45">
        <f t="shared" si="155"/>
        <v>347.99799999999999</v>
      </c>
      <c r="L1452" s="10">
        <v>26</v>
      </c>
      <c r="M1452" s="10">
        <v>3.7</v>
      </c>
      <c r="N1452" s="10" t="b">
        <v>0</v>
      </c>
      <c r="O1452" s="41"/>
      <c r="P1452" s="45">
        <f t="shared" si="156"/>
        <v>146.15915999999999</v>
      </c>
      <c r="Q1452" s="45">
        <f t="shared" si="157"/>
        <v>201.83884</v>
      </c>
      <c r="R1452" s="45">
        <v>0</v>
      </c>
      <c r="S1452" s="45">
        <f t="shared" si="158"/>
        <v>0</v>
      </c>
      <c r="T1452" s="45">
        <f t="shared" si="159"/>
        <v>0</v>
      </c>
      <c r="U1452" s="47">
        <f t="shared" si="160"/>
        <v>201.83884</v>
      </c>
    </row>
    <row r="1453" spans="1:21" x14ac:dyDescent="0.3">
      <c r="A1453" s="41" t="str">
        <f t="shared" si="154"/>
        <v>PMANSH</v>
      </c>
      <c r="B1453" s="43">
        <v>45776</v>
      </c>
      <c r="C1453" s="10" t="s">
        <v>1495</v>
      </c>
      <c r="D1453" s="10" t="s">
        <v>31</v>
      </c>
      <c r="E1453" s="10" t="s">
        <v>18</v>
      </c>
      <c r="F1453" s="10" t="s">
        <v>54</v>
      </c>
      <c r="G1453" s="10" t="s">
        <v>38</v>
      </c>
      <c r="H1453" s="10" t="s">
        <v>16</v>
      </c>
      <c r="I1453" s="45">
        <v>3995</v>
      </c>
      <c r="J1453" s="11">
        <v>0</v>
      </c>
      <c r="K1453" s="45">
        <f t="shared" si="155"/>
        <v>3995</v>
      </c>
      <c r="L1453" s="10">
        <v>39</v>
      </c>
      <c r="M1453" s="10">
        <v>2.9</v>
      </c>
      <c r="N1453" s="10" t="b">
        <v>0</v>
      </c>
      <c r="O1453" s="41"/>
      <c r="P1453" s="45">
        <f t="shared" si="156"/>
        <v>1677.8999999999999</v>
      </c>
      <c r="Q1453" s="45">
        <f t="shared" si="157"/>
        <v>2317.1000000000004</v>
      </c>
      <c r="R1453" s="45">
        <v>0</v>
      </c>
      <c r="S1453" s="45">
        <f t="shared" si="158"/>
        <v>0</v>
      </c>
      <c r="T1453" s="45">
        <f t="shared" si="159"/>
        <v>0</v>
      </c>
      <c r="U1453" s="47">
        <f t="shared" si="160"/>
        <v>2317.1000000000004</v>
      </c>
    </row>
    <row r="1454" spans="1:21" x14ac:dyDescent="0.3">
      <c r="A1454" s="41" t="str">
        <f t="shared" si="154"/>
        <v>PANNTO</v>
      </c>
      <c r="B1454" s="43">
        <v>45776</v>
      </c>
      <c r="C1454" s="10" t="s">
        <v>1496</v>
      </c>
      <c r="D1454" s="10" t="s">
        <v>42</v>
      </c>
      <c r="E1454" s="10" t="s">
        <v>9</v>
      </c>
      <c r="F1454" s="10" t="s">
        <v>23</v>
      </c>
      <c r="G1454" s="10" t="s">
        <v>5</v>
      </c>
      <c r="H1454" s="10" t="s">
        <v>58</v>
      </c>
      <c r="I1454" s="45">
        <v>1550</v>
      </c>
      <c r="J1454" s="11">
        <v>0</v>
      </c>
      <c r="K1454" s="45">
        <f t="shared" si="155"/>
        <v>1550</v>
      </c>
      <c r="L1454" s="10">
        <v>50</v>
      </c>
      <c r="M1454" s="10">
        <v>2.5</v>
      </c>
      <c r="N1454" s="10" t="b">
        <v>0</v>
      </c>
      <c r="O1454" s="41"/>
      <c r="P1454" s="45">
        <f t="shared" si="156"/>
        <v>651</v>
      </c>
      <c r="Q1454" s="45">
        <f t="shared" si="157"/>
        <v>899</v>
      </c>
      <c r="R1454" s="45">
        <v>0</v>
      </c>
      <c r="S1454" s="45">
        <f t="shared" si="158"/>
        <v>0</v>
      </c>
      <c r="T1454" s="45">
        <f t="shared" si="159"/>
        <v>0</v>
      </c>
      <c r="U1454" s="47">
        <f t="shared" si="160"/>
        <v>899</v>
      </c>
    </row>
    <row r="1455" spans="1:21" x14ac:dyDescent="0.3">
      <c r="A1455" s="41" t="str">
        <f t="shared" si="154"/>
        <v>PH&amp;MSH</v>
      </c>
      <c r="B1455" s="43">
        <v>45776</v>
      </c>
      <c r="C1455" s="10" t="s">
        <v>1497</v>
      </c>
      <c r="D1455" s="10" t="s">
        <v>37</v>
      </c>
      <c r="E1455" s="10" t="s">
        <v>18</v>
      </c>
      <c r="F1455" s="10" t="s">
        <v>23</v>
      </c>
      <c r="G1455" s="10" t="s">
        <v>27</v>
      </c>
      <c r="H1455" s="10" t="s">
        <v>7</v>
      </c>
      <c r="I1455" s="45">
        <v>4247</v>
      </c>
      <c r="J1455" s="11">
        <v>1.3000000000000001E-2</v>
      </c>
      <c r="K1455" s="45">
        <f t="shared" si="155"/>
        <v>4191.7889999999998</v>
      </c>
      <c r="L1455" s="10">
        <v>39</v>
      </c>
      <c r="M1455" s="10">
        <v>1.2</v>
      </c>
      <c r="N1455" s="10" t="b">
        <v>0</v>
      </c>
      <c r="O1455" s="41"/>
      <c r="P1455" s="45">
        <f t="shared" si="156"/>
        <v>1760.5513799999999</v>
      </c>
      <c r="Q1455" s="45">
        <f t="shared" si="157"/>
        <v>2431.2376199999999</v>
      </c>
      <c r="R1455" s="45">
        <v>0</v>
      </c>
      <c r="S1455" s="45">
        <f t="shared" si="158"/>
        <v>0</v>
      </c>
      <c r="T1455" s="45">
        <f t="shared" si="159"/>
        <v>0</v>
      </c>
      <c r="U1455" s="47">
        <f t="shared" si="160"/>
        <v>2431.2376199999999</v>
      </c>
    </row>
    <row r="1456" spans="1:21" x14ac:dyDescent="0.3">
      <c r="A1456" s="41" t="str">
        <f t="shared" si="154"/>
        <v>PUNIAC</v>
      </c>
      <c r="B1456" s="43">
        <v>45776</v>
      </c>
      <c r="C1456" s="10" t="s">
        <v>1498</v>
      </c>
      <c r="D1456" s="10" t="s">
        <v>10</v>
      </c>
      <c r="E1456" s="10" t="s">
        <v>15</v>
      </c>
      <c r="F1456" s="10" t="s">
        <v>4</v>
      </c>
      <c r="G1456" s="10" t="s">
        <v>7</v>
      </c>
      <c r="H1456" s="10" t="s">
        <v>58</v>
      </c>
      <c r="I1456" s="45">
        <v>487</v>
      </c>
      <c r="J1456" s="11">
        <v>0</v>
      </c>
      <c r="K1456" s="45">
        <f t="shared" si="155"/>
        <v>487</v>
      </c>
      <c r="L1456" s="10">
        <v>19</v>
      </c>
      <c r="M1456" s="10">
        <v>2.9</v>
      </c>
      <c r="N1456" s="10" t="b">
        <v>1</v>
      </c>
      <c r="O1456" s="41" t="s">
        <v>44</v>
      </c>
      <c r="P1456" s="45">
        <f t="shared" si="156"/>
        <v>204.54</v>
      </c>
      <c r="Q1456" s="45">
        <f t="shared" si="157"/>
        <v>282.46000000000004</v>
      </c>
      <c r="R1456" s="45">
        <v>150</v>
      </c>
      <c r="S1456" s="45">
        <f t="shared" si="158"/>
        <v>48.7</v>
      </c>
      <c r="T1456" s="45">
        <f t="shared" si="159"/>
        <v>487</v>
      </c>
      <c r="U1456" s="47">
        <f t="shared" si="160"/>
        <v>-403.23999999999995</v>
      </c>
    </row>
    <row r="1457" spans="1:21" x14ac:dyDescent="0.3">
      <c r="A1457" s="41" t="str">
        <f t="shared" si="154"/>
        <v>PANNTO</v>
      </c>
      <c r="B1457" s="43">
        <v>45777</v>
      </c>
      <c r="C1457" s="10" t="s">
        <v>1499</v>
      </c>
      <c r="D1457" s="10" t="s">
        <v>42</v>
      </c>
      <c r="E1457" s="10" t="s">
        <v>9</v>
      </c>
      <c r="F1457" s="10" t="s">
        <v>11</v>
      </c>
      <c r="G1457" s="10" t="s">
        <v>38</v>
      </c>
      <c r="H1457" s="10" t="s">
        <v>47</v>
      </c>
      <c r="I1457" s="45">
        <v>992</v>
      </c>
      <c r="J1457" s="11">
        <v>0</v>
      </c>
      <c r="K1457" s="45">
        <f t="shared" si="155"/>
        <v>992</v>
      </c>
      <c r="L1457" s="10">
        <v>47</v>
      </c>
      <c r="M1457" s="10">
        <v>2.2999999999999998</v>
      </c>
      <c r="N1457" s="10" t="b">
        <v>0</v>
      </c>
      <c r="O1457" s="41"/>
      <c r="P1457" s="45">
        <f t="shared" si="156"/>
        <v>416.64</v>
      </c>
      <c r="Q1457" s="45">
        <f t="shared" si="157"/>
        <v>575.36</v>
      </c>
      <c r="R1457" s="45">
        <v>0</v>
      </c>
      <c r="S1457" s="45">
        <f t="shared" si="158"/>
        <v>0</v>
      </c>
      <c r="T1457" s="45">
        <f t="shared" si="159"/>
        <v>0</v>
      </c>
      <c r="U1457" s="47">
        <f t="shared" si="160"/>
        <v>575.36</v>
      </c>
    </row>
    <row r="1458" spans="1:21" x14ac:dyDescent="0.3">
      <c r="A1458" s="41" t="str">
        <f t="shared" si="154"/>
        <v>PGAPAC</v>
      </c>
      <c r="B1458" s="43">
        <v>45777</v>
      </c>
      <c r="C1458" s="10" t="s">
        <v>1500</v>
      </c>
      <c r="D1458" s="10" t="s">
        <v>53</v>
      </c>
      <c r="E1458" s="10" t="s">
        <v>15</v>
      </c>
      <c r="F1458" s="10" t="s">
        <v>4</v>
      </c>
      <c r="G1458" s="10" t="s">
        <v>7</v>
      </c>
      <c r="H1458" s="10" t="s">
        <v>35</v>
      </c>
      <c r="I1458" s="45">
        <v>442</v>
      </c>
      <c r="J1458" s="11">
        <v>0</v>
      </c>
      <c r="K1458" s="45">
        <f t="shared" si="155"/>
        <v>442</v>
      </c>
      <c r="L1458" s="10">
        <v>36</v>
      </c>
      <c r="M1458" s="10">
        <v>3.6</v>
      </c>
      <c r="N1458" s="10" t="b">
        <v>1</v>
      </c>
      <c r="O1458" s="41" t="s">
        <v>44</v>
      </c>
      <c r="P1458" s="45">
        <f t="shared" si="156"/>
        <v>185.64</v>
      </c>
      <c r="Q1458" s="45">
        <f t="shared" si="157"/>
        <v>256.36</v>
      </c>
      <c r="R1458" s="45">
        <v>150</v>
      </c>
      <c r="S1458" s="45">
        <f t="shared" si="158"/>
        <v>44.2</v>
      </c>
      <c r="T1458" s="45">
        <f t="shared" si="159"/>
        <v>442</v>
      </c>
      <c r="U1458" s="47">
        <f t="shared" si="160"/>
        <v>-379.84</v>
      </c>
    </row>
    <row r="1459" spans="1:21" x14ac:dyDescent="0.3">
      <c r="A1459" s="41" t="str">
        <f t="shared" si="154"/>
        <v>PZARSH</v>
      </c>
      <c r="B1459" s="43">
        <v>45777</v>
      </c>
      <c r="C1459" s="10" t="s">
        <v>1501</v>
      </c>
      <c r="D1459" s="10" t="s">
        <v>3</v>
      </c>
      <c r="E1459" s="10" t="s">
        <v>18</v>
      </c>
      <c r="F1459" s="10" t="s">
        <v>4</v>
      </c>
      <c r="G1459" s="10" t="s">
        <v>46</v>
      </c>
      <c r="H1459" s="10" t="s">
        <v>43</v>
      </c>
      <c r="I1459" s="45">
        <v>4208</v>
      </c>
      <c r="J1459" s="11">
        <v>0.434</v>
      </c>
      <c r="K1459" s="45">
        <f t="shared" si="155"/>
        <v>2381.7280000000001</v>
      </c>
      <c r="L1459" s="10">
        <v>42</v>
      </c>
      <c r="M1459" s="10">
        <v>2.5</v>
      </c>
      <c r="N1459" s="10" t="b">
        <v>0</v>
      </c>
      <c r="O1459" s="41"/>
      <c r="P1459" s="45">
        <f t="shared" si="156"/>
        <v>1000.3257599999999</v>
      </c>
      <c r="Q1459" s="45">
        <f t="shared" si="157"/>
        <v>1381.4022400000001</v>
      </c>
      <c r="R1459" s="45">
        <v>0</v>
      </c>
      <c r="S1459" s="45">
        <f t="shared" si="158"/>
        <v>0</v>
      </c>
      <c r="T1459" s="45">
        <f t="shared" si="159"/>
        <v>0</v>
      </c>
      <c r="U1459" s="47">
        <f t="shared" si="160"/>
        <v>1381.4022400000001</v>
      </c>
    </row>
    <row r="1460" spans="1:21" x14ac:dyDescent="0.3">
      <c r="A1460" s="41" t="str">
        <f t="shared" si="154"/>
        <v>PH&amp;MTO</v>
      </c>
      <c r="B1460" s="43">
        <v>45777</v>
      </c>
      <c r="C1460" s="10" t="s">
        <v>1502</v>
      </c>
      <c r="D1460" s="10" t="s">
        <v>37</v>
      </c>
      <c r="E1460" s="10" t="s">
        <v>9</v>
      </c>
      <c r="F1460" s="10" t="s">
        <v>54</v>
      </c>
      <c r="G1460" s="10" t="s">
        <v>12</v>
      </c>
      <c r="H1460" s="10" t="s">
        <v>16</v>
      </c>
      <c r="I1460" s="45">
        <v>1308</v>
      </c>
      <c r="J1460" s="11">
        <v>0.55399999999999994</v>
      </c>
      <c r="K1460" s="45">
        <f t="shared" si="155"/>
        <v>583.36800000000005</v>
      </c>
      <c r="L1460" s="10">
        <v>15</v>
      </c>
      <c r="M1460" s="10"/>
      <c r="N1460" s="10" t="b">
        <v>1</v>
      </c>
      <c r="O1460" s="41" t="s">
        <v>44</v>
      </c>
      <c r="P1460" s="45">
        <f t="shared" si="156"/>
        <v>245.01456000000002</v>
      </c>
      <c r="Q1460" s="45">
        <f t="shared" si="157"/>
        <v>338.35344000000003</v>
      </c>
      <c r="R1460" s="45">
        <v>150</v>
      </c>
      <c r="S1460" s="45">
        <f t="shared" si="158"/>
        <v>58.336800000000011</v>
      </c>
      <c r="T1460" s="45">
        <f t="shared" si="159"/>
        <v>583.36800000000005</v>
      </c>
      <c r="U1460" s="47">
        <f t="shared" si="160"/>
        <v>-453.35136</v>
      </c>
    </row>
    <row r="1461" spans="1:21" x14ac:dyDescent="0.3">
      <c r="A1461" s="41" t="str">
        <f t="shared" si="154"/>
        <v>PH&amp;MAC</v>
      </c>
      <c r="B1461" s="43">
        <v>45778</v>
      </c>
      <c r="C1461" s="10" t="s">
        <v>1503</v>
      </c>
      <c r="D1461" s="10" t="s">
        <v>37</v>
      </c>
      <c r="E1461" s="10" t="s">
        <v>15</v>
      </c>
      <c r="F1461" s="10" t="s">
        <v>11</v>
      </c>
      <c r="G1461" s="10" t="s">
        <v>7</v>
      </c>
      <c r="H1461" s="10" t="s">
        <v>16</v>
      </c>
      <c r="I1461" s="45">
        <v>406</v>
      </c>
      <c r="J1461" s="11">
        <v>0</v>
      </c>
      <c r="K1461" s="45">
        <f t="shared" si="155"/>
        <v>406</v>
      </c>
      <c r="L1461" s="10">
        <v>7</v>
      </c>
      <c r="M1461" s="10"/>
      <c r="N1461" s="10" t="b">
        <v>0</v>
      </c>
      <c r="O1461" s="41"/>
      <c r="P1461" s="45">
        <f t="shared" si="156"/>
        <v>170.51999999999998</v>
      </c>
      <c r="Q1461" s="45">
        <f t="shared" si="157"/>
        <v>235.48000000000002</v>
      </c>
      <c r="R1461" s="45">
        <v>0</v>
      </c>
      <c r="S1461" s="45">
        <f t="shared" si="158"/>
        <v>0</v>
      </c>
      <c r="T1461" s="45">
        <f t="shared" si="159"/>
        <v>0</v>
      </c>
      <c r="U1461" s="47">
        <f t="shared" si="160"/>
        <v>235.48000000000002</v>
      </c>
    </row>
    <row r="1462" spans="1:21" x14ac:dyDescent="0.3">
      <c r="A1462" s="41" t="str">
        <f t="shared" si="154"/>
        <v>PGAPAC</v>
      </c>
      <c r="B1462" s="43">
        <v>45778</v>
      </c>
      <c r="C1462" s="10" t="s">
        <v>1504</v>
      </c>
      <c r="D1462" s="10" t="s">
        <v>53</v>
      </c>
      <c r="E1462" s="10" t="s">
        <v>15</v>
      </c>
      <c r="F1462" s="10" t="s">
        <v>11</v>
      </c>
      <c r="G1462" s="10" t="s">
        <v>7</v>
      </c>
      <c r="H1462" s="10" t="s">
        <v>56</v>
      </c>
      <c r="I1462" s="45">
        <v>474</v>
      </c>
      <c r="J1462" s="11">
        <v>0</v>
      </c>
      <c r="K1462" s="45">
        <f t="shared" si="155"/>
        <v>474</v>
      </c>
      <c r="L1462" s="10">
        <v>17</v>
      </c>
      <c r="M1462" s="10">
        <v>2.1</v>
      </c>
      <c r="N1462" s="10" t="b">
        <v>0</v>
      </c>
      <c r="O1462" s="41"/>
      <c r="P1462" s="45">
        <f t="shared" si="156"/>
        <v>199.07999999999998</v>
      </c>
      <c r="Q1462" s="45">
        <f t="shared" si="157"/>
        <v>274.92</v>
      </c>
      <c r="R1462" s="45">
        <v>0</v>
      </c>
      <c r="S1462" s="45">
        <f t="shared" si="158"/>
        <v>0</v>
      </c>
      <c r="T1462" s="45">
        <f t="shared" si="159"/>
        <v>0</v>
      </c>
      <c r="U1462" s="47">
        <f t="shared" si="160"/>
        <v>274.92</v>
      </c>
    </row>
    <row r="1463" spans="1:21" x14ac:dyDescent="0.3">
      <c r="A1463" s="41" t="str">
        <f t="shared" si="154"/>
        <v>PFORBO</v>
      </c>
      <c r="B1463" s="43">
        <v>45778</v>
      </c>
      <c r="C1463" s="10" t="s">
        <v>1505</v>
      </c>
      <c r="D1463" s="10" t="s">
        <v>65</v>
      </c>
      <c r="E1463" s="10" t="s">
        <v>26</v>
      </c>
      <c r="F1463" s="10" t="s">
        <v>11</v>
      </c>
      <c r="G1463" s="10" t="s">
        <v>5</v>
      </c>
      <c r="H1463" s="10" t="s">
        <v>35</v>
      </c>
      <c r="I1463" s="45">
        <v>2613</v>
      </c>
      <c r="J1463" s="11">
        <v>0</v>
      </c>
      <c r="K1463" s="45">
        <f t="shared" si="155"/>
        <v>2613</v>
      </c>
      <c r="L1463" s="10">
        <v>42</v>
      </c>
      <c r="M1463" s="10"/>
      <c r="N1463" s="10" t="b">
        <v>0</v>
      </c>
      <c r="O1463" s="41"/>
      <c r="P1463" s="45">
        <f t="shared" si="156"/>
        <v>1097.46</v>
      </c>
      <c r="Q1463" s="45">
        <f t="shared" si="157"/>
        <v>1515.54</v>
      </c>
      <c r="R1463" s="45">
        <v>0</v>
      </c>
      <c r="S1463" s="45">
        <f t="shared" si="158"/>
        <v>0</v>
      </c>
      <c r="T1463" s="45">
        <f t="shared" si="159"/>
        <v>0</v>
      </c>
      <c r="U1463" s="47">
        <f t="shared" si="160"/>
        <v>1515.54</v>
      </c>
    </row>
    <row r="1464" spans="1:21" x14ac:dyDescent="0.3">
      <c r="A1464" s="41" t="str">
        <f t="shared" si="154"/>
        <v>PZARAC</v>
      </c>
      <c r="B1464" s="43">
        <v>45778</v>
      </c>
      <c r="C1464" s="10" t="s">
        <v>1506</v>
      </c>
      <c r="D1464" s="10" t="s">
        <v>3</v>
      </c>
      <c r="E1464" s="10" t="s">
        <v>15</v>
      </c>
      <c r="F1464" s="10" t="s">
        <v>54</v>
      </c>
      <c r="G1464" s="10" t="s">
        <v>7</v>
      </c>
      <c r="H1464" s="10" t="s">
        <v>16</v>
      </c>
      <c r="I1464" s="45">
        <v>421</v>
      </c>
      <c r="J1464" s="11">
        <v>0</v>
      </c>
      <c r="K1464" s="45">
        <f t="shared" si="155"/>
        <v>421</v>
      </c>
      <c r="L1464" s="10">
        <v>25</v>
      </c>
      <c r="M1464" s="10">
        <v>1.2</v>
      </c>
      <c r="N1464" s="10" t="b">
        <v>0</v>
      </c>
      <c r="O1464" s="41"/>
      <c r="P1464" s="45">
        <f t="shared" si="156"/>
        <v>176.82</v>
      </c>
      <c r="Q1464" s="45">
        <f t="shared" si="157"/>
        <v>244.18</v>
      </c>
      <c r="R1464" s="45">
        <v>0</v>
      </c>
      <c r="S1464" s="45">
        <f t="shared" si="158"/>
        <v>0</v>
      </c>
      <c r="T1464" s="45">
        <f t="shared" si="159"/>
        <v>0</v>
      </c>
      <c r="U1464" s="47">
        <f t="shared" si="160"/>
        <v>244.18</v>
      </c>
    </row>
    <row r="1465" spans="1:21" x14ac:dyDescent="0.3">
      <c r="A1465" s="41" t="str">
        <f t="shared" si="154"/>
        <v>PH&amp;MBO</v>
      </c>
      <c r="B1465" s="43">
        <v>45779</v>
      </c>
      <c r="C1465" s="10" t="s">
        <v>1507</v>
      </c>
      <c r="D1465" s="10" t="s">
        <v>37</v>
      </c>
      <c r="E1465" s="10" t="s">
        <v>26</v>
      </c>
      <c r="F1465" s="10" t="s">
        <v>11</v>
      </c>
      <c r="G1465" s="10" t="s">
        <v>38</v>
      </c>
      <c r="H1465" s="10" t="s">
        <v>35</v>
      </c>
      <c r="I1465" s="45">
        <v>2697</v>
      </c>
      <c r="J1465" s="11">
        <v>0</v>
      </c>
      <c r="K1465" s="45">
        <f t="shared" si="155"/>
        <v>2697</v>
      </c>
      <c r="L1465" s="10">
        <v>17</v>
      </c>
      <c r="M1465" s="10"/>
      <c r="N1465" s="10" t="b">
        <v>0</v>
      </c>
      <c r="O1465" s="41"/>
      <c r="P1465" s="45">
        <f t="shared" si="156"/>
        <v>1132.74</v>
      </c>
      <c r="Q1465" s="45">
        <f t="shared" si="157"/>
        <v>1564.26</v>
      </c>
      <c r="R1465" s="45">
        <v>0</v>
      </c>
      <c r="S1465" s="45">
        <f t="shared" si="158"/>
        <v>0</v>
      </c>
      <c r="T1465" s="45">
        <f t="shared" si="159"/>
        <v>0</v>
      </c>
      <c r="U1465" s="47">
        <f t="shared" si="160"/>
        <v>1564.26</v>
      </c>
    </row>
    <row r="1466" spans="1:21" x14ac:dyDescent="0.3">
      <c r="A1466" s="41" t="str">
        <f t="shared" si="154"/>
        <v>PUNIOU</v>
      </c>
      <c r="B1466" s="43">
        <v>45779</v>
      </c>
      <c r="C1466" s="10" t="s">
        <v>1508</v>
      </c>
      <c r="D1466" s="10" t="s">
        <v>10</v>
      </c>
      <c r="E1466" s="10" t="s">
        <v>2</v>
      </c>
      <c r="F1466" s="10" t="s">
        <v>23</v>
      </c>
      <c r="G1466" s="10" t="s">
        <v>12</v>
      </c>
      <c r="H1466" s="10" t="s">
        <v>88</v>
      </c>
      <c r="I1466" s="45">
        <v>4297</v>
      </c>
      <c r="J1466" s="11">
        <v>0</v>
      </c>
      <c r="K1466" s="45">
        <f t="shared" si="155"/>
        <v>4297</v>
      </c>
      <c r="L1466" s="10">
        <v>3</v>
      </c>
      <c r="M1466" s="10">
        <v>3.4</v>
      </c>
      <c r="N1466" s="10" t="b">
        <v>1</v>
      </c>
      <c r="O1466" s="41" t="s">
        <v>33</v>
      </c>
      <c r="P1466" s="45">
        <f t="shared" si="156"/>
        <v>1804.74</v>
      </c>
      <c r="Q1466" s="45">
        <f t="shared" si="157"/>
        <v>2492.2600000000002</v>
      </c>
      <c r="R1466" s="45">
        <v>150</v>
      </c>
      <c r="S1466" s="45">
        <f t="shared" si="158"/>
        <v>429.70000000000005</v>
      </c>
      <c r="T1466" s="45">
        <f t="shared" si="159"/>
        <v>4297</v>
      </c>
      <c r="U1466" s="47">
        <f t="shared" si="160"/>
        <v>-2384.4399999999996</v>
      </c>
    </row>
    <row r="1467" spans="1:21" x14ac:dyDescent="0.3">
      <c r="A1467" s="41" t="str">
        <f t="shared" si="154"/>
        <v>PBANBO</v>
      </c>
      <c r="B1467" s="43">
        <v>45779</v>
      </c>
      <c r="C1467" s="10" t="s">
        <v>1509</v>
      </c>
      <c r="D1467" s="10" t="s">
        <v>21</v>
      </c>
      <c r="E1467" s="10" t="s">
        <v>26</v>
      </c>
      <c r="F1467" s="10" t="s">
        <v>4</v>
      </c>
      <c r="G1467" s="10" t="s">
        <v>7</v>
      </c>
      <c r="H1467" s="10" t="s">
        <v>88</v>
      </c>
      <c r="I1467" s="45">
        <v>2883</v>
      </c>
      <c r="J1467" s="11">
        <v>0</v>
      </c>
      <c r="K1467" s="45">
        <f t="shared" si="155"/>
        <v>2883</v>
      </c>
      <c r="L1467" s="10">
        <v>34</v>
      </c>
      <c r="M1467" s="10">
        <v>3.7</v>
      </c>
      <c r="N1467" s="10" t="b">
        <v>0</v>
      </c>
      <c r="O1467" s="41"/>
      <c r="P1467" s="45">
        <f t="shared" si="156"/>
        <v>1210.8599999999999</v>
      </c>
      <c r="Q1467" s="45">
        <f t="shared" si="157"/>
        <v>1672.14</v>
      </c>
      <c r="R1467" s="45">
        <v>0</v>
      </c>
      <c r="S1467" s="45">
        <f t="shared" si="158"/>
        <v>0</v>
      </c>
      <c r="T1467" s="45">
        <f t="shared" si="159"/>
        <v>0</v>
      </c>
      <c r="U1467" s="47">
        <f t="shared" si="160"/>
        <v>1672.14</v>
      </c>
    </row>
    <row r="1468" spans="1:21" x14ac:dyDescent="0.3">
      <c r="A1468" s="41" t="str">
        <f t="shared" si="154"/>
        <v>PBANBO</v>
      </c>
      <c r="B1468" s="43">
        <v>45780</v>
      </c>
      <c r="C1468" s="10" t="s">
        <v>1510</v>
      </c>
      <c r="D1468" s="10" t="s">
        <v>21</v>
      </c>
      <c r="E1468" s="10" t="s">
        <v>26</v>
      </c>
      <c r="F1468" s="10" t="s">
        <v>11</v>
      </c>
      <c r="G1468" s="10" t="s">
        <v>5</v>
      </c>
      <c r="H1468" s="10" t="s">
        <v>43</v>
      </c>
      <c r="I1468" s="45">
        <v>2486</v>
      </c>
      <c r="J1468" s="11">
        <v>0</v>
      </c>
      <c r="K1468" s="45">
        <f t="shared" si="155"/>
        <v>2486</v>
      </c>
      <c r="L1468" s="10">
        <v>29</v>
      </c>
      <c r="M1468" s="10"/>
      <c r="N1468" s="10" t="b">
        <v>0</v>
      </c>
      <c r="O1468" s="41"/>
      <c r="P1468" s="45">
        <f t="shared" si="156"/>
        <v>1044.1199999999999</v>
      </c>
      <c r="Q1468" s="45">
        <f t="shared" si="157"/>
        <v>1441.88</v>
      </c>
      <c r="R1468" s="45">
        <v>0</v>
      </c>
      <c r="S1468" s="45">
        <f t="shared" si="158"/>
        <v>0</v>
      </c>
      <c r="T1468" s="45">
        <f t="shared" si="159"/>
        <v>0</v>
      </c>
      <c r="U1468" s="47">
        <f t="shared" si="160"/>
        <v>1441.88</v>
      </c>
    </row>
    <row r="1469" spans="1:21" x14ac:dyDescent="0.3">
      <c r="A1469" s="41" t="str">
        <f t="shared" si="154"/>
        <v>PBANSH</v>
      </c>
      <c r="B1469" s="43">
        <v>45780</v>
      </c>
      <c r="C1469" s="10" t="s">
        <v>1511</v>
      </c>
      <c r="D1469" s="10" t="s">
        <v>21</v>
      </c>
      <c r="E1469" s="10" t="s">
        <v>18</v>
      </c>
      <c r="F1469" s="10" t="s">
        <v>23</v>
      </c>
      <c r="G1469" s="10" t="s">
        <v>38</v>
      </c>
      <c r="H1469" s="10" t="s">
        <v>56</v>
      </c>
      <c r="I1469" s="45">
        <v>3643</v>
      </c>
      <c r="J1469" s="11">
        <v>0</v>
      </c>
      <c r="K1469" s="45">
        <f t="shared" si="155"/>
        <v>3643</v>
      </c>
      <c r="L1469" s="10">
        <v>7</v>
      </c>
      <c r="M1469" s="10">
        <v>1.3</v>
      </c>
      <c r="N1469" s="10" t="b">
        <v>0</v>
      </c>
      <c r="O1469" s="41"/>
      <c r="P1469" s="45">
        <f t="shared" si="156"/>
        <v>1530.06</v>
      </c>
      <c r="Q1469" s="45">
        <f t="shared" si="157"/>
        <v>2112.94</v>
      </c>
      <c r="R1469" s="45">
        <v>0</v>
      </c>
      <c r="S1469" s="45">
        <f t="shared" si="158"/>
        <v>0</v>
      </c>
      <c r="T1469" s="45">
        <f t="shared" si="159"/>
        <v>0</v>
      </c>
      <c r="U1469" s="47">
        <f t="shared" si="160"/>
        <v>2112.94</v>
      </c>
    </row>
    <row r="1470" spans="1:21" x14ac:dyDescent="0.3">
      <c r="A1470" s="41" t="str">
        <f t="shared" si="154"/>
        <v>PGAPOU</v>
      </c>
      <c r="B1470" s="43">
        <v>45780</v>
      </c>
      <c r="C1470" s="10" t="s">
        <v>1512</v>
      </c>
      <c r="D1470" s="10" t="s">
        <v>53</v>
      </c>
      <c r="E1470" s="10" t="s">
        <v>2</v>
      </c>
      <c r="F1470" s="10" t="s">
        <v>54</v>
      </c>
      <c r="G1470" s="10" t="s">
        <v>27</v>
      </c>
      <c r="H1470" s="10" t="s">
        <v>6</v>
      </c>
      <c r="I1470" s="45">
        <v>3788</v>
      </c>
      <c r="J1470" s="11">
        <v>0</v>
      </c>
      <c r="K1470" s="45">
        <f t="shared" si="155"/>
        <v>3788</v>
      </c>
      <c r="L1470" s="10">
        <v>10</v>
      </c>
      <c r="M1470" s="10">
        <v>1.6</v>
      </c>
      <c r="N1470" s="10" t="b">
        <v>1</v>
      </c>
      <c r="O1470" s="41" t="s">
        <v>44</v>
      </c>
      <c r="P1470" s="45">
        <f t="shared" si="156"/>
        <v>1590.96</v>
      </c>
      <c r="Q1470" s="45">
        <f t="shared" si="157"/>
        <v>2197.04</v>
      </c>
      <c r="R1470" s="45">
        <v>150</v>
      </c>
      <c r="S1470" s="45">
        <f t="shared" si="158"/>
        <v>378.8</v>
      </c>
      <c r="T1470" s="45">
        <f t="shared" si="159"/>
        <v>3788</v>
      </c>
      <c r="U1470" s="47">
        <f t="shared" si="160"/>
        <v>-2119.7600000000002</v>
      </c>
    </row>
    <row r="1471" spans="1:21" x14ac:dyDescent="0.3">
      <c r="A1471" s="41" t="str">
        <f t="shared" si="154"/>
        <v>PH&amp;MBO</v>
      </c>
      <c r="B1471" s="43">
        <v>45780</v>
      </c>
      <c r="C1471" s="10" t="s">
        <v>1513</v>
      </c>
      <c r="D1471" s="10" t="s">
        <v>37</v>
      </c>
      <c r="E1471" s="10" t="s">
        <v>26</v>
      </c>
      <c r="F1471" s="10" t="s">
        <v>11</v>
      </c>
      <c r="G1471" s="10" t="s">
        <v>27</v>
      </c>
      <c r="H1471" s="10" t="s">
        <v>6</v>
      </c>
      <c r="I1471" s="45">
        <v>2634</v>
      </c>
      <c r="J1471" s="11">
        <v>0</v>
      </c>
      <c r="K1471" s="45">
        <f t="shared" si="155"/>
        <v>2634</v>
      </c>
      <c r="L1471" s="10">
        <v>17</v>
      </c>
      <c r="M1471" s="10">
        <v>1.6</v>
      </c>
      <c r="N1471" s="10" t="b">
        <v>0</v>
      </c>
      <c r="O1471" s="41"/>
      <c r="P1471" s="45">
        <f t="shared" si="156"/>
        <v>1106.28</v>
      </c>
      <c r="Q1471" s="45">
        <f t="shared" si="157"/>
        <v>1527.72</v>
      </c>
      <c r="R1471" s="45">
        <v>0</v>
      </c>
      <c r="S1471" s="45">
        <f t="shared" si="158"/>
        <v>0</v>
      </c>
      <c r="T1471" s="45">
        <f t="shared" si="159"/>
        <v>0</v>
      </c>
      <c r="U1471" s="47">
        <f t="shared" si="160"/>
        <v>1527.72</v>
      </c>
    </row>
    <row r="1472" spans="1:21" x14ac:dyDescent="0.3">
      <c r="A1472" s="41" t="str">
        <f t="shared" si="154"/>
        <v>PBANSH</v>
      </c>
      <c r="B1472" s="43">
        <v>45781</v>
      </c>
      <c r="C1472" s="10" t="s">
        <v>1514</v>
      </c>
      <c r="D1472" s="10" t="s">
        <v>21</v>
      </c>
      <c r="E1472" s="10" t="s">
        <v>18</v>
      </c>
      <c r="F1472" s="10" t="s">
        <v>11</v>
      </c>
      <c r="G1472" s="10" t="s">
        <v>38</v>
      </c>
      <c r="H1472" s="10" t="s">
        <v>13</v>
      </c>
      <c r="I1472" s="45">
        <v>4120</v>
      </c>
      <c r="J1472" s="11">
        <v>0.20300000000000001</v>
      </c>
      <c r="K1472" s="45">
        <f t="shared" si="155"/>
        <v>3283.64</v>
      </c>
      <c r="L1472" s="10">
        <v>15</v>
      </c>
      <c r="M1472" s="10">
        <v>3.8</v>
      </c>
      <c r="N1472" s="10" t="b">
        <v>1</v>
      </c>
      <c r="O1472" s="41" t="s">
        <v>309</v>
      </c>
      <c r="P1472" s="45">
        <f t="shared" si="156"/>
        <v>1379.1288</v>
      </c>
      <c r="Q1472" s="45">
        <f t="shared" si="157"/>
        <v>1904.5111999999999</v>
      </c>
      <c r="R1472" s="45">
        <v>150</v>
      </c>
      <c r="S1472" s="45">
        <f t="shared" si="158"/>
        <v>328.36400000000003</v>
      </c>
      <c r="T1472" s="45">
        <f t="shared" si="159"/>
        <v>3283.64</v>
      </c>
      <c r="U1472" s="47">
        <f t="shared" si="160"/>
        <v>-1857.4928</v>
      </c>
    </row>
    <row r="1473" spans="1:21" x14ac:dyDescent="0.3">
      <c r="A1473" s="41" t="str">
        <f t="shared" si="154"/>
        <v>PH&amp;MAC</v>
      </c>
      <c r="B1473" s="43">
        <v>45781</v>
      </c>
      <c r="C1473" s="10" t="s">
        <v>1515</v>
      </c>
      <c r="D1473" s="10" t="s">
        <v>37</v>
      </c>
      <c r="E1473" s="10" t="s">
        <v>15</v>
      </c>
      <c r="F1473" s="10" t="s">
        <v>23</v>
      </c>
      <c r="G1473" s="10" t="s">
        <v>7</v>
      </c>
      <c r="H1473" s="10" t="s">
        <v>6</v>
      </c>
      <c r="I1473" s="45">
        <v>499</v>
      </c>
      <c r="J1473" s="11">
        <v>0.54200000000000004</v>
      </c>
      <c r="K1473" s="45">
        <f t="shared" si="155"/>
        <v>228.54199999999997</v>
      </c>
      <c r="L1473" s="10">
        <v>37</v>
      </c>
      <c r="M1473" s="10">
        <v>4.0999999999999996</v>
      </c>
      <c r="N1473" s="10" t="b">
        <v>0</v>
      </c>
      <c r="O1473" s="41"/>
      <c r="P1473" s="45">
        <f t="shared" si="156"/>
        <v>95.987639999999985</v>
      </c>
      <c r="Q1473" s="45">
        <f t="shared" si="157"/>
        <v>132.55435999999997</v>
      </c>
      <c r="R1473" s="45">
        <v>0</v>
      </c>
      <c r="S1473" s="45">
        <f t="shared" si="158"/>
        <v>0</v>
      </c>
      <c r="T1473" s="45">
        <f t="shared" si="159"/>
        <v>0</v>
      </c>
      <c r="U1473" s="47">
        <f t="shared" si="160"/>
        <v>132.55435999999997</v>
      </c>
    </row>
    <row r="1474" spans="1:21" x14ac:dyDescent="0.3">
      <c r="A1474" s="41" t="str">
        <f t="shared" ref="A1474:A1537" si="161">UPPER("P"&amp;LEFT(D1474,3)&amp;LEFT(E1474,2))</f>
        <v>PZARBO</v>
      </c>
      <c r="B1474" s="43">
        <v>45781</v>
      </c>
      <c r="C1474" s="10" t="s">
        <v>1516</v>
      </c>
      <c r="D1474" s="10" t="s">
        <v>3</v>
      </c>
      <c r="E1474" s="10" t="s">
        <v>26</v>
      </c>
      <c r="F1474" s="10" t="s">
        <v>23</v>
      </c>
      <c r="G1474" s="10" t="s">
        <v>12</v>
      </c>
      <c r="H1474" s="10" t="s">
        <v>16</v>
      </c>
      <c r="I1474" s="45">
        <v>2651</v>
      </c>
      <c r="J1474" s="11">
        <v>0</v>
      </c>
      <c r="K1474" s="45">
        <f t="shared" si="155"/>
        <v>2651</v>
      </c>
      <c r="L1474" s="10">
        <v>26</v>
      </c>
      <c r="M1474" s="10">
        <v>2.4</v>
      </c>
      <c r="N1474" s="10" t="b">
        <v>1</v>
      </c>
      <c r="O1474" s="41" t="s">
        <v>44</v>
      </c>
      <c r="P1474" s="45">
        <f t="shared" si="156"/>
        <v>1113.4199999999998</v>
      </c>
      <c r="Q1474" s="45">
        <f t="shared" si="157"/>
        <v>1537.5800000000002</v>
      </c>
      <c r="R1474" s="45">
        <v>150</v>
      </c>
      <c r="S1474" s="45">
        <f t="shared" si="158"/>
        <v>265.10000000000002</v>
      </c>
      <c r="T1474" s="45">
        <f t="shared" si="159"/>
        <v>2651</v>
      </c>
      <c r="U1474" s="47">
        <f t="shared" si="160"/>
        <v>-1528.52</v>
      </c>
    </row>
    <row r="1475" spans="1:21" x14ac:dyDescent="0.3">
      <c r="A1475" s="41" t="str">
        <f t="shared" si="161"/>
        <v>PMANSH</v>
      </c>
      <c r="B1475" s="43">
        <v>45781</v>
      </c>
      <c r="C1475" s="10" t="s">
        <v>1517</v>
      </c>
      <c r="D1475" s="10" t="s">
        <v>31</v>
      </c>
      <c r="E1475" s="10" t="s">
        <v>18</v>
      </c>
      <c r="F1475" s="10" t="s">
        <v>54</v>
      </c>
      <c r="G1475" s="10" t="s">
        <v>12</v>
      </c>
      <c r="H1475" s="10" t="s">
        <v>6</v>
      </c>
      <c r="I1475" s="45">
        <v>3971</v>
      </c>
      <c r="J1475" s="11">
        <v>0</v>
      </c>
      <c r="K1475" s="45">
        <f t="shared" ref="K1475:K1538" si="162">I1475*(1-J1475)</f>
        <v>3971</v>
      </c>
      <c r="L1475" s="10">
        <v>31</v>
      </c>
      <c r="M1475" s="10">
        <v>2.6</v>
      </c>
      <c r="N1475" s="10" t="b">
        <v>0</v>
      </c>
      <c r="O1475" s="41"/>
      <c r="P1475" s="45">
        <f t="shared" ref="P1475:P1538" si="163">K1475*0.42</f>
        <v>1667.82</v>
      </c>
      <c r="Q1475" s="45">
        <f t="shared" ref="Q1475:Q1538" si="164">K1475-P1475</f>
        <v>2303.1800000000003</v>
      </c>
      <c r="R1475" s="45">
        <v>0</v>
      </c>
      <c r="S1475" s="45">
        <f t="shared" ref="S1475:S1538" si="165">IF(N1475=TRUE,K1475*0.1,0)</f>
        <v>0</v>
      </c>
      <c r="T1475" s="45">
        <f t="shared" ref="T1475:T1538" si="166">IF(N1475=TRUE,K1475,0)</f>
        <v>0</v>
      </c>
      <c r="U1475" s="47">
        <f t="shared" ref="U1475:U1538" si="167">Q1475-R1475-S1475-T1475</f>
        <v>2303.1800000000003</v>
      </c>
    </row>
    <row r="1476" spans="1:21" x14ac:dyDescent="0.3">
      <c r="A1476" s="41" t="str">
        <f t="shared" si="161"/>
        <v>PZARAC</v>
      </c>
      <c r="B1476" s="43">
        <v>45782</v>
      </c>
      <c r="C1476" s="10" t="s">
        <v>1518</v>
      </c>
      <c r="D1476" s="10" t="s">
        <v>3</v>
      </c>
      <c r="E1476" s="10" t="s">
        <v>15</v>
      </c>
      <c r="F1476" s="10" t="s">
        <v>54</v>
      </c>
      <c r="G1476" s="10" t="s">
        <v>7</v>
      </c>
      <c r="H1476" s="10" t="s">
        <v>6</v>
      </c>
      <c r="I1476" s="45">
        <v>448</v>
      </c>
      <c r="J1476" s="11">
        <v>0</v>
      </c>
      <c r="K1476" s="45">
        <f t="shared" si="162"/>
        <v>448</v>
      </c>
      <c r="L1476" s="10">
        <v>13</v>
      </c>
      <c r="M1476" s="10"/>
      <c r="N1476" s="10" t="b">
        <v>1</v>
      </c>
      <c r="O1476" s="41" t="s">
        <v>309</v>
      </c>
      <c r="P1476" s="45">
        <f t="shared" si="163"/>
        <v>188.16</v>
      </c>
      <c r="Q1476" s="45">
        <f t="shared" si="164"/>
        <v>259.84000000000003</v>
      </c>
      <c r="R1476" s="45">
        <v>150</v>
      </c>
      <c r="S1476" s="45">
        <f t="shared" si="165"/>
        <v>44.800000000000004</v>
      </c>
      <c r="T1476" s="45">
        <f t="shared" si="166"/>
        <v>448</v>
      </c>
      <c r="U1476" s="47">
        <f t="shared" si="167"/>
        <v>-382.96</v>
      </c>
    </row>
    <row r="1477" spans="1:21" x14ac:dyDescent="0.3">
      <c r="A1477" s="41" t="str">
        <f t="shared" si="161"/>
        <v>PMANAC</v>
      </c>
      <c r="B1477" s="43">
        <v>45782</v>
      </c>
      <c r="C1477" s="10" t="s">
        <v>1519</v>
      </c>
      <c r="D1477" s="10" t="s">
        <v>31</v>
      </c>
      <c r="E1477" s="10" t="s">
        <v>15</v>
      </c>
      <c r="F1477" s="10" t="s">
        <v>11</v>
      </c>
      <c r="G1477" s="10" t="s">
        <v>7</v>
      </c>
      <c r="H1477" s="10" t="s">
        <v>56</v>
      </c>
      <c r="I1477" s="45">
        <v>425</v>
      </c>
      <c r="J1477" s="11">
        <v>0</v>
      </c>
      <c r="K1477" s="45">
        <f t="shared" si="162"/>
        <v>425</v>
      </c>
      <c r="L1477" s="10">
        <v>28</v>
      </c>
      <c r="M1477" s="10">
        <v>2.2999999999999998</v>
      </c>
      <c r="N1477" s="10" t="b">
        <v>1</v>
      </c>
      <c r="O1477" s="41" t="s">
        <v>44</v>
      </c>
      <c r="P1477" s="45">
        <f t="shared" si="163"/>
        <v>178.5</v>
      </c>
      <c r="Q1477" s="45">
        <f t="shared" si="164"/>
        <v>246.5</v>
      </c>
      <c r="R1477" s="45">
        <v>150</v>
      </c>
      <c r="S1477" s="45">
        <f t="shared" si="165"/>
        <v>42.5</v>
      </c>
      <c r="T1477" s="45">
        <f t="shared" si="166"/>
        <v>425</v>
      </c>
      <c r="U1477" s="47">
        <f t="shared" si="167"/>
        <v>-371</v>
      </c>
    </row>
    <row r="1478" spans="1:21" x14ac:dyDescent="0.3">
      <c r="A1478" s="41" t="str">
        <f t="shared" si="161"/>
        <v>PFORSH</v>
      </c>
      <c r="B1478" s="43">
        <v>45782</v>
      </c>
      <c r="C1478" s="10" t="s">
        <v>1520</v>
      </c>
      <c r="D1478" s="10" t="s">
        <v>65</v>
      </c>
      <c r="E1478" s="10" t="s">
        <v>18</v>
      </c>
      <c r="F1478" s="10" t="s">
        <v>11</v>
      </c>
      <c r="G1478" s="10" t="s">
        <v>5</v>
      </c>
      <c r="H1478" s="10" t="s">
        <v>35</v>
      </c>
      <c r="I1478" s="45">
        <v>3819</v>
      </c>
      <c r="J1478" s="11">
        <v>0.35299999999999998</v>
      </c>
      <c r="K1478" s="45">
        <f t="shared" si="162"/>
        <v>2470.893</v>
      </c>
      <c r="L1478" s="10">
        <v>10</v>
      </c>
      <c r="M1478" s="10">
        <v>3.3</v>
      </c>
      <c r="N1478" s="10" t="b">
        <v>0</v>
      </c>
      <c r="O1478" s="41"/>
      <c r="P1478" s="45">
        <f t="shared" si="163"/>
        <v>1037.7750599999999</v>
      </c>
      <c r="Q1478" s="45">
        <f t="shared" si="164"/>
        <v>1433.1179400000001</v>
      </c>
      <c r="R1478" s="45">
        <v>0</v>
      </c>
      <c r="S1478" s="45">
        <f t="shared" si="165"/>
        <v>0</v>
      </c>
      <c r="T1478" s="45">
        <f t="shared" si="166"/>
        <v>0</v>
      </c>
      <c r="U1478" s="47">
        <f t="shared" si="167"/>
        <v>1433.1179400000001</v>
      </c>
    </row>
    <row r="1479" spans="1:21" x14ac:dyDescent="0.3">
      <c r="A1479" s="41" t="str">
        <f t="shared" si="161"/>
        <v>PANNTO</v>
      </c>
      <c r="B1479" s="43">
        <v>45783</v>
      </c>
      <c r="C1479" s="10" t="s">
        <v>1521</v>
      </c>
      <c r="D1479" s="10" t="s">
        <v>42</v>
      </c>
      <c r="E1479" s="10" t="s">
        <v>9</v>
      </c>
      <c r="F1479" s="10" t="s">
        <v>11</v>
      </c>
      <c r="G1479" s="10" t="s">
        <v>12</v>
      </c>
      <c r="H1479" s="10" t="s">
        <v>56</v>
      </c>
      <c r="I1479" s="45">
        <v>1303</v>
      </c>
      <c r="J1479" s="11">
        <v>0</v>
      </c>
      <c r="K1479" s="45">
        <f t="shared" si="162"/>
        <v>1303</v>
      </c>
      <c r="L1479" s="10">
        <v>26</v>
      </c>
      <c r="M1479" s="10"/>
      <c r="N1479" s="10" t="b">
        <v>0</v>
      </c>
      <c r="O1479" s="41"/>
      <c r="P1479" s="45">
        <f t="shared" si="163"/>
        <v>547.26</v>
      </c>
      <c r="Q1479" s="45">
        <f t="shared" si="164"/>
        <v>755.74</v>
      </c>
      <c r="R1479" s="45">
        <v>0</v>
      </c>
      <c r="S1479" s="45">
        <f t="shared" si="165"/>
        <v>0</v>
      </c>
      <c r="T1479" s="45">
        <f t="shared" si="166"/>
        <v>0</v>
      </c>
      <c r="U1479" s="47">
        <f t="shared" si="167"/>
        <v>755.74</v>
      </c>
    </row>
    <row r="1480" spans="1:21" x14ac:dyDescent="0.3">
      <c r="A1480" s="41" t="str">
        <f t="shared" si="161"/>
        <v>PGAPAC</v>
      </c>
      <c r="B1480" s="43">
        <v>45783</v>
      </c>
      <c r="C1480" s="10" t="s">
        <v>1522</v>
      </c>
      <c r="D1480" s="10" t="s">
        <v>53</v>
      </c>
      <c r="E1480" s="10" t="s">
        <v>15</v>
      </c>
      <c r="F1480" s="10" t="s">
        <v>54</v>
      </c>
      <c r="G1480" s="10" t="s">
        <v>7</v>
      </c>
      <c r="H1480" s="10" t="s">
        <v>88</v>
      </c>
      <c r="I1480" s="45">
        <v>226</v>
      </c>
      <c r="J1480" s="11">
        <v>0.29799999999999999</v>
      </c>
      <c r="K1480" s="45">
        <f t="shared" si="162"/>
        <v>158.65199999999999</v>
      </c>
      <c r="L1480" s="10">
        <v>13</v>
      </c>
      <c r="M1480" s="10">
        <v>4.7</v>
      </c>
      <c r="N1480" s="10" t="b">
        <v>0</v>
      </c>
      <c r="O1480" s="41"/>
      <c r="P1480" s="45">
        <f t="shared" si="163"/>
        <v>66.633839999999992</v>
      </c>
      <c r="Q1480" s="45">
        <f t="shared" si="164"/>
        <v>92.018159999999995</v>
      </c>
      <c r="R1480" s="45">
        <v>0</v>
      </c>
      <c r="S1480" s="45">
        <f t="shared" si="165"/>
        <v>0</v>
      </c>
      <c r="T1480" s="45">
        <f t="shared" si="166"/>
        <v>0</v>
      </c>
      <c r="U1480" s="47">
        <f t="shared" si="167"/>
        <v>92.018159999999995</v>
      </c>
    </row>
    <row r="1481" spans="1:21" x14ac:dyDescent="0.3">
      <c r="A1481" s="41" t="str">
        <f t="shared" si="161"/>
        <v>PGAPTO</v>
      </c>
      <c r="B1481" s="43">
        <v>45783</v>
      </c>
      <c r="C1481" s="10" t="s">
        <v>1523</v>
      </c>
      <c r="D1481" s="10" t="s">
        <v>53</v>
      </c>
      <c r="E1481" s="10" t="s">
        <v>9</v>
      </c>
      <c r="F1481" s="10" t="s">
        <v>23</v>
      </c>
      <c r="G1481" s="10" t="s">
        <v>49</v>
      </c>
      <c r="H1481" s="10" t="s">
        <v>13</v>
      </c>
      <c r="I1481" s="45">
        <v>1237</v>
      </c>
      <c r="J1481" s="11">
        <v>0</v>
      </c>
      <c r="K1481" s="45">
        <f t="shared" si="162"/>
        <v>1237</v>
      </c>
      <c r="L1481" s="10">
        <v>24</v>
      </c>
      <c r="M1481" s="10">
        <v>2.2000000000000002</v>
      </c>
      <c r="N1481" s="10" t="b">
        <v>0</v>
      </c>
      <c r="O1481" s="41"/>
      <c r="P1481" s="45">
        <f t="shared" si="163"/>
        <v>519.54</v>
      </c>
      <c r="Q1481" s="45">
        <f t="shared" si="164"/>
        <v>717.46</v>
      </c>
      <c r="R1481" s="45">
        <v>0</v>
      </c>
      <c r="S1481" s="45">
        <f t="shared" si="165"/>
        <v>0</v>
      </c>
      <c r="T1481" s="45">
        <f t="shared" si="166"/>
        <v>0</v>
      </c>
      <c r="U1481" s="47">
        <f t="shared" si="167"/>
        <v>717.46</v>
      </c>
    </row>
    <row r="1482" spans="1:21" x14ac:dyDescent="0.3">
      <c r="A1482" s="41" t="str">
        <f t="shared" si="161"/>
        <v>PBANDR</v>
      </c>
      <c r="B1482" s="43">
        <v>45783</v>
      </c>
      <c r="C1482" s="10" t="s">
        <v>1524</v>
      </c>
      <c r="D1482" s="10" t="s">
        <v>21</v>
      </c>
      <c r="E1482" s="10" t="s">
        <v>30</v>
      </c>
      <c r="F1482" s="10" t="s">
        <v>54</v>
      </c>
      <c r="G1482" s="10" t="s">
        <v>49</v>
      </c>
      <c r="H1482" s="10" t="s">
        <v>35</v>
      </c>
      <c r="I1482" s="45">
        <v>1954</v>
      </c>
      <c r="J1482" s="11">
        <v>0</v>
      </c>
      <c r="K1482" s="45">
        <f t="shared" si="162"/>
        <v>1954</v>
      </c>
      <c r="L1482" s="10">
        <v>5</v>
      </c>
      <c r="M1482" s="10">
        <v>1.7</v>
      </c>
      <c r="N1482" s="10" t="b">
        <v>0</v>
      </c>
      <c r="O1482" s="41"/>
      <c r="P1482" s="45">
        <f t="shared" si="163"/>
        <v>820.68</v>
      </c>
      <c r="Q1482" s="45">
        <f t="shared" si="164"/>
        <v>1133.3200000000002</v>
      </c>
      <c r="R1482" s="45">
        <v>0</v>
      </c>
      <c r="S1482" s="45">
        <f t="shared" si="165"/>
        <v>0</v>
      </c>
      <c r="T1482" s="45">
        <f t="shared" si="166"/>
        <v>0</v>
      </c>
      <c r="U1482" s="47">
        <f t="shared" si="167"/>
        <v>1133.3200000000002</v>
      </c>
    </row>
    <row r="1483" spans="1:21" x14ac:dyDescent="0.3">
      <c r="A1483" s="41" t="str">
        <f t="shared" si="161"/>
        <v>PFORDR</v>
      </c>
      <c r="B1483" s="43">
        <v>45784</v>
      </c>
      <c r="C1483" s="10" t="s">
        <v>1525</v>
      </c>
      <c r="D1483" s="10" t="s">
        <v>65</v>
      </c>
      <c r="E1483" s="10" t="s">
        <v>30</v>
      </c>
      <c r="F1483" s="10" t="s">
        <v>54</v>
      </c>
      <c r="G1483" s="10" t="s">
        <v>46</v>
      </c>
      <c r="H1483" s="10" t="s">
        <v>13</v>
      </c>
      <c r="I1483" s="45">
        <v>2139</v>
      </c>
      <c r="J1483" s="11">
        <v>0.435</v>
      </c>
      <c r="K1483" s="45">
        <f t="shared" si="162"/>
        <v>1208.5349999999999</v>
      </c>
      <c r="L1483" s="10">
        <v>46</v>
      </c>
      <c r="M1483" s="10"/>
      <c r="N1483" s="10" t="b">
        <v>0</v>
      </c>
      <c r="O1483" s="41"/>
      <c r="P1483" s="45">
        <f t="shared" si="163"/>
        <v>507.58469999999994</v>
      </c>
      <c r="Q1483" s="45">
        <f t="shared" si="164"/>
        <v>700.95029999999997</v>
      </c>
      <c r="R1483" s="45">
        <v>0</v>
      </c>
      <c r="S1483" s="45">
        <f t="shared" si="165"/>
        <v>0</v>
      </c>
      <c r="T1483" s="45">
        <f t="shared" si="166"/>
        <v>0</v>
      </c>
      <c r="U1483" s="47">
        <f t="shared" si="167"/>
        <v>700.95029999999997</v>
      </c>
    </row>
    <row r="1484" spans="1:21" x14ac:dyDescent="0.3">
      <c r="A1484" s="41" t="str">
        <f t="shared" si="161"/>
        <v>PGAPTO</v>
      </c>
      <c r="B1484" s="43">
        <v>45784</v>
      </c>
      <c r="C1484" s="10" t="s">
        <v>1526</v>
      </c>
      <c r="D1484" s="10" t="s">
        <v>53</v>
      </c>
      <c r="E1484" s="10" t="s">
        <v>9</v>
      </c>
      <c r="F1484" s="10" t="s">
        <v>4</v>
      </c>
      <c r="G1484" s="10" t="s">
        <v>46</v>
      </c>
      <c r="H1484" s="10" t="s">
        <v>88</v>
      </c>
      <c r="I1484" s="45">
        <v>1718</v>
      </c>
      <c r="J1484" s="11">
        <v>0.19</v>
      </c>
      <c r="K1484" s="45">
        <f t="shared" si="162"/>
        <v>1391.5800000000002</v>
      </c>
      <c r="L1484" s="10">
        <v>48</v>
      </c>
      <c r="M1484" s="10">
        <v>3</v>
      </c>
      <c r="N1484" s="10" t="b">
        <v>0</v>
      </c>
      <c r="O1484" s="41"/>
      <c r="P1484" s="45">
        <f t="shared" si="163"/>
        <v>584.46360000000004</v>
      </c>
      <c r="Q1484" s="45">
        <f t="shared" si="164"/>
        <v>807.11640000000011</v>
      </c>
      <c r="R1484" s="45">
        <v>0</v>
      </c>
      <c r="S1484" s="45">
        <f t="shared" si="165"/>
        <v>0</v>
      </c>
      <c r="T1484" s="45">
        <f t="shared" si="166"/>
        <v>0</v>
      </c>
      <c r="U1484" s="47">
        <f t="shared" si="167"/>
        <v>807.11640000000011</v>
      </c>
    </row>
    <row r="1485" spans="1:21" x14ac:dyDescent="0.3">
      <c r="A1485" s="41" t="str">
        <f t="shared" si="161"/>
        <v>PZARAC</v>
      </c>
      <c r="B1485" s="43">
        <v>45784</v>
      </c>
      <c r="C1485" s="10" t="s">
        <v>1527</v>
      </c>
      <c r="D1485" s="10" t="s">
        <v>3</v>
      </c>
      <c r="E1485" s="10" t="s">
        <v>15</v>
      </c>
      <c r="F1485" s="10" t="s">
        <v>23</v>
      </c>
      <c r="G1485" s="10" t="s">
        <v>7</v>
      </c>
      <c r="H1485" s="10" t="s">
        <v>7</v>
      </c>
      <c r="I1485" s="45">
        <v>308</v>
      </c>
      <c r="J1485" s="11">
        <v>0</v>
      </c>
      <c r="K1485" s="45">
        <f t="shared" si="162"/>
        <v>308</v>
      </c>
      <c r="L1485" s="10">
        <v>24</v>
      </c>
      <c r="M1485" s="10">
        <v>2.9</v>
      </c>
      <c r="N1485" s="10" t="b">
        <v>0</v>
      </c>
      <c r="O1485" s="41"/>
      <c r="P1485" s="45">
        <f t="shared" si="163"/>
        <v>129.35999999999999</v>
      </c>
      <c r="Q1485" s="45">
        <f t="shared" si="164"/>
        <v>178.64000000000001</v>
      </c>
      <c r="R1485" s="45">
        <v>0</v>
      </c>
      <c r="S1485" s="45">
        <f t="shared" si="165"/>
        <v>0</v>
      </c>
      <c r="T1485" s="45">
        <f t="shared" si="166"/>
        <v>0</v>
      </c>
      <c r="U1485" s="47">
        <f t="shared" si="167"/>
        <v>178.64000000000001</v>
      </c>
    </row>
    <row r="1486" spans="1:21" x14ac:dyDescent="0.3">
      <c r="A1486" s="41" t="str">
        <f t="shared" si="161"/>
        <v>PBANDR</v>
      </c>
      <c r="B1486" s="43">
        <v>45784</v>
      </c>
      <c r="C1486" s="10" t="s">
        <v>1528</v>
      </c>
      <c r="D1486" s="10" t="s">
        <v>21</v>
      </c>
      <c r="E1486" s="10" t="s">
        <v>30</v>
      </c>
      <c r="F1486" s="10" t="s">
        <v>23</v>
      </c>
      <c r="G1486" s="10" t="s">
        <v>5</v>
      </c>
      <c r="H1486" s="10" t="s">
        <v>43</v>
      </c>
      <c r="I1486" s="45">
        <v>2222</v>
      </c>
      <c r="J1486" s="11">
        <v>0.215</v>
      </c>
      <c r="K1486" s="45">
        <f t="shared" si="162"/>
        <v>1744.27</v>
      </c>
      <c r="L1486" s="10">
        <v>42</v>
      </c>
      <c r="M1486" s="10">
        <v>3.1</v>
      </c>
      <c r="N1486" s="10" t="b">
        <v>0</v>
      </c>
      <c r="O1486" s="41"/>
      <c r="P1486" s="45">
        <f t="shared" si="163"/>
        <v>732.59339999999997</v>
      </c>
      <c r="Q1486" s="45">
        <f t="shared" si="164"/>
        <v>1011.6766</v>
      </c>
      <c r="R1486" s="45">
        <v>0</v>
      </c>
      <c r="S1486" s="45">
        <f t="shared" si="165"/>
        <v>0</v>
      </c>
      <c r="T1486" s="45">
        <f t="shared" si="166"/>
        <v>0</v>
      </c>
      <c r="U1486" s="47">
        <f t="shared" si="167"/>
        <v>1011.6766</v>
      </c>
    </row>
    <row r="1487" spans="1:21" x14ac:dyDescent="0.3">
      <c r="A1487" s="41" t="str">
        <f t="shared" si="161"/>
        <v>PZARTO</v>
      </c>
      <c r="B1487" s="43">
        <v>45785</v>
      </c>
      <c r="C1487" s="10" t="s">
        <v>1529</v>
      </c>
      <c r="D1487" s="10" t="s">
        <v>3</v>
      </c>
      <c r="E1487" s="10" t="s">
        <v>9</v>
      </c>
      <c r="F1487" s="10" t="s">
        <v>4</v>
      </c>
      <c r="G1487" s="10" t="s">
        <v>38</v>
      </c>
      <c r="H1487" s="10" t="s">
        <v>58</v>
      </c>
      <c r="I1487" s="45">
        <v>1255</v>
      </c>
      <c r="J1487" s="11">
        <v>0</v>
      </c>
      <c r="K1487" s="45">
        <f t="shared" si="162"/>
        <v>1255</v>
      </c>
      <c r="L1487" s="10">
        <v>24</v>
      </c>
      <c r="M1487" s="10">
        <v>4.4000000000000004</v>
      </c>
      <c r="N1487" s="10" t="b">
        <v>0</v>
      </c>
      <c r="O1487" s="41"/>
      <c r="P1487" s="45">
        <f t="shared" si="163"/>
        <v>527.1</v>
      </c>
      <c r="Q1487" s="45">
        <f t="shared" si="164"/>
        <v>727.9</v>
      </c>
      <c r="R1487" s="45">
        <v>0</v>
      </c>
      <c r="S1487" s="45">
        <f t="shared" si="165"/>
        <v>0</v>
      </c>
      <c r="T1487" s="45">
        <f t="shared" si="166"/>
        <v>0</v>
      </c>
      <c r="U1487" s="47">
        <f t="shared" si="167"/>
        <v>727.9</v>
      </c>
    </row>
    <row r="1488" spans="1:21" x14ac:dyDescent="0.3">
      <c r="A1488" s="41" t="str">
        <f t="shared" si="161"/>
        <v>PBANSH</v>
      </c>
      <c r="B1488" s="43">
        <v>45785</v>
      </c>
      <c r="C1488" s="10" t="s">
        <v>1530</v>
      </c>
      <c r="D1488" s="10" t="s">
        <v>21</v>
      </c>
      <c r="E1488" s="10" t="s">
        <v>18</v>
      </c>
      <c r="F1488" s="10" t="s">
        <v>54</v>
      </c>
      <c r="G1488" s="10" t="s">
        <v>5</v>
      </c>
      <c r="H1488" s="10" t="s">
        <v>47</v>
      </c>
      <c r="I1488" s="45">
        <v>4109</v>
      </c>
      <c r="J1488" s="11">
        <v>0.47499999999999998</v>
      </c>
      <c r="K1488" s="45">
        <f t="shared" si="162"/>
        <v>2157.2249999999999</v>
      </c>
      <c r="L1488" s="10">
        <v>40</v>
      </c>
      <c r="M1488" s="10">
        <v>2.8</v>
      </c>
      <c r="N1488" s="10" t="b">
        <v>0</v>
      </c>
      <c r="O1488" s="41"/>
      <c r="P1488" s="45">
        <f t="shared" si="163"/>
        <v>906.03449999999998</v>
      </c>
      <c r="Q1488" s="45">
        <f t="shared" si="164"/>
        <v>1251.1904999999999</v>
      </c>
      <c r="R1488" s="45">
        <v>0</v>
      </c>
      <c r="S1488" s="45">
        <f t="shared" si="165"/>
        <v>0</v>
      </c>
      <c r="T1488" s="45">
        <f t="shared" si="166"/>
        <v>0</v>
      </c>
      <c r="U1488" s="47">
        <f t="shared" si="167"/>
        <v>1251.1904999999999</v>
      </c>
    </row>
    <row r="1489" spans="1:21" x14ac:dyDescent="0.3">
      <c r="A1489" s="41" t="str">
        <f t="shared" si="161"/>
        <v>PUNIAC</v>
      </c>
      <c r="B1489" s="43">
        <v>45785</v>
      </c>
      <c r="C1489" s="10" t="s">
        <v>1531</v>
      </c>
      <c r="D1489" s="10" t="s">
        <v>10</v>
      </c>
      <c r="E1489" s="10" t="s">
        <v>15</v>
      </c>
      <c r="F1489" s="10" t="s">
        <v>54</v>
      </c>
      <c r="G1489" s="10" t="s">
        <v>7</v>
      </c>
      <c r="H1489" s="10" t="s">
        <v>6</v>
      </c>
      <c r="I1489" s="45">
        <v>397</v>
      </c>
      <c r="J1489" s="11">
        <v>2.5000000000000001E-2</v>
      </c>
      <c r="K1489" s="45">
        <f t="shared" si="162"/>
        <v>387.07499999999999</v>
      </c>
      <c r="L1489" s="10">
        <v>16</v>
      </c>
      <c r="M1489" s="10">
        <v>2.8</v>
      </c>
      <c r="N1489" s="10" t="b">
        <v>1</v>
      </c>
      <c r="O1489" s="41" t="s">
        <v>33</v>
      </c>
      <c r="P1489" s="45">
        <f t="shared" si="163"/>
        <v>162.57149999999999</v>
      </c>
      <c r="Q1489" s="45">
        <f t="shared" si="164"/>
        <v>224.5035</v>
      </c>
      <c r="R1489" s="45">
        <v>150</v>
      </c>
      <c r="S1489" s="45">
        <f t="shared" si="165"/>
        <v>38.707500000000003</v>
      </c>
      <c r="T1489" s="45">
        <f t="shared" si="166"/>
        <v>387.07499999999999</v>
      </c>
      <c r="U1489" s="47">
        <f t="shared" si="167"/>
        <v>-351.279</v>
      </c>
    </row>
    <row r="1490" spans="1:21" x14ac:dyDescent="0.3">
      <c r="A1490" s="41" t="str">
        <f t="shared" si="161"/>
        <v>PZARSH</v>
      </c>
      <c r="B1490" s="43">
        <v>45785</v>
      </c>
      <c r="C1490" s="10" t="s">
        <v>1532</v>
      </c>
      <c r="D1490" s="10" t="s">
        <v>3</v>
      </c>
      <c r="E1490" s="10" t="s">
        <v>18</v>
      </c>
      <c r="F1490" s="10" t="s">
        <v>11</v>
      </c>
      <c r="G1490" s="10" t="s">
        <v>27</v>
      </c>
      <c r="H1490" s="10" t="s">
        <v>43</v>
      </c>
      <c r="I1490" s="45">
        <v>3576</v>
      </c>
      <c r="J1490" s="11">
        <v>0</v>
      </c>
      <c r="K1490" s="45">
        <f t="shared" si="162"/>
        <v>3576</v>
      </c>
      <c r="L1490" s="10">
        <v>5</v>
      </c>
      <c r="M1490" s="10">
        <v>1.6</v>
      </c>
      <c r="N1490" s="10" t="b">
        <v>0</v>
      </c>
      <c r="O1490" s="41"/>
      <c r="P1490" s="45">
        <f t="shared" si="163"/>
        <v>1501.9199999999998</v>
      </c>
      <c r="Q1490" s="45">
        <f t="shared" si="164"/>
        <v>2074.08</v>
      </c>
      <c r="R1490" s="45">
        <v>0</v>
      </c>
      <c r="S1490" s="45">
        <f t="shared" si="165"/>
        <v>0</v>
      </c>
      <c r="T1490" s="45">
        <f t="shared" si="166"/>
        <v>0</v>
      </c>
      <c r="U1490" s="47">
        <f t="shared" si="167"/>
        <v>2074.08</v>
      </c>
    </row>
    <row r="1491" spans="1:21" x14ac:dyDescent="0.3">
      <c r="A1491" s="41" t="str">
        <f t="shared" si="161"/>
        <v>PANNTO</v>
      </c>
      <c r="B1491" s="43">
        <v>45786</v>
      </c>
      <c r="C1491" s="10" t="s">
        <v>1533</v>
      </c>
      <c r="D1491" s="10" t="s">
        <v>42</v>
      </c>
      <c r="E1491" s="10" t="s">
        <v>9</v>
      </c>
      <c r="F1491" s="10" t="s">
        <v>11</v>
      </c>
      <c r="G1491" s="10" t="s">
        <v>12</v>
      </c>
      <c r="H1491" s="10" t="s">
        <v>43</v>
      </c>
      <c r="I1491" s="45">
        <v>1467</v>
      </c>
      <c r="J1491" s="11">
        <v>0</v>
      </c>
      <c r="K1491" s="45">
        <f t="shared" si="162"/>
        <v>1467</v>
      </c>
      <c r="L1491" s="10">
        <v>26</v>
      </c>
      <c r="M1491" s="10">
        <v>4.9000000000000004</v>
      </c>
      <c r="N1491" s="10" t="b">
        <v>1</v>
      </c>
      <c r="O1491" s="41" t="s">
        <v>50</v>
      </c>
      <c r="P1491" s="45">
        <f t="shared" si="163"/>
        <v>616.14</v>
      </c>
      <c r="Q1491" s="45">
        <f t="shared" si="164"/>
        <v>850.86</v>
      </c>
      <c r="R1491" s="45">
        <v>150</v>
      </c>
      <c r="S1491" s="45">
        <f t="shared" si="165"/>
        <v>146.70000000000002</v>
      </c>
      <c r="T1491" s="45">
        <f t="shared" si="166"/>
        <v>1467</v>
      </c>
      <c r="U1491" s="47">
        <f t="shared" si="167"/>
        <v>-912.84</v>
      </c>
    </row>
    <row r="1492" spans="1:21" x14ac:dyDescent="0.3">
      <c r="A1492" s="41" t="str">
        <f t="shared" si="161"/>
        <v>PGAPSH</v>
      </c>
      <c r="B1492" s="43">
        <v>45786</v>
      </c>
      <c r="C1492" s="10" t="s">
        <v>1534</v>
      </c>
      <c r="D1492" s="10" t="s">
        <v>53</v>
      </c>
      <c r="E1492" s="10" t="s">
        <v>18</v>
      </c>
      <c r="F1492" s="10" t="s">
        <v>11</v>
      </c>
      <c r="G1492" s="10" t="s">
        <v>46</v>
      </c>
      <c r="H1492" s="10" t="s">
        <v>88</v>
      </c>
      <c r="I1492" s="45">
        <v>4381</v>
      </c>
      <c r="J1492" s="11">
        <v>0.19500000000000001</v>
      </c>
      <c r="K1492" s="45">
        <f t="shared" si="162"/>
        <v>3526.7049999999999</v>
      </c>
      <c r="L1492" s="10">
        <v>49</v>
      </c>
      <c r="M1492" s="10">
        <v>1.3</v>
      </c>
      <c r="N1492" s="10" t="b">
        <v>0</v>
      </c>
      <c r="O1492" s="41"/>
      <c r="P1492" s="45">
        <f t="shared" si="163"/>
        <v>1481.2160999999999</v>
      </c>
      <c r="Q1492" s="45">
        <f t="shared" si="164"/>
        <v>2045.4889000000001</v>
      </c>
      <c r="R1492" s="45">
        <v>0</v>
      </c>
      <c r="S1492" s="45">
        <f t="shared" si="165"/>
        <v>0</v>
      </c>
      <c r="T1492" s="45">
        <f t="shared" si="166"/>
        <v>0</v>
      </c>
      <c r="U1492" s="47">
        <f t="shared" si="167"/>
        <v>2045.4889000000001</v>
      </c>
    </row>
    <row r="1493" spans="1:21" x14ac:dyDescent="0.3">
      <c r="A1493" s="41" t="str">
        <f t="shared" si="161"/>
        <v>PUNIOU</v>
      </c>
      <c r="B1493" s="43">
        <v>45786</v>
      </c>
      <c r="C1493" s="10" t="s">
        <v>1535</v>
      </c>
      <c r="D1493" s="10" t="s">
        <v>10</v>
      </c>
      <c r="E1493" s="10" t="s">
        <v>2</v>
      </c>
      <c r="F1493" s="10" t="s">
        <v>23</v>
      </c>
      <c r="G1493" s="10" t="s">
        <v>12</v>
      </c>
      <c r="H1493" s="10" t="s">
        <v>35</v>
      </c>
      <c r="I1493" s="45">
        <v>4126</v>
      </c>
      <c r="J1493" s="11">
        <v>0</v>
      </c>
      <c r="K1493" s="45">
        <f t="shared" si="162"/>
        <v>4126</v>
      </c>
      <c r="L1493" s="10">
        <v>13</v>
      </c>
      <c r="M1493" s="10">
        <v>4.8</v>
      </c>
      <c r="N1493" s="10" t="b">
        <v>0</v>
      </c>
      <c r="O1493" s="41"/>
      <c r="P1493" s="45">
        <f t="shared" si="163"/>
        <v>1732.9199999999998</v>
      </c>
      <c r="Q1493" s="45">
        <f t="shared" si="164"/>
        <v>2393.08</v>
      </c>
      <c r="R1493" s="45">
        <v>0</v>
      </c>
      <c r="S1493" s="45">
        <f t="shared" si="165"/>
        <v>0</v>
      </c>
      <c r="T1493" s="45">
        <f t="shared" si="166"/>
        <v>0</v>
      </c>
      <c r="U1493" s="47">
        <f t="shared" si="167"/>
        <v>2393.08</v>
      </c>
    </row>
    <row r="1494" spans="1:21" x14ac:dyDescent="0.3">
      <c r="A1494" s="41" t="str">
        <f t="shared" si="161"/>
        <v>PH&amp;MSH</v>
      </c>
      <c r="B1494" s="43">
        <v>45786</v>
      </c>
      <c r="C1494" s="10" t="s">
        <v>1536</v>
      </c>
      <c r="D1494" s="10" t="s">
        <v>37</v>
      </c>
      <c r="E1494" s="10" t="s">
        <v>18</v>
      </c>
      <c r="F1494" s="10" t="s">
        <v>54</v>
      </c>
      <c r="G1494" s="10" t="s">
        <v>49</v>
      </c>
      <c r="H1494" s="10" t="s">
        <v>32</v>
      </c>
      <c r="I1494" s="45">
        <v>3336</v>
      </c>
      <c r="J1494" s="11">
        <v>0</v>
      </c>
      <c r="K1494" s="45">
        <f t="shared" si="162"/>
        <v>3336</v>
      </c>
      <c r="L1494" s="10">
        <v>27</v>
      </c>
      <c r="M1494" s="10">
        <v>4.7</v>
      </c>
      <c r="N1494" s="10" t="b">
        <v>0</v>
      </c>
      <c r="O1494" s="41"/>
      <c r="P1494" s="45">
        <f t="shared" si="163"/>
        <v>1401.12</v>
      </c>
      <c r="Q1494" s="45">
        <f t="shared" si="164"/>
        <v>1934.88</v>
      </c>
      <c r="R1494" s="45">
        <v>0</v>
      </c>
      <c r="S1494" s="45">
        <f t="shared" si="165"/>
        <v>0</v>
      </c>
      <c r="T1494" s="45">
        <f t="shared" si="166"/>
        <v>0</v>
      </c>
      <c r="U1494" s="47">
        <f t="shared" si="167"/>
        <v>1934.88</v>
      </c>
    </row>
    <row r="1495" spans="1:21" x14ac:dyDescent="0.3">
      <c r="A1495" s="41" t="str">
        <f t="shared" si="161"/>
        <v>PMANBO</v>
      </c>
      <c r="B1495" s="43">
        <v>45787</v>
      </c>
      <c r="C1495" s="10" t="s">
        <v>1537</v>
      </c>
      <c r="D1495" s="10" t="s">
        <v>31</v>
      </c>
      <c r="E1495" s="10" t="s">
        <v>26</v>
      </c>
      <c r="F1495" s="10" t="s">
        <v>4</v>
      </c>
      <c r="G1495" s="10" t="s">
        <v>27</v>
      </c>
      <c r="H1495" s="10" t="s">
        <v>43</v>
      </c>
      <c r="I1495" s="45">
        <v>2497</v>
      </c>
      <c r="J1495" s="11">
        <v>0</v>
      </c>
      <c r="K1495" s="45">
        <f t="shared" si="162"/>
        <v>2497</v>
      </c>
      <c r="L1495" s="10">
        <v>28</v>
      </c>
      <c r="M1495" s="10">
        <v>1.8</v>
      </c>
      <c r="N1495" s="10" t="b">
        <v>0</v>
      </c>
      <c r="O1495" s="41"/>
      <c r="P1495" s="45">
        <f t="shared" si="163"/>
        <v>1048.74</v>
      </c>
      <c r="Q1495" s="45">
        <f t="shared" si="164"/>
        <v>1448.26</v>
      </c>
      <c r="R1495" s="45">
        <v>0</v>
      </c>
      <c r="S1495" s="45">
        <f t="shared" si="165"/>
        <v>0</v>
      </c>
      <c r="T1495" s="45">
        <f t="shared" si="166"/>
        <v>0</v>
      </c>
      <c r="U1495" s="47">
        <f t="shared" si="167"/>
        <v>1448.26</v>
      </c>
    </row>
    <row r="1496" spans="1:21" x14ac:dyDescent="0.3">
      <c r="A1496" s="41" t="str">
        <f t="shared" si="161"/>
        <v>PANNOU</v>
      </c>
      <c r="B1496" s="43">
        <v>45787</v>
      </c>
      <c r="C1496" s="10" t="s">
        <v>1538</v>
      </c>
      <c r="D1496" s="10" t="s">
        <v>42</v>
      </c>
      <c r="E1496" s="10" t="s">
        <v>2</v>
      </c>
      <c r="F1496" s="10" t="s">
        <v>23</v>
      </c>
      <c r="G1496" s="10" t="s">
        <v>27</v>
      </c>
      <c r="H1496" s="10" t="s">
        <v>58</v>
      </c>
      <c r="I1496" s="45">
        <v>3597</v>
      </c>
      <c r="J1496" s="11">
        <v>0</v>
      </c>
      <c r="K1496" s="45">
        <f t="shared" si="162"/>
        <v>3597</v>
      </c>
      <c r="L1496" s="10">
        <v>7</v>
      </c>
      <c r="M1496" s="10">
        <v>2</v>
      </c>
      <c r="N1496" s="10" t="b">
        <v>0</v>
      </c>
      <c r="O1496" s="41"/>
      <c r="P1496" s="45">
        <f t="shared" si="163"/>
        <v>1510.74</v>
      </c>
      <c r="Q1496" s="45">
        <f t="shared" si="164"/>
        <v>2086.2600000000002</v>
      </c>
      <c r="R1496" s="45">
        <v>0</v>
      </c>
      <c r="S1496" s="45">
        <f t="shared" si="165"/>
        <v>0</v>
      </c>
      <c r="T1496" s="45">
        <f t="shared" si="166"/>
        <v>0</v>
      </c>
      <c r="U1496" s="47">
        <f t="shared" si="167"/>
        <v>2086.2600000000002</v>
      </c>
    </row>
    <row r="1497" spans="1:21" x14ac:dyDescent="0.3">
      <c r="A1497" s="41" t="str">
        <f t="shared" si="161"/>
        <v>PH&amp;MDR</v>
      </c>
      <c r="B1497" s="43">
        <v>45787</v>
      </c>
      <c r="C1497" s="10" t="s">
        <v>1539</v>
      </c>
      <c r="D1497" s="10" t="s">
        <v>37</v>
      </c>
      <c r="E1497" s="10" t="s">
        <v>30</v>
      </c>
      <c r="F1497" s="10" t="s">
        <v>54</v>
      </c>
      <c r="G1497" s="10" t="s">
        <v>7</v>
      </c>
      <c r="H1497" s="10" t="s">
        <v>58</v>
      </c>
      <c r="I1497" s="45">
        <v>1892</v>
      </c>
      <c r="J1497" s="11">
        <v>0</v>
      </c>
      <c r="K1497" s="45">
        <f t="shared" si="162"/>
        <v>1892</v>
      </c>
      <c r="L1497" s="10">
        <v>17</v>
      </c>
      <c r="M1497" s="10">
        <v>1.3</v>
      </c>
      <c r="N1497" s="10" t="b">
        <v>0</v>
      </c>
      <c r="O1497" s="41"/>
      <c r="P1497" s="45">
        <f t="shared" si="163"/>
        <v>794.64</v>
      </c>
      <c r="Q1497" s="45">
        <f t="shared" si="164"/>
        <v>1097.3600000000001</v>
      </c>
      <c r="R1497" s="45">
        <v>0</v>
      </c>
      <c r="S1497" s="45">
        <f t="shared" si="165"/>
        <v>0</v>
      </c>
      <c r="T1497" s="45">
        <f t="shared" si="166"/>
        <v>0</v>
      </c>
      <c r="U1497" s="47">
        <f t="shared" si="167"/>
        <v>1097.3600000000001</v>
      </c>
    </row>
    <row r="1498" spans="1:21" x14ac:dyDescent="0.3">
      <c r="A1498" s="41" t="str">
        <f t="shared" si="161"/>
        <v>PZARSH</v>
      </c>
      <c r="B1498" s="43">
        <v>45788</v>
      </c>
      <c r="C1498" s="10" t="s">
        <v>1540</v>
      </c>
      <c r="D1498" s="10" t="s">
        <v>3</v>
      </c>
      <c r="E1498" s="10" t="s">
        <v>18</v>
      </c>
      <c r="F1498" s="10" t="s">
        <v>11</v>
      </c>
      <c r="G1498" s="10" t="s">
        <v>5</v>
      </c>
      <c r="H1498" s="10" t="s">
        <v>43</v>
      </c>
      <c r="I1498" s="45">
        <v>3166</v>
      </c>
      <c r="J1498" s="11">
        <v>0</v>
      </c>
      <c r="K1498" s="45">
        <f t="shared" si="162"/>
        <v>3166</v>
      </c>
      <c r="L1498" s="10">
        <v>0</v>
      </c>
      <c r="M1498" s="10"/>
      <c r="N1498" s="10" t="b">
        <v>1</v>
      </c>
      <c r="O1498" s="41" t="s">
        <v>19</v>
      </c>
      <c r="P1498" s="45">
        <f t="shared" si="163"/>
        <v>1329.72</v>
      </c>
      <c r="Q1498" s="45">
        <f t="shared" si="164"/>
        <v>1836.28</v>
      </c>
      <c r="R1498" s="45">
        <v>150</v>
      </c>
      <c r="S1498" s="45">
        <f t="shared" si="165"/>
        <v>316.60000000000002</v>
      </c>
      <c r="T1498" s="45">
        <f t="shared" si="166"/>
        <v>3166</v>
      </c>
      <c r="U1498" s="47">
        <f t="shared" si="167"/>
        <v>-1796.3200000000002</v>
      </c>
    </row>
    <row r="1499" spans="1:21" x14ac:dyDescent="0.3">
      <c r="A1499" s="41" t="str">
        <f t="shared" si="161"/>
        <v>PFOROU</v>
      </c>
      <c r="B1499" s="43">
        <v>45788</v>
      </c>
      <c r="C1499" s="10" t="s">
        <v>1541</v>
      </c>
      <c r="D1499" s="10" t="s">
        <v>65</v>
      </c>
      <c r="E1499" s="10" t="s">
        <v>2</v>
      </c>
      <c r="F1499" s="10" t="s">
        <v>11</v>
      </c>
      <c r="G1499" s="10" t="s">
        <v>46</v>
      </c>
      <c r="H1499" s="10" t="s">
        <v>58</v>
      </c>
      <c r="I1499" s="45">
        <v>4453</v>
      </c>
      <c r="J1499" s="11">
        <v>0.10199999999999999</v>
      </c>
      <c r="K1499" s="45">
        <f t="shared" si="162"/>
        <v>3998.7939999999999</v>
      </c>
      <c r="L1499" s="10">
        <v>10</v>
      </c>
      <c r="M1499" s="10">
        <v>3.6</v>
      </c>
      <c r="N1499" s="10" t="b">
        <v>0</v>
      </c>
      <c r="O1499" s="41"/>
      <c r="P1499" s="45">
        <f t="shared" si="163"/>
        <v>1679.4934799999999</v>
      </c>
      <c r="Q1499" s="45">
        <f t="shared" si="164"/>
        <v>2319.3005199999998</v>
      </c>
      <c r="R1499" s="45">
        <v>0</v>
      </c>
      <c r="S1499" s="45">
        <f t="shared" si="165"/>
        <v>0</v>
      </c>
      <c r="T1499" s="45">
        <f t="shared" si="166"/>
        <v>0</v>
      </c>
      <c r="U1499" s="47">
        <f t="shared" si="167"/>
        <v>2319.3005199999998</v>
      </c>
    </row>
    <row r="1500" spans="1:21" x14ac:dyDescent="0.3">
      <c r="A1500" s="41" t="str">
        <f t="shared" si="161"/>
        <v>PFORTO</v>
      </c>
      <c r="B1500" s="43">
        <v>45788</v>
      </c>
      <c r="C1500" s="10" t="s">
        <v>1542</v>
      </c>
      <c r="D1500" s="10" t="s">
        <v>65</v>
      </c>
      <c r="E1500" s="10" t="s">
        <v>9</v>
      </c>
      <c r="F1500" s="10" t="s">
        <v>54</v>
      </c>
      <c r="G1500" s="10" t="s">
        <v>27</v>
      </c>
      <c r="H1500" s="10" t="s">
        <v>6</v>
      </c>
      <c r="I1500" s="45">
        <v>1470</v>
      </c>
      <c r="J1500" s="11">
        <v>0</v>
      </c>
      <c r="K1500" s="45">
        <f t="shared" si="162"/>
        <v>1470</v>
      </c>
      <c r="L1500" s="10">
        <v>15</v>
      </c>
      <c r="M1500" s="10">
        <v>2.7</v>
      </c>
      <c r="N1500" s="10" t="b">
        <v>0</v>
      </c>
      <c r="O1500" s="41"/>
      <c r="P1500" s="45">
        <f t="shared" si="163"/>
        <v>617.4</v>
      </c>
      <c r="Q1500" s="45">
        <f t="shared" si="164"/>
        <v>852.6</v>
      </c>
      <c r="R1500" s="45">
        <v>0</v>
      </c>
      <c r="S1500" s="45">
        <f t="shared" si="165"/>
        <v>0</v>
      </c>
      <c r="T1500" s="45">
        <f t="shared" si="166"/>
        <v>0</v>
      </c>
      <c r="U1500" s="47">
        <f t="shared" si="167"/>
        <v>852.6</v>
      </c>
    </row>
    <row r="1501" spans="1:21" x14ac:dyDescent="0.3">
      <c r="A1501" s="41" t="str">
        <f t="shared" si="161"/>
        <v>PBANSH</v>
      </c>
      <c r="B1501" s="43">
        <v>45788</v>
      </c>
      <c r="C1501" s="10" t="s">
        <v>1543</v>
      </c>
      <c r="D1501" s="10" t="s">
        <v>21</v>
      </c>
      <c r="E1501" s="10" t="s">
        <v>18</v>
      </c>
      <c r="F1501" s="10" t="s">
        <v>11</v>
      </c>
      <c r="G1501" s="10" t="s">
        <v>12</v>
      </c>
      <c r="H1501" s="10" t="s">
        <v>58</v>
      </c>
      <c r="I1501" s="45">
        <v>3641</v>
      </c>
      <c r="J1501" s="11">
        <v>0</v>
      </c>
      <c r="K1501" s="45">
        <f t="shared" si="162"/>
        <v>3641</v>
      </c>
      <c r="L1501" s="10">
        <v>5</v>
      </c>
      <c r="M1501" s="10">
        <v>4.5</v>
      </c>
      <c r="N1501" s="10" t="b">
        <v>0</v>
      </c>
      <c r="O1501" s="41"/>
      <c r="P1501" s="45">
        <f t="shared" si="163"/>
        <v>1529.22</v>
      </c>
      <c r="Q1501" s="45">
        <f t="shared" si="164"/>
        <v>2111.7799999999997</v>
      </c>
      <c r="R1501" s="45">
        <v>0</v>
      </c>
      <c r="S1501" s="45">
        <f t="shared" si="165"/>
        <v>0</v>
      </c>
      <c r="T1501" s="45">
        <f t="shared" si="166"/>
        <v>0</v>
      </c>
      <c r="U1501" s="47">
        <f t="shared" si="167"/>
        <v>2111.7799999999997</v>
      </c>
    </row>
    <row r="1502" spans="1:21" x14ac:dyDescent="0.3">
      <c r="A1502" s="41" t="str">
        <f t="shared" si="161"/>
        <v>PH&amp;MOU</v>
      </c>
      <c r="B1502" s="43">
        <v>45789</v>
      </c>
      <c r="C1502" s="10" t="s">
        <v>1544</v>
      </c>
      <c r="D1502" s="10" t="s">
        <v>37</v>
      </c>
      <c r="E1502" s="10" t="s">
        <v>2</v>
      </c>
      <c r="F1502" s="10" t="s">
        <v>4</v>
      </c>
      <c r="G1502" s="10" t="s">
        <v>12</v>
      </c>
      <c r="H1502" s="10" t="s">
        <v>47</v>
      </c>
      <c r="I1502" s="45">
        <v>3478</v>
      </c>
      <c r="J1502" s="11">
        <v>0</v>
      </c>
      <c r="K1502" s="45">
        <f t="shared" si="162"/>
        <v>3478</v>
      </c>
      <c r="L1502" s="10">
        <v>22</v>
      </c>
      <c r="M1502" s="10">
        <v>4.7</v>
      </c>
      <c r="N1502" s="10" t="b">
        <v>0</v>
      </c>
      <c r="O1502" s="41"/>
      <c r="P1502" s="45">
        <f t="shared" si="163"/>
        <v>1460.76</v>
      </c>
      <c r="Q1502" s="45">
        <f t="shared" si="164"/>
        <v>2017.24</v>
      </c>
      <c r="R1502" s="45">
        <v>0</v>
      </c>
      <c r="S1502" s="45">
        <f t="shared" si="165"/>
        <v>0</v>
      </c>
      <c r="T1502" s="45">
        <f t="shared" si="166"/>
        <v>0</v>
      </c>
      <c r="U1502" s="47">
        <f t="shared" si="167"/>
        <v>2017.24</v>
      </c>
    </row>
    <row r="1503" spans="1:21" x14ac:dyDescent="0.3">
      <c r="A1503" s="41" t="str">
        <f t="shared" si="161"/>
        <v>PZARAC</v>
      </c>
      <c r="B1503" s="43">
        <v>45789</v>
      </c>
      <c r="C1503" s="10" t="s">
        <v>1545</v>
      </c>
      <c r="D1503" s="10" t="s">
        <v>3</v>
      </c>
      <c r="E1503" s="10" t="s">
        <v>15</v>
      </c>
      <c r="F1503" s="10" t="s">
        <v>11</v>
      </c>
      <c r="G1503" s="10" t="s">
        <v>7</v>
      </c>
      <c r="H1503" s="10" t="s">
        <v>88</v>
      </c>
      <c r="I1503" s="45">
        <v>288</v>
      </c>
      <c r="J1503" s="11">
        <v>0</v>
      </c>
      <c r="K1503" s="45">
        <f t="shared" si="162"/>
        <v>288</v>
      </c>
      <c r="L1503" s="10">
        <v>18</v>
      </c>
      <c r="M1503" s="10">
        <v>4.4000000000000004</v>
      </c>
      <c r="N1503" s="10" t="b">
        <v>0</v>
      </c>
      <c r="O1503" s="41"/>
      <c r="P1503" s="45">
        <f t="shared" si="163"/>
        <v>120.96</v>
      </c>
      <c r="Q1503" s="45">
        <f t="shared" si="164"/>
        <v>167.04000000000002</v>
      </c>
      <c r="R1503" s="45">
        <v>0</v>
      </c>
      <c r="S1503" s="45">
        <f t="shared" si="165"/>
        <v>0</v>
      </c>
      <c r="T1503" s="45">
        <f t="shared" si="166"/>
        <v>0</v>
      </c>
      <c r="U1503" s="47">
        <f t="shared" si="167"/>
        <v>167.04000000000002</v>
      </c>
    </row>
    <row r="1504" spans="1:21" x14ac:dyDescent="0.3">
      <c r="A1504" s="41" t="str">
        <f t="shared" si="161"/>
        <v>PH&amp;MDR</v>
      </c>
      <c r="B1504" s="43">
        <v>45789</v>
      </c>
      <c r="C1504" s="10" t="s">
        <v>1546</v>
      </c>
      <c r="D1504" s="10" t="s">
        <v>37</v>
      </c>
      <c r="E1504" s="10" t="s">
        <v>30</v>
      </c>
      <c r="F1504" s="10" t="s">
        <v>54</v>
      </c>
      <c r="G1504" s="10" t="s">
        <v>46</v>
      </c>
      <c r="H1504" s="10" t="s">
        <v>58</v>
      </c>
      <c r="I1504" s="45">
        <v>2963</v>
      </c>
      <c r="J1504" s="11">
        <v>0</v>
      </c>
      <c r="K1504" s="45">
        <f t="shared" si="162"/>
        <v>2963</v>
      </c>
      <c r="L1504" s="10">
        <v>23</v>
      </c>
      <c r="M1504" s="10">
        <v>4.8</v>
      </c>
      <c r="N1504" s="10" t="b">
        <v>0</v>
      </c>
      <c r="O1504" s="41"/>
      <c r="P1504" s="45">
        <f t="shared" si="163"/>
        <v>1244.46</v>
      </c>
      <c r="Q1504" s="45">
        <f t="shared" si="164"/>
        <v>1718.54</v>
      </c>
      <c r="R1504" s="45">
        <v>0</v>
      </c>
      <c r="S1504" s="45">
        <f t="shared" si="165"/>
        <v>0</v>
      </c>
      <c r="T1504" s="45">
        <f t="shared" si="166"/>
        <v>0</v>
      </c>
      <c r="U1504" s="47">
        <f t="shared" si="167"/>
        <v>1718.54</v>
      </c>
    </row>
    <row r="1505" spans="1:21" x14ac:dyDescent="0.3">
      <c r="A1505" s="41" t="str">
        <f t="shared" si="161"/>
        <v>PUNIDR</v>
      </c>
      <c r="B1505" s="43">
        <v>45789</v>
      </c>
      <c r="C1505" s="10" t="s">
        <v>1547</v>
      </c>
      <c r="D1505" s="10" t="s">
        <v>10</v>
      </c>
      <c r="E1505" s="10" t="s">
        <v>30</v>
      </c>
      <c r="F1505" s="10" t="s">
        <v>23</v>
      </c>
      <c r="G1505" s="10" t="s">
        <v>12</v>
      </c>
      <c r="H1505" s="10" t="s">
        <v>43</v>
      </c>
      <c r="I1505" s="45">
        <v>1847</v>
      </c>
      <c r="J1505" s="11">
        <v>0</v>
      </c>
      <c r="K1505" s="45">
        <f t="shared" si="162"/>
        <v>1847</v>
      </c>
      <c r="L1505" s="10">
        <v>44</v>
      </c>
      <c r="M1505" s="10">
        <v>3.9</v>
      </c>
      <c r="N1505" s="10" t="b">
        <v>1</v>
      </c>
      <c r="O1505" s="41" t="s">
        <v>33</v>
      </c>
      <c r="P1505" s="45">
        <f t="shared" si="163"/>
        <v>775.74</v>
      </c>
      <c r="Q1505" s="45">
        <f t="shared" si="164"/>
        <v>1071.26</v>
      </c>
      <c r="R1505" s="45">
        <v>150</v>
      </c>
      <c r="S1505" s="45">
        <f t="shared" si="165"/>
        <v>184.70000000000002</v>
      </c>
      <c r="T1505" s="45">
        <f t="shared" si="166"/>
        <v>1847</v>
      </c>
      <c r="U1505" s="47">
        <f t="shared" si="167"/>
        <v>-1110.44</v>
      </c>
    </row>
    <row r="1506" spans="1:21" x14ac:dyDescent="0.3">
      <c r="A1506" s="41" t="str">
        <f t="shared" si="161"/>
        <v>PANNBO</v>
      </c>
      <c r="B1506" s="43">
        <v>45789</v>
      </c>
      <c r="C1506" s="10" t="s">
        <v>1548</v>
      </c>
      <c r="D1506" s="10" t="s">
        <v>42</v>
      </c>
      <c r="E1506" s="10" t="s">
        <v>26</v>
      </c>
      <c r="F1506" s="10" t="s">
        <v>23</v>
      </c>
      <c r="G1506" s="10" t="s">
        <v>5</v>
      </c>
      <c r="H1506" s="10" t="s">
        <v>16</v>
      </c>
      <c r="I1506" s="45">
        <v>2423</v>
      </c>
      <c r="J1506" s="11">
        <v>0</v>
      </c>
      <c r="K1506" s="45">
        <f t="shared" si="162"/>
        <v>2423</v>
      </c>
      <c r="L1506" s="10">
        <v>2</v>
      </c>
      <c r="M1506" s="10">
        <v>3.7</v>
      </c>
      <c r="N1506" s="10" t="b">
        <v>0</v>
      </c>
      <c r="O1506" s="41"/>
      <c r="P1506" s="45">
        <f t="shared" si="163"/>
        <v>1017.66</v>
      </c>
      <c r="Q1506" s="45">
        <f t="shared" si="164"/>
        <v>1405.3400000000001</v>
      </c>
      <c r="R1506" s="45">
        <v>0</v>
      </c>
      <c r="S1506" s="45">
        <f t="shared" si="165"/>
        <v>0</v>
      </c>
      <c r="T1506" s="45">
        <f t="shared" si="166"/>
        <v>0</v>
      </c>
      <c r="U1506" s="47">
        <f t="shared" si="167"/>
        <v>1405.3400000000001</v>
      </c>
    </row>
    <row r="1507" spans="1:21" x14ac:dyDescent="0.3">
      <c r="A1507" s="41" t="str">
        <f t="shared" si="161"/>
        <v>PUNISH</v>
      </c>
      <c r="B1507" s="43">
        <v>45790</v>
      </c>
      <c r="C1507" s="10" t="s">
        <v>1549</v>
      </c>
      <c r="D1507" s="10" t="s">
        <v>10</v>
      </c>
      <c r="E1507" s="10" t="s">
        <v>18</v>
      </c>
      <c r="F1507" s="10" t="s">
        <v>4</v>
      </c>
      <c r="G1507" s="10" t="s">
        <v>12</v>
      </c>
      <c r="H1507" s="10" t="s">
        <v>88</v>
      </c>
      <c r="I1507" s="45">
        <v>3475</v>
      </c>
      <c r="J1507" s="11">
        <v>0.44299999999999995</v>
      </c>
      <c r="K1507" s="45">
        <f t="shared" si="162"/>
        <v>1935.5750000000003</v>
      </c>
      <c r="L1507" s="10">
        <v>19</v>
      </c>
      <c r="M1507" s="10">
        <v>1.8</v>
      </c>
      <c r="N1507" s="10" t="b">
        <v>0</v>
      </c>
      <c r="O1507" s="41"/>
      <c r="P1507" s="45">
        <f t="shared" si="163"/>
        <v>812.94150000000013</v>
      </c>
      <c r="Q1507" s="45">
        <f t="shared" si="164"/>
        <v>1122.6335000000001</v>
      </c>
      <c r="R1507" s="45">
        <v>0</v>
      </c>
      <c r="S1507" s="45">
        <f t="shared" si="165"/>
        <v>0</v>
      </c>
      <c r="T1507" s="45">
        <f t="shared" si="166"/>
        <v>0</v>
      </c>
      <c r="U1507" s="47">
        <f t="shared" si="167"/>
        <v>1122.6335000000001</v>
      </c>
    </row>
    <row r="1508" spans="1:21" x14ac:dyDescent="0.3">
      <c r="A1508" s="41" t="str">
        <f t="shared" si="161"/>
        <v>PFORBO</v>
      </c>
      <c r="B1508" s="43">
        <v>45790</v>
      </c>
      <c r="C1508" s="10" t="s">
        <v>1550</v>
      </c>
      <c r="D1508" s="10" t="s">
        <v>65</v>
      </c>
      <c r="E1508" s="10" t="s">
        <v>26</v>
      </c>
      <c r="F1508" s="10" t="s">
        <v>54</v>
      </c>
      <c r="G1508" s="10" t="s">
        <v>38</v>
      </c>
      <c r="H1508" s="10" t="s">
        <v>16</v>
      </c>
      <c r="I1508" s="45">
        <v>2888</v>
      </c>
      <c r="J1508" s="11">
        <v>0</v>
      </c>
      <c r="K1508" s="45">
        <f t="shared" si="162"/>
        <v>2888</v>
      </c>
      <c r="L1508" s="10">
        <v>5</v>
      </c>
      <c r="M1508" s="10">
        <v>3.1</v>
      </c>
      <c r="N1508" s="10" t="b">
        <v>0</v>
      </c>
      <c r="O1508" s="41"/>
      <c r="P1508" s="45">
        <f t="shared" si="163"/>
        <v>1212.96</v>
      </c>
      <c r="Q1508" s="45">
        <f t="shared" si="164"/>
        <v>1675.04</v>
      </c>
      <c r="R1508" s="45">
        <v>0</v>
      </c>
      <c r="S1508" s="45">
        <f t="shared" si="165"/>
        <v>0</v>
      </c>
      <c r="T1508" s="45">
        <f t="shared" si="166"/>
        <v>0</v>
      </c>
      <c r="U1508" s="47">
        <f t="shared" si="167"/>
        <v>1675.04</v>
      </c>
    </row>
    <row r="1509" spans="1:21" x14ac:dyDescent="0.3">
      <c r="A1509" s="41" t="str">
        <f t="shared" si="161"/>
        <v>PFORSH</v>
      </c>
      <c r="B1509" s="43">
        <v>45790</v>
      </c>
      <c r="C1509" s="10" t="s">
        <v>1551</v>
      </c>
      <c r="D1509" s="10" t="s">
        <v>65</v>
      </c>
      <c r="E1509" s="10" t="s">
        <v>18</v>
      </c>
      <c r="F1509" s="10" t="s">
        <v>11</v>
      </c>
      <c r="G1509" s="10" t="s">
        <v>49</v>
      </c>
      <c r="H1509" s="10" t="s">
        <v>56</v>
      </c>
      <c r="I1509" s="45">
        <v>3390</v>
      </c>
      <c r="J1509" s="11">
        <v>0</v>
      </c>
      <c r="K1509" s="45">
        <f t="shared" si="162"/>
        <v>3390</v>
      </c>
      <c r="L1509" s="10">
        <v>31</v>
      </c>
      <c r="M1509" s="10">
        <v>4.4000000000000004</v>
      </c>
      <c r="N1509" s="10" t="b">
        <v>0</v>
      </c>
      <c r="O1509" s="41"/>
      <c r="P1509" s="45">
        <f t="shared" si="163"/>
        <v>1423.8</v>
      </c>
      <c r="Q1509" s="45">
        <f t="shared" si="164"/>
        <v>1966.2</v>
      </c>
      <c r="R1509" s="45">
        <v>0</v>
      </c>
      <c r="S1509" s="45">
        <f t="shared" si="165"/>
        <v>0</v>
      </c>
      <c r="T1509" s="45">
        <f t="shared" si="166"/>
        <v>0</v>
      </c>
      <c r="U1509" s="47">
        <f t="shared" si="167"/>
        <v>1966.2</v>
      </c>
    </row>
    <row r="1510" spans="1:21" x14ac:dyDescent="0.3">
      <c r="A1510" s="41" t="str">
        <f t="shared" si="161"/>
        <v>PFORSH</v>
      </c>
      <c r="B1510" s="43">
        <v>45791</v>
      </c>
      <c r="C1510" s="10" t="s">
        <v>1552</v>
      </c>
      <c r="D1510" s="10" t="s">
        <v>65</v>
      </c>
      <c r="E1510" s="10" t="s">
        <v>18</v>
      </c>
      <c r="F1510" s="10" t="s">
        <v>4</v>
      </c>
      <c r="G1510" s="10" t="s">
        <v>12</v>
      </c>
      <c r="H1510" s="10" t="s">
        <v>35</v>
      </c>
      <c r="I1510" s="45">
        <v>3980</v>
      </c>
      <c r="J1510" s="11">
        <v>0.46100000000000002</v>
      </c>
      <c r="K1510" s="45">
        <f t="shared" si="162"/>
        <v>2145.2199999999998</v>
      </c>
      <c r="L1510" s="10">
        <v>8</v>
      </c>
      <c r="M1510" s="10">
        <v>3.2</v>
      </c>
      <c r="N1510" s="10" t="b">
        <v>0</v>
      </c>
      <c r="O1510" s="41"/>
      <c r="P1510" s="45">
        <f t="shared" si="163"/>
        <v>900.99239999999986</v>
      </c>
      <c r="Q1510" s="45">
        <f t="shared" si="164"/>
        <v>1244.2275999999999</v>
      </c>
      <c r="R1510" s="45">
        <v>0</v>
      </c>
      <c r="S1510" s="45">
        <f t="shared" si="165"/>
        <v>0</v>
      </c>
      <c r="T1510" s="45">
        <f t="shared" si="166"/>
        <v>0</v>
      </c>
      <c r="U1510" s="47">
        <f t="shared" si="167"/>
        <v>1244.2275999999999</v>
      </c>
    </row>
    <row r="1511" spans="1:21" x14ac:dyDescent="0.3">
      <c r="A1511" s="41" t="str">
        <f t="shared" si="161"/>
        <v>PUNIDR</v>
      </c>
      <c r="B1511" s="43">
        <v>45791</v>
      </c>
      <c r="C1511" s="10" t="s">
        <v>1553</v>
      </c>
      <c r="D1511" s="10" t="s">
        <v>10</v>
      </c>
      <c r="E1511" s="10" t="s">
        <v>30</v>
      </c>
      <c r="F1511" s="10" t="s">
        <v>54</v>
      </c>
      <c r="G1511" s="10" t="s">
        <v>7</v>
      </c>
      <c r="H1511" s="10" t="s">
        <v>56</v>
      </c>
      <c r="I1511" s="45">
        <v>2937</v>
      </c>
      <c r="J1511" s="11">
        <v>5.2999999999999999E-2</v>
      </c>
      <c r="K1511" s="45">
        <f t="shared" si="162"/>
        <v>2781.3389999999999</v>
      </c>
      <c r="L1511" s="10">
        <v>33</v>
      </c>
      <c r="M1511" s="10">
        <v>3.7</v>
      </c>
      <c r="N1511" s="10" t="b">
        <v>1</v>
      </c>
      <c r="O1511" s="41" t="s">
        <v>33</v>
      </c>
      <c r="P1511" s="45">
        <f t="shared" si="163"/>
        <v>1168.16238</v>
      </c>
      <c r="Q1511" s="45">
        <f t="shared" si="164"/>
        <v>1613.17662</v>
      </c>
      <c r="R1511" s="45">
        <v>150</v>
      </c>
      <c r="S1511" s="45">
        <f t="shared" si="165"/>
        <v>278.13389999999998</v>
      </c>
      <c r="T1511" s="45">
        <f t="shared" si="166"/>
        <v>2781.3389999999999</v>
      </c>
      <c r="U1511" s="47">
        <f t="shared" si="167"/>
        <v>-1596.29628</v>
      </c>
    </row>
    <row r="1512" spans="1:21" x14ac:dyDescent="0.3">
      <c r="A1512" s="41" t="str">
        <f t="shared" si="161"/>
        <v>PZARBO</v>
      </c>
      <c r="B1512" s="43">
        <v>45791</v>
      </c>
      <c r="C1512" s="10" t="s">
        <v>1554</v>
      </c>
      <c r="D1512" s="10" t="s">
        <v>3</v>
      </c>
      <c r="E1512" s="10" t="s">
        <v>26</v>
      </c>
      <c r="F1512" s="10" t="s">
        <v>4</v>
      </c>
      <c r="G1512" s="10" t="s">
        <v>49</v>
      </c>
      <c r="H1512" s="10" t="s">
        <v>7</v>
      </c>
      <c r="I1512" s="45">
        <v>2312</v>
      </c>
      <c r="J1512" s="11">
        <v>0</v>
      </c>
      <c r="K1512" s="45">
        <f t="shared" si="162"/>
        <v>2312</v>
      </c>
      <c r="L1512" s="10">
        <v>31</v>
      </c>
      <c r="M1512" s="10">
        <v>1.2</v>
      </c>
      <c r="N1512" s="10" t="b">
        <v>0</v>
      </c>
      <c r="O1512" s="41"/>
      <c r="P1512" s="45">
        <f t="shared" si="163"/>
        <v>971.04</v>
      </c>
      <c r="Q1512" s="45">
        <f t="shared" si="164"/>
        <v>1340.96</v>
      </c>
      <c r="R1512" s="45">
        <v>0</v>
      </c>
      <c r="S1512" s="45">
        <f t="shared" si="165"/>
        <v>0</v>
      </c>
      <c r="T1512" s="45">
        <f t="shared" si="166"/>
        <v>0</v>
      </c>
      <c r="U1512" s="47">
        <f t="shared" si="167"/>
        <v>1340.96</v>
      </c>
    </row>
    <row r="1513" spans="1:21" x14ac:dyDescent="0.3">
      <c r="A1513" s="41" t="str">
        <f t="shared" si="161"/>
        <v>PFORTO</v>
      </c>
      <c r="B1513" s="43">
        <v>45791</v>
      </c>
      <c r="C1513" s="10" t="s">
        <v>1555</v>
      </c>
      <c r="D1513" s="10" t="s">
        <v>65</v>
      </c>
      <c r="E1513" s="10" t="s">
        <v>9</v>
      </c>
      <c r="F1513" s="10" t="s">
        <v>54</v>
      </c>
      <c r="G1513" s="10" t="s">
        <v>12</v>
      </c>
      <c r="H1513" s="10" t="s">
        <v>47</v>
      </c>
      <c r="I1513" s="45">
        <v>1509</v>
      </c>
      <c r="J1513" s="11">
        <v>0.39899999999999997</v>
      </c>
      <c r="K1513" s="45">
        <f t="shared" si="162"/>
        <v>906.90899999999999</v>
      </c>
      <c r="L1513" s="10">
        <v>44</v>
      </c>
      <c r="M1513" s="10">
        <v>3</v>
      </c>
      <c r="N1513" s="10" t="b">
        <v>0</v>
      </c>
      <c r="O1513" s="41"/>
      <c r="P1513" s="45">
        <f t="shared" si="163"/>
        <v>380.90177999999997</v>
      </c>
      <c r="Q1513" s="45">
        <f t="shared" si="164"/>
        <v>526.00721999999996</v>
      </c>
      <c r="R1513" s="45">
        <v>0</v>
      </c>
      <c r="S1513" s="45">
        <f t="shared" si="165"/>
        <v>0</v>
      </c>
      <c r="T1513" s="45">
        <f t="shared" si="166"/>
        <v>0</v>
      </c>
      <c r="U1513" s="47">
        <f t="shared" si="167"/>
        <v>526.00721999999996</v>
      </c>
    </row>
    <row r="1514" spans="1:21" x14ac:dyDescent="0.3">
      <c r="A1514" s="41" t="str">
        <f t="shared" si="161"/>
        <v>PUNIAC</v>
      </c>
      <c r="B1514" s="43">
        <v>45792</v>
      </c>
      <c r="C1514" s="10" t="s">
        <v>1556</v>
      </c>
      <c r="D1514" s="10" t="s">
        <v>10</v>
      </c>
      <c r="E1514" s="10" t="s">
        <v>15</v>
      </c>
      <c r="F1514" s="10" t="s">
        <v>54</v>
      </c>
      <c r="G1514" s="10" t="s">
        <v>7</v>
      </c>
      <c r="H1514" s="10" t="s">
        <v>13</v>
      </c>
      <c r="I1514" s="45">
        <v>182</v>
      </c>
      <c r="J1514" s="11">
        <v>0.109</v>
      </c>
      <c r="K1514" s="45">
        <f t="shared" si="162"/>
        <v>162.16200000000001</v>
      </c>
      <c r="L1514" s="10">
        <v>12</v>
      </c>
      <c r="M1514" s="10">
        <v>1.2</v>
      </c>
      <c r="N1514" s="10" t="b">
        <v>0</v>
      </c>
      <c r="O1514" s="41"/>
      <c r="P1514" s="45">
        <f t="shared" si="163"/>
        <v>68.108040000000003</v>
      </c>
      <c r="Q1514" s="45">
        <f t="shared" si="164"/>
        <v>94.053960000000004</v>
      </c>
      <c r="R1514" s="45">
        <v>0</v>
      </c>
      <c r="S1514" s="45">
        <f t="shared" si="165"/>
        <v>0</v>
      </c>
      <c r="T1514" s="45">
        <f t="shared" si="166"/>
        <v>0</v>
      </c>
      <c r="U1514" s="47">
        <f t="shared" si="167"/>
        <v>94.053960000000004</v>
      </c>
    </row>
    <row r="1515" spans="1:21" x14ac:dyDescent="0.3">
      <c r="A1515" s="41" t="str">
        <f t="shared" si="161"/>
        <v>PANNAC</v>
      </c>
      <c r="B1515" s="43">
        <v>45792</v>
      </c>
      <c r="C1515" s="10" t="s">
        <v>1557</v>
      </c>
      <c r="D1515" s="10" t="s">
        <v>42</v>
      </c>
      <c r="E1515" s="10" t="s">
        <v>15</v>
      </c>
      <c r="F1515" s="10" t="s">
        <v>11</v>
      </c>
      <c r="G1515" s="10" t="s">
        <v>7</v>
      </c>
      <c r="H1515" s="10" t="s">
        <v>47</v>
      </c>
      <c r="I1515" s="45">
        <v>201</v>
      </c>
      <c r="J1515" s="11">
        <v>0</v>
      </c>
      <c r="K1515" s="45">
        <f t="shared" si="162"/>
        <v>201</v>
      </c>
      <c r="L1515" s="10">
        <v>9</v>
      </c>
      <c r="M1515" s="10"/>
      <c r="N1515" s="10" t="b">
        <v>1</v>
      </c>
      <c r="O1515" s="41" t="s">
        <v>44</v>
      </c>
      <c r="P1515" s="45">
        <f t="shared" si="163"/>
        <v>84.42</v>
      </c>
      <c r="Q1515" s="45">
        <f t="shared" si="164"/>
        <v>116.58</v>
      </c>
      <c r="R1515" s="45">
        <v>150</v>
      </c>
      <c r="S1515" s="45">
        <f t="shared" si="165"/>
        <v>20.100000000000001</v>
      </c>
      <c r="T1515" s="45">
        <f t="shared" si="166"/>
        <v>201</v>
      </c>
      <c r="U1515" s="47">
        <f t="shared" si="167"/>
        <v>-254.52</v>
      </c>
    </row>
    <row r="1516" spans="1:21" x14ac:dyDescent="0.3">
      <c r="A1516" s="41" t="str">
        <f t="shared" si="161"/>
        <v>PBANSH</v>
      </c>
      <c r="B1516" s="43">
        <v>45792</v>
      </c>
      <c r="C1516" s="10" t="s">
        <v>1558</v>
      </c>
      <c r="D1516" s="10" t="s">
        <v>21</v>
      </c>
      <c r="E1516" s="10" t="s">
        <v>18</v>
      </c>
      <c r="F1516" s="10" t="s">
        <v>54</v>
      </c>
      <c r="G1516" s="10" t="s">
        <v>46</v>
      </c>
      <c r="H1516" s="10" t="s">
        <v>58</v>
      </c>
      <c r="I1516" s="45">
        <v>3115</v>
      </c>
      <c r="J1516" s="11">
        <v>0.12300000000000001</v>
      </c>
      <c r="K1516" s="45">
        <f t="shared" si="162"/>
        <v>2731.855</v>
      </c>
      <c r="L1516" s="10">
        <v>39</v>
      </c>
      <c r="M1516" s="10">
        <v>3.3</v>
      </c>
      <c r="N1516" s="10" t="b">
        <v>0</v>
      </c>
      <c r="O1516" s="41"/>
      <c r="P1516" s="45">
        <f t="shared" si="163"/>
        <v>1147.3790999999999</v>
      </c>
      <c r="Q1516" s="45">
        <f t="shared" si="164"/>
        <v>1584.4759000000001</v>
      </c>
      <c r="R1516" s="45">
        <v>0</v>
      </c>
      <c r="S1516" s="45">
        <f t="shared" si="165"/>
        <v>0</v>
      </c>
      <c r="T1516" s="45">
        <f t="shared" si="166"/>
        <v>0</v>
      </c>
      <c r="U1516" s="47">
        <f t="shared" si="167"/>
        <v>1584.4759000000001</v>
      </c>
    </row>
    <row r="1517" spans="1:21" x14ac:dyDescent="0.3">
      <c r="A1517" s="41" t="str">
        <f t="shared" si="161"/>
        <v>PH&amp;MDR</v>
      </c>
      <c r="B1517" s="43">
        <v>45792</v>
      </c>
      <c r="C1517" s="10" t="s">
        <v>1559</v>
      </c>
      <c r="D1517" s="10" t="s">
        <v>37</v>
      </c>
      <c r="E1517" s="10" t="s">
        <v>30</v>
      </c>
      <c r="F1517" s="10" t="s">
        <v>23</v>
      </c>
      <c r="G1517" s="10" t="s">
        <v>5</v>
      </c>
      <c r="H1517" s="10" t="s">
        <v>35</v>
      </c>
      <c r="I1517" s="45">
        <v>2849</v>
      </c>
      <c r="J1517" s="11">
        <v>0</v>
      </c>
      <c r="K1517" s="45">
        <f t="shared" si="162"/>
        <v>2849</v>
      </c>
      <c r="L1517" s="10">
        <v>26</v>
      </c>
      <c r="M1517" s="10">
        <v>1.1000000000000001</v>
      </c>
      <c r="N1517" s="10" t="b">
        <v>0</v>
      </c>
      <c r="O1517" s="41"/>
      <c r="P1517" s="45">
        <f t="shared" si="163"/>
        <v>1196.58</v>
      </c>
      <c r="Q1517" s="45">
        <f t="shared" si="164"/>
        <v>1652.42</v>
      </c>
      <c r="R1517" s="45">
        <v>0</v>
      </c>
      <c r="S1517" s="45">
        <f t="shared" si="165"/>
        <v>0</v>
      </c>
      <c r="T1517" s="45">
        <f t="shared" si="166"/>
        <v>0</v>
      </c>
      <c r="U1517" s="47">
        <f t="shared" si="167"/>
        <v>1652.42</v>
      </c>
    </row>
    <row r="1518" spans="1:21" x14ac:dyDescent="0.3">
      <c r="A1518" s="41" t="str">
        <f t="shared" si="161"/>
        <v>PH&amp;MSH</v>
      </c>
      <c r="B1518" s="43">
        <v>45793</v>
      </c>
      <c r="C1518" s="10" t="s">
        <v>1560</v>
      </c>
      <c r="D1518" s="10" t="s">
        <v>37</v>
      </c>
      <c r="E1518" s="10" t="s">
        <v>18</v>
      </c>
      <c r="F1518" s="10" t="s">
        <v>11</v>
      </c>
      <c r="G1518" s="10" t="s">
        <v>12</v>
      </c>
      <c r="H1518" s="10" t="s">
        <v>32</v>
      </c>
      <c r="I1518" s="45">
        <v>3378</v>
      </c>
      <c r="J1518" s="11">
        <v>0</v>
      </c>
      <c r="K1518" s="45">
        <f t="shared" si="162"/>
        <v>3378</v>
      </c>
      <c r="L1518" s="10">
        <v>16</v>
      </c>
      <c r="M1518" s="10"/>
      <c r="N1518" s="10" t="b">
        <v>1</v>
      </c>
      <c r="O1518" s="41" t="s">
        <v>33</v>
      </c>
      <c r="P1518" s="45">
        <f t="shared" si="163"/>
        <v>1418.76</v>
      </c>
      <c r="Q1518" s="45">
        <f t="shared" si="164"/>
        <v>1959.24</v>
      </c>
      <c r="R1518" s="45">
        <v>150</v>
      </c>
      <c r="S1518" s="45">
        <f t="shared" si="165"/>
        <v>337.8</v>
      </c>
      <c r="T1518" s="45">
        <f t="shared" si="166"/>
        <v>3378</v>
      </c>
      <c r="U1518" s="47">
        <f t="shared" si="167"/>
        <v>-1906.56</v>
      </c>
    </row>
    <row r="1519" spans="1:21" x14ac:dyDescent="0.3">
      <c r="A1519" s="41" t="str">
        <f t="shared" si="161"/>
        <v>PANNBO</v>
      </c>
      <c r="B1519" s="43">
        <v>45793</v>
      </c>
      <c r="C1519" s="10" t="s">
        <v>1561</v>
      </c>
      <c r="D1519" s="10" t="s">
        <v>42</v>
      </c>
      <c r="E1519" s="10" t="s">
        <v>26</v>
      </c>
      <c r="F1519" s="10" t="s">
        <v>4</v>
      </c>
      <c r="G1519" s="10" t="s">
        <v>5</v>
      </c>
      <c r="H1519" s="10" t="s">
        <v>13</v>
      </c>
      <c r="I1519" s="45">
        <v>2736</v>
      </c>
      <c r="J1519" s="11">
        <v>0.379</v>
      </c>
      <c r="K1519" s="45">
        <f t="shared" si="162"/>
        <v>1699.056</v>
      </c>
      <c r="L1519" s="10">
        <v>44</v>
      </c>
      <c r="M1519" s="10"/>
      <c r="N1519" s="10" t="b">
        <v>0</v>
      </c>
      <c r="O1519" s="41"/>
      <c r="P1519" s="45">
        <f t="shared" si="163"/>
        <v>713.60352</v>
      </c>
      <c r="Q1519" s="45">
        <f t="shared" si="164"/>
        <v>985.45248000000004</v>
      </c>
      <c r="R1519" s="45">
        <v>0</v>
      </c>
      <c r="S1519" s="45">
        <f t="shared" si="165"/>
        <v>0</v>
      </c>
      <c r="T1519" s="45">
        <f t="shared" si="166"/>
        <v>0</v>
      </c>
      <c r="U1519" s="47">
        <f t="shared" si="167"/>
        <v>985.45248000000004</v>
      </c>
    </row>
    <row r="1520" spans="1:21" x14ac:dyDescent="0.3">
      <c r="A1520" s="41" t="str">
        <f t="shared" si="161"/>
        <v>PUNIAC</v>
      </c>
      <c r="B1520" s="43">
        <v>45793</v>
      </c>
      <c r="C1520" s="10" t="s">
        <v>1562</v>
      </c>
      <c r="D1520" s="10" t="s">
        <v>10</v>
      </c>
      <c r="E1520" s="10" t="s">
        <v>15</v>
      </c>
      <c r="F1520" s="10" t="s">
        <v>23</v>
      </c>
      <c r="G1520" s="10" t="s">
        <v>7</v>
      </c>
      <c r="H1520" s="10" t="s">
        <v>88</v>
      </c>
      <c r="I1520" s="45">
        <v>277</v>
      </c>
      <c r="J1520" s="11">
        <v>0.47299999999999998</v>
      </c>
      <c r="K1520" s="45">
        <f t="shared" si="162"/>
        <v>145.97900000000001</v>
      </c>
      <c r="L1520" s="10">
        <v>20</v>
      </c>
      <c r="M1520" s="10">
        <v>4</v>
      </c>
      <c r="N1520" s="10" t="b">
        <v>1</v>
      </c>
      <c r="O1520" s="41" t="s">
        <v>50</v>
      </c>
      <c r="P1520" s="45">
        <f t="shared" si="163"/>
        <v>61.31118</v>
      </c>
      <c r="Q1520" s="45">
        <f t="shared" si="164"/>
        <v>84.667820000000006</v>
      </c>
      <c r="R1520" s="45">
        <v>150</v>
      </c>
      <c r="S1520" s="45">
        <f t="shared" si="165"/>
        <v>14.597900000000003</v>
      </c>
      <c r="T1520" s="45">
        <f t="shared" si="166"/>
        <v>145.97900000000001</v>
      </c>
      <c r="U1520" s="47">
        <f t="shared" si="167"/>
        <v>-225.90908000000002</v>
      </c>
    </row>
    <row r="1521" spans="1:21" x14ac:dyDescent="0.3">
      <c r="A1521" s="41" t="str">
        <f t="shared" si="161"/>
        <v>PBANBO</v>
      </c>
      <c r="B1521" s="43">
        <v>45793</v>
      </c>
      <c r="C1521" s="10" t="s">
        <v>1563</v>
      </c>
      <c r="D1521" s="10" t="s">
        <v>21</v>
      </c>
      <c r="E1521" s="10" t="s">
        <v>26</v>
      </c>
      <c r="F1521" s="10" t="s">
        <v>4</v>
      </c>
      <c r="G1521" s="10" t="s">
        <v>5</v>
      </c>
      <c r="H1521" s="10" t="s">
        <v>56</v>
      </c>
      <c r="I1521" s="45">
        <v>2450</v>
      </c>
      <c r="J1521" s="11">
        <v>0.16</v>
      </c>
      <c r="K1521" s="45">
        <f t="shared" si="162"/>
        <v>2058</v>
      </c>
      <c r="L1521" s="10">
        <v>35</v>
      </c>
      <c r="M1521" s="10"/>
      <c r="N1521" s="10" t="b">
        <v>1</v>
      </c>
      <c r="O1521" s="41" t="s">
        <v>33</v>
      </c>
      <c r="P1521" s="45">
        <f t="shared" si="163"/>
        <v>864.36</v>
      </c>
      <c r="Q1521" s="45">
        <f t="shared" si="164"/>
        <v>1193.6399999999999</v>
      </c>
      <c r="R1521" s="45">
        <v>150</v>
      </c>
      <c r="S1521" s="45">
        <f t="shared" si="165"/>
        <v>205.8</v>
      </c>
      <c r="T1521" s="45">
        <f t="shared" si="166"/>
        <v>2058</v>
      </c>
      <c r="U1521" s="47">
        <f t="shared" si="167"/>
        <v>-1220.1600000000001</v>
      </c>
    </row>
    <row r="1522" spans="1:21" x14ac:dyDescent="0.3">
      <c r="A1522" s="41" t="str">
        <f t="shared" si="161"/>
        <v>PANNAC</v>
      </c>
      <c r="B1522" s="43">
        <v>45794</v>
      </c>
      <c r="C1522" s="10" t="s">
        <v>1564</v>
      </c>
      <c r="D1522" s="10" t="s">
        <v>42</v>
      </c>
      <c r="E1522" s="10" t="s">
        <v>15</v>
      </c>
      <c r="F1522" s="10" t="s">
        <v>4</v>
      </c>
      <c r="G1522" s="10" t="s">
        <v>7</v>
      </c>
      <c r="H1522" s="10" t="s">
        <v>16</v>
      </c>
      <c r="I1522" s="45">
        <v>237</v>
      </c>
      <c r="J1522" s="11">
        <v>0</v>
      </c>
      <c r="K1522" s="45">
        <f t="shared" si="162"/>
        <v>237</v>
      </c>
      <c r="L1522" s="10">
        <v>36</v>
      </c>
      <c r="M1522" s="10">
        <v>4.5999999999999996</v>
      </c>
      <c r="N1522" s="10" t="b">
        <v>0</v>
      </c>
      <c r="O1522" s="41"/>
      <c r="P1522" s="45">
        <f t="shared" si="163"/>
        <v>99.539999999999992</v>
      </c>
      <c r="Q1522" s="45">
        <f t="shared" si="164"/>
        <v>137.46</v>
      </c>
      <c r="R1522" s="45">
        <v>0</v>
      </c>
      <c r="S1522" s="45">
        <f t="shared" si="165"/>
        <v>0</v>
      </c>
      <c r="T1522" s="45">
        <f t="shared" si="166"/>
        <v>0</v>
      </c>
      <c r="U1522" s="47">
        <f t="shared" si="167"/>
        <v>137.46</v>
      </c>
    </row>
    <row r="1523" spans="1:21" x14ac:dyDescent="0.3">
      <c r="A1523" s="41" t="str">
        <f t="shared" si="161"/>
        <v>PMANAC</v>
      </c>
      <c r="B1523" s="43">
        <v>45794</v>
      </c>
      <c r="C1523" s="10" t="s">
        <v>1565</v>
      </c>
      <c r="D1523" s="10" t="s">
        <v>31</v>
      </c>
      <c r="E1523" s="10" t="s">
        <v>15</v>
      </c>
      <c r="F1523" s="10" t="s">
        <v>11</v>
      </c>
      <c r="G1523" s="10" t="s">
        <v>7</v>
      </c>
      <c r="H1523" s="10" t="s">
        <v>32</v>
      </c>
      <c r="I1523" s="45">
        <v>253</v>
      </c>
      <c r="J1523" s="11">
        <v>0</v>
      </c>
      <c r="K1523" s="45">
        <f t="shared" si="162"/>
        <v>253</v>
      </c>
      <c r="L1523" s="10">
        <v>17</v>
      </c>
      <c r="M1523" s="10">
        <v>3.4</v>
      </c>
      <c r="N1523" s="10" t="b">
        <v>0</v>
      </c>
      <c r="O1523" s="41"/>
      <c r="P1523" s="45">
        <f t="shared" si="163"/>
        <v>106.25999999999999</v>
      </c>
      <c r="Q1523" s="45">
        <f t="shared" si="164"/>
        <v>146.74</v>
      </c>
      <c r="R1523" s="45">
        <v>0</v>
      </c>
      <c r="S1523" s="45">
        <f t="shared" si="165"/>
        <v>0</v>
      </c>
      <c r="T1523" s="45">
        <f t="shared" si="166"/>
        <v>0</v>
      </c>
      <c r="U1523" s="47">
        <f t="shared" si="167"/>
        <v>146.74</v>
      </c>
    </row>
    <row r="1524" spans="1:21" x14ac:dyDescent="0.3">
      <c r="A1524" s="41" t="str">
        <f t="shared" si="161"/>
        <v>PBANOU</v>
      </c>
      <c r="B1524" s="43">
        <v>45794</v>
      </c>
      <c r="C1524" s="10" t="s">
        <v>1566</v>
      </c>
      <c r="D1524" s="10" t="s">
        <v>21</v>
      </c>
      <c r="E1524" s="10" t="s">
        <v>2</v>
      </c>
      <c r="F1524" s="10" t="s">
        <v>54</v>
      </c>
      <c r="G1524" s="10" t="s">
        <v>12</v>
      </c>
      <c r="H1524" s="10" t="s">
        <v>28</v>
      </c>
      <c r="I1524" s="45">
        <v>3273</v>
      </c>
      <c r="J1524" s="11">
        <v>0</v>
      </c>
      <c r="K1524" s="45">
        <f t="shared" si="162"/>
        <v>3273</v>
      </c>
      <c r="L1524" s="10">
        <v>9</v>
      </c>
      <c r="M1524" s="10">
        <v>1.1000000000000001</v>
      </c>
      <c r="N1524" s="10" t="b">
        <v>1</v>
      </c>
      <c r="O1524" s="41" t="s">
        <v>33</v>
      </c>
      <c r="P1524" s="45">
        <f t="shared" si="163"/>
        <v>1374.6599999999999</v>
      </c>
      <c r="Q1524" s="45">
        <f t="shared" si="164"/>
        <v>1898.3400000000001</v>
      </c>
      <c r="R1524" s="45">
        <v>150</v>
      </c>
      <c r="S1524" s="45">
        <f t="shared" si="165"/>
        <v>327.3</v>
      </c>
      <c r="T1524" s="45">
        <f t="shared" si="166"/>
        <v>3273</v>
      </c>
      <c r="U1524" s="47">
        <f t="shared" si="167"/>
        <v>-1851.9599999999998</v>
      </c>
    </row>
    <row r="1525" spans="1:21" x14ac:dyDescent="0.3">
      <c r="A1525" s="41" t="str">
        <f t="shared" si="161"/>
        <v>PBANSH</v>
      </c>
      <c r="B1525" s="43">
        <v>45794</v>
      </c>
      <c r="C1525" s="10" t="s">
        <v>1567</v>
      </c>
      <c r="D1525" s="10" t="s">
        <v>21</v>
      </c>
      <c r="E1525" s="10" t="s">
        <v>18</v>
      </c>
      <c r="F1525" s="10" t="s">
        <v>11</v>
      </c>
      <c r="G1525" s="10" t="s">
        <v>12</v>
      </c>
      <c r="H1525" s="10" t="s">
        <v>13</v>
      </c>
      <c r="I1525" s="45">
        <v>4069</v>
      </c>
      <c r="J1525" s="11">
        <v>0</v>
      </c>
      <c r="K1525" s="45">
        <f t="shared" si="162"/>
        <v>4069</v>
      </c>
      <c r="L1525" s="10">
        <v>28</v>
      </c>
      <c r="M1525" s="10">
        <v>1</v>
      </c>
      <c r="N1525" s="10" t="b">
        <v>0</v>
      </c>
      <c r="O1525" s="41"/>
      <c r="P1525" s="45">
        <f t="shared" si="163"/>
        <v>1708.98</v>
      </c>
      <c r="Q1525" s="45">
        <f t="shared" si="164"/>
        <v>2360.02</v>
      </c>
      <c r="R1525" s="45">
        <v>0</v>
      </c>
      <c r="S1525" s="45">
        <f t="shared" si="165"/>
        <v>0</v>
      </c>
      <c r="T1525" s="45">
        <f t="shared" si="166"/>
        <v>0</v>
      </c>
      <c r="U1525" s="47">
        <f t="shared" si="167"/>
        <v>2360.02</v>
      </c>
    </row>
    <row r="1526" spans="1:21" x14ac:dyDescent="0.3">
      <c r="A1526" s="41" t="str">
        <f t="shared" si="161"/>
        <v>PZARBO</v>
      </c>
      <c r="B1526" s="43">
        <v>45795</v>
      </c>
      <c r="C1526" s="10" t="s">
        <v>1568</v>
      </c>
      <c r="D1526" s="10" t="s">
        <v>3</v>
      </c>
      <c r="E1526" s="10" t="s">
        <v>26</v>
      </c>
      <c r="F1526" s="10" t="s">
        <v>4</v>
      </c>
      <c r="G1526" s="10" t="s">
        <v>46</v>
      </c>
      <c r="H1526" s="10" t="s">
        <v>32</v>
      </c>
      <c r="I1526" s="45">
        <v>2065</v>
      </c>
      <c r="J1526" s="11">
        <v>0</v>
      </c>
      <c r="K1526" s="45">
        <f t="shared" si="162"/>
        <v>2065</v>
      </c>
      <c r="L1526" s="10">
        <v>41</v>
      </c>
      <c r="M1526" s="10">
        <v>4.9000000000000004</v>
      </c>
      <c r="N1526" s="10" t="b">
        <v>1</v>
      </c>
      <c r="O1526" s="41" t="s">
        <v>50</v>
      </c>
      <c r="P1526" s="45">
        <f t="shared" si="163"/>
        <v>867.3</v>
      </c>
      <c r="Q1526" s="45">
        <f t="shared" si="164"/>
        <v>1197.7</v>
      </c>
      <c r="R1526" s="45">
        <v>150</v>
      </c>
      <c r="S1526" s="45">
        <f t="shared" si="165"/>
        <v>206.5</v>
      </c>
      <c r="T1526" s="45">
        <f t="shared" si="166"/>
        <v>2065</v>
      </c>
      <c r="U1526" s="47">
        <f t="shared" si="167"/>
        <v>-1223.8</v>
      </c>
    </row>
    <row r="1527" spans="1:21" x14ac:dyDescent="0.3">
      <c r="A1527" s="41" t="str">
        <f t="shared" si="161"/>
        <v>PFORAC</v>
      </c>
      <c r="B1527" s="43">
        <v>45795</v>
      </c>
      <c r="C1527" s="10" t="s">
        <v>1569</v>
      </c>
      <c r="D1527" s="10" t="s">
        <v>65</v>
      </c>
      <c r="E1527" s="10" t="s">
        <v>15</v>
      </c>
      <c r="F1527" s="10" t="s">
        <v>23</v>
      </c>
      <c r="G1527" s="10" t="s">
        <v>7</v>
      </c>
      <c r="H1527" s="10" t="s">
        <v>28</v>
      </c>
      <c r="I1527" s="45">
        <v>210</v>
      </c>
      <c r="J1527" s="11">
        <v>0.498</v>
      </c>
      <c r="K1527" s="45">
        <f t="shared" si="162"/>
        <v>105.42</v>
      </c>
      <c r="L1527" s="10">
        <v>32</v>
      </c>
      <c r="M1527" s="10">
        <v>4.9000000000000004</v>
      </c>
      <c r="N1527" s="10" t="b">
        <v>1</v>
      </c>
      <c r="O1527" s="41" t="s">
        <v>33</v>
      </c>
      <c r="P1527" s="45">
        <f t="shared" si="163"/>
        <v>44.276400000000002</v>
      </c>
      <c r="Q1527" s="45">
        <f t="shared" si="164"/>
        <v>61.143599999999999</v>
      </c>
      <c r="R1527" s="45">
        <v>150</v>
      </c>
      <c r="S1527" s="45">
        <f t="shared" si="165"/>
        <v>10.542000000000002</v>
      </c>
      <c r="T1527" s="45">
        <f t="shared" si="166"/>
        <v>105.42</v>
      </c>
      <c r="U1527" s="47">
        <f t="shared" si="167"/>
        <v>-204.8184</v>
      </c>
    </row>
    <row r="1528" spans="1:21" x14ac:dyDescent="0.3">
      <c r="A1528" s="41" t="str">
        <f t="shared" si="161"/>
        <v>PUNIOU</v>
      </c>
      <c r="B1528" s="43">
        <v>45795</v>
      </c>
      <c r="C1528" s="10" t="s">
        <v>1570</v>
      </c>
      <c r="D1528" s="10" t="s">
        <v>10</v>
      </c>
      <c r="E1528" s="10" t="s">
        <v>2</v>
      </c>
      <c r="F1528" s="10" t="s">
        <v>11</v>
      </c>
      <c r="G1528" s="10" t="s">
        <v>49</v>
      </c>
      <c r="H1528" s="10" t="s">
        <v>56</v>
      </c>
      <c r="I1528" s="45">
        <v>4295</v>
      </c>
      <c r="J1528" s="11">
        <v>0</v>
      </c>
      <c r="K1528" s="45">
        <f t="shared" si="162"/>
        <v>4295</v>
      </c>
      <c r="L1528" s="10">
        <v>43</v>
      </c>
      <c r="M1528" s="10">
        <v>1.8</v>
      </c>
      <c r="N1528" s="10" t="b">
        <v>0</v>
      </c>
      <c r="O1528" s="41"/>
      <c r="P1528" s="45">
        <f t="shared" si="163"/>
        <v>1803.8999999999999</v>
      </c>
      <c r="Q1528" s="45">
        <f t="shared" si="164"/>
        <v>2491.1000000000004</v>
      </c>
      <c r="R1528" s="45">
        <v>0</v>
      </c>
      <c r="S1528" s="45">
        <f t="shared" si="165"/>
        <v>0</v>
      </c>
      <c r="T1528" s="45">
        <f t="shared" si="166"/>
        <v>0</v>
      </c>
      <c r="U1528" s="47">
        <f t="shared" si="167"/>
        <v>2491.1000000000004</v>
      </c>
    </row>
    <row r="1529" spans="1:21" x14ac:dyDescent="0.3">
      <c r="A1529" s="41" t="str">
        <f t="shared" si="161"/>
        <v>PUNIAC</v>
      </c>
      <c r="B1529" s="43">
        <v>45795</v>
      </c>
      <c r="C1529" s="10" t="s">
        <v>1571</v>
      </c>
      <c r="D1529" s="10" t="s">
        <v>10</v>
      </c>
      <c r="E1529" s="10" t="s">
        <v>15</v>
      </c>
      <c r="F1529" s="10" t="s">
        <v>11</v>
      </c>
      <c r="G1529" s="10" t="s">
        <v>7</v>
      </c>
      <c r="H1529" s="10" t="s">
        <v>6</v>
      </c>
      <c r="I1529" s="45">
        <v>356</v>
      </c>
      <c r="J1529" s="11">
        <v>0</v>
      </c>
      <c r="K1529" s="45">
        <f t="shared" si="162"/>
        <v>356</v>
      </c>
      <c r="L1529" s="10">
        <v>32</v>
      </c>
      <c r="M1529" s="10">
        <v>2.4</v>
      </c>
      <c r="N1529" s="10" t="b">
        <v>1</v>
      </c>
      <c r="O1529" s="41" t="s">
        <v>19</v>
      </c>
      <c r="P1529" s="45">
        <f t="shared" si="163"/>
        <v>149.51999999999998</v>
      </c>
      <c r="Q1529" s="45">
        <f t="shared" si="164"/>
        <v>206.48000000000002</v>
      </c>
      <c r="R1529" s="45">
        <v>150</v>
      </c>
      <c r="S1529" s="45">
        <f t="shared" si="165"/>
        <v>35.6</v>
      </c>
      <c r="T1529" s="45">
        <f t="shared" si="166"/>
        <v>356</v>
      </c>
      <c r="U1529" s="47">
        <f t="shared" si="167"/>
        <v>-335.12</v>
      </c>
    </row>
    <row r="1530" spans="1:21" x14ac:dyDescent="0.3">
      <c r="A1530" s="41" t="str">
        <f t="shared" si="161"/>
        <v>PBANOU</v>
      </c>
      <c r="B1530" s="43">
        <v>45795</v>
      </c>
      <c r="C1530" s="10" t="s">
        <v>1572</v>
      </c>
      <c r="D1530" s="10" t="s">
        <v>21</v>
      </c>
      <c r="E1530" s="10" t="s">
        <v>2</v>
      </c>
      <c r="F1530" s="10" t="s">
        <v>23</v>
      </c>
      <c r="G1530" s="10" t="s">
        <v>27</v>
      </c>
      <c r="H1530" s="10" t="s">
        <v>43</v>
      </c>
      <c r="I1530" s="45">
        <v>3970</v>
      </c>
      <c r="J1530" s="11">
        <v>0</v>
      </c>
      <c r="K1530" s="45">
        <f t="shared" si="162"/>
        <v>3970</v>
      </c>
      <c r="L1530" s="10">
        <v>32</v>
      </c>
      <c r="M1530" s="10">
        <v>4</v>
      </c>
      <c r="N1530" s="10" t="b">
        <v>0</v>
      </c>
      <c r="O1530" s="41"/>
      <c r="P1530" s="45">
        <f t="shared" si="163"/>
        <v>1667.3999999999999</v>
      </c>
      <c r="Q1530" s="45">
        <f t="shared" si="164"/>
        <v>2302.6000000000004</v>
      </c>
      <c r="R1530" s="45">
        <v>0</v>
      </c>
      <c r="S1530" s="45">
        <f t="shared" si="165"/>
        <v>0</v>
      </c>
      <c r="T1530" s="45">
        <f t="shared" si="166"/>
        <v>0</v>
      </c>
      <c r="U1530" s="47">
        <f t="shared" si="167"/>
        <v>2302.6000000000004</v>
      </c>
    </row>
    <row r="1531" spans="1:21" x14ac:dyDescent="0.3">
      <c r="A1531" s="41" t="str">
        <f t="shared" si="161"/>
        <v>PGAPBO</v>
      </c>
      <c r="B1531" s="43">
        <v>45796</v>
      </c>
      <c r="C1531" s="10" t="s">
        <v>1573</v>
      </c>
      <c r="D1531" s="10" t="s">
        <v>53</v>
      </c>
      <c r="E1531" s="10" t="s">
        <v>26</v>
      </c>
      <c r="F1531" s="10" t="s">
        <v>54</v>
      </c>
      <c r="G1531" s="10" t="s">
        <v>46</v>
      </c>
      <c r="H1531" s="10" t="s">
        <v>43</v>
      </c>
      <c r="I1531" s="45">
        <v>2440</v>
      </c>
      <c r="J1531" s="11">
        <v>0.218</v>
      </c>
      <c r="K1531" s="45">
        <f t="shared" si="162"/>
        <v>1908.0800000000002</v>
      </c>
      <c r="L1531" s="10">
        <v>25</v>
      </c>
      <c r="M1531" s="10">
        <v>3.5</v>
      </c>
      <c r="N1531" s="10" t="b">
        <v>1</v>
      </c>
      <c r="O1531" s="41" t="s">
        <v>50</v>
      </c>
      <c r="P1531" s="45">
        <f t="shared" si="163"/>
        <v>801.39359999999999</v>
      </c>
      <c r="Q1531" s="45">
        <f t="shared" si="164"/>
        <v>1106.6864</v>
      </c>
      <c r="R1531" s="45">
        <v>150</v>
      </c>
      <c r="S1531" s="45">
        <f t="shared" si="165"/>
        <v>190.80800000000002</v>
      </c>
      <c r="T1531" s="45">
        <f t="shared" si="166"/>
        <v>1908.0800000000002</v>
      </c>
      <c r="U1531" s="47">
        <f t="shared" si="167"/>
        <v>-1142.2016000000001</v>
      </c>
    </row>
    <row r="1532" spans="1:21" x14ac:dyDescent="0.3">
      <c r="A1532" s="41" t="str">
        <f t="shared" si="161"/>
        <v>PANNOU</v>
      </c>
      <c r="B1532" s="43">
        <v>45796</v>
      </c>
      <c r="C1532" s="10" t="s">
        <v>1574</v>
      </c>
      <c r="D1532" s="10" t="s">
        <v>42</v>
      </c>
      <c r="E1532" s="10" t="s">
        <v>2</v>
      </c>
      <c r="F1532" s="10" t="s">
        <v>23</v>
      </c>
      <c r="G1532" s="10" t="s">
        <v>27</v>
      </c>
      <c r="H1532" s="10" t="s">
        <v>28</v>
      </c>
      <c r="I1532" s="45">
        <v>3268</v>
      </c>
      <c r="J1532" s="11">
        <v>0.40899999999999997</v>
      </c>
      <c r="K1532" s="45">
        <f t="shared" si="162"/>
        <v>1931.3879999999999</v>
      </c>
      <c r="L1532" s="10">
        <v>9</v>
      </c>
      <c r="M1532" s="10">
        <v>4.0999999999999996</v>
      </c>
      <c r="N1532" s="10" t="b">
        <v>0</v>
      </c>
      <c r="O1532" s="41"/>
      <c r="P1532" s="45">
        <f t="shared" si="163"/>
        <v>811.18295999999998</v>
      </c>
      <c r="Q1532" s="45">
        <f t="shared" si="164"/>
        <v>1120.2050399999998</v>
      </c>
      <c r="R1532" s="45">
        <v>0</v>
      </c>
      <c r="S1532" s="45">
        <f t="shared" si="165"/>
        <v>0</v>
      </c>
      <c r="T1532" s="45">
        <f t="shared" si="166"/>
        <v>0</v>
      </c>
      <c r="U1532" s="47">
        <f t="shared" si="167"/>
        <v>1120.2050399999998</v>
      </c>
    </row>
    <row r="1533" spans="1:21" x14ac:dyDescent="0.3">
      <c r="A1533" s="41" t="str">
        <f t="shared" si="161"/>
        <v>PMANTO</v>
      </c>
      <c r="B1533" s="43">
        <v>45796</v>
      </c>
      <c r="C1533" s="10" t="s">
        <v>1575</v>
      </c>
      <c r="D1533" s="10" t="s">
        <v>31</v>
      </c>
      <c r="E1533" s="10" t="s">
        <v>9</v>
      </c>
      <c r="F1533" s="10" t="s">
        <v>54</v>
      </c>
      <c r="G1533" s="10" t="s">
        <v>27</v>
      </c>
      <c r="H1533" s="10" t="s">
        <v>13</v>
      </c>
      <c r="I1533" s="45">
        <v>933</v>
      </c>
      <c r="J1533" s="11">
        <v>0.48200000000000004</v>
      </c>
      <c r="K1533" s="45">
        <f t="shared" si="162"/>
        <v>483.29400000000004</v>
      </c>
      <c r="L1533" s="10">
        <v>20</v>
      </c>
      <c r="M1533" s="10">
        <v>4.5</v>
      </c>
      <c r="N1533" s="10" t="b">
        <v>0</v>
      </c>
      <c r="O1533" s="41"/>
      <c r="P1533" s="45">
        <f t="shared" si="163"/>
        <v>202.98348000000001</v>
      </c>
      <c r="Q1533" s="45">
        <f t="shared" si="164"/>
        <v>280.31052</v>
      </c>
      <c r="R1533" s="45">
        <v>0</v>
      </c>
      <c r="S1533" s="45">
        <f t="shared" si="165"/>
        <v>0</v>
      </c>
      <c r="T1533" s="45">
        <f t="shared" si="166"/>
        <v>0</v>
      </c>
      <c r="U1533" s="47">
        <f t="shared" si="167"/>
        <v>280.31052</v>
      </c>
    </row>
    <row r="1534" spans="1:21" x14ac:dyDescent="0.3">
      <c r="A1534" s="41" t="str">
        <f t="shared" si="161"/>
        <v>PZARAC</v>
      </c>
      <c r="B1534" s="43">
        <v>45797</v>
      </c>
      <c r="C1534" s="10" t="s">
        <v>1576</v>
      </c>
      <c r="D1534" s="10" t="s">
        <v>3</v>
      </c>
      <c r="E1534" s="10" t="s">
        <v>15</v>
      </c>
      <c r="F1534" s="10" t="s">
        <v>54</v>
      </c>
      <c r="G1534" s="10" t="s">
        <v>7</v>
      </c>
      <c r="H1534" s="10" t="s">
        <v>58</v>
      </c>
      <c r="I1534" s="45">
        <v>172</v>
      </c>
      <c r="J1534" s="11">
        <v>0.53900000000000003</v>
      </c>
      <c r="K1534" s="45">
        <f t="shared" si="162"/>
        <v>79.291999999999987</v>
      </c>
      <c r="L1534" s="10">
        <v>15</v>
      </c>
      <c r="M1534" s="10">
        <v>1.5</v>
      </c>
      <c r="N1534" s="10" t="b">
        <v>1</v>
      </c>
      <c r="O1534" s="41" t="s">
        <v>80</v>
      </c>
      <c r="P1534" s="45">
        <f t="shared" si="163"/>
        <v>33.302639999999997</v>
      </c>
      <c r="Q1534" s="45">
        <f t="shared" si="164"/>
        <v>45.989359999999991</v>
      </c>
      <c r="R1534" s="45">
        <v>150</v>
      </c>
      <c r="S1534" s="45">
        <f t="shared" si="165"/>
        <v>7.9291999999999989</v>
      </c>
      <c r="T1534" s="45">
        <f t="shared" si="166"/>
        <v>79.291999999999987</v>
      </c>
      <c r="U1534" s="47">
        <f t="shared" si="167"/>
        <v>-191.23183999999998</v>
      </c>
    </row>
    <row r="1535" spans="1:21" x14ac:dyDescent="0.3">
      <c r="A1535" s="41" t="str">
        <f t="shared" si="161"/>
        <v>PZARBO</v>
      </c>
      <c r="B1535" s="43">
        <v>45797</v>
      </c>
      <c r="C1535" s="10" t="s">
        <v>1577</v>
      </c>
      <c r="D1535" s="10" t="s">
        <v>3</v>
      </c>
      <c r="E1535" s="10" t="s">
        <v>26</v>
      </c>
      <c r="F1535" s="10" t="s">
        <v>11</v>
      </c>
      <c r="G1535" s="10" t="s">
        <v>49</v>
      </c>
      <c r="H1535" s="10" t="s">
        <v>32</v>
      </c>
      <c r="I1535" s="45">
        <v>2089</v>
      </c>
      <c r="J1535" s="11">
        <v>0</v>
      </c>
      <c r="K1535" s="45">
        <f t="shared" si="162"/>
        <v>2089</v>
      </c>
      <c r="L1535" s="10">
        <v>0</v>
      </c>
      <c r="M1535" s="10">
        <v>1.1000000000000001</v>
      </c>
      <c r="N1535" s="10" t="b">
        <v>0</v>
      </c>
      <c r="O1535" s="41"/>
      <c r="P1535" s="45">
        <f t="shared" si="163"/>
        <v>877.38</v>
      </c>
      <c r="Q1535" s="45">
        <f t="shared" si="164"/>
        <v>1211.6199999999999</v>
      </c>
      <c r="R1535" s="45">
        <v>0</v>
      </c>
      <c r="S1535" s="45">
        <f t="shared" si="165"/>
        <v>0</v>
      </c>
      <c r="T1535" s="45">
        <f t="shared" si="166"/>
        <v>0</v>
      </c>
      <c r="U1535" s="47">
        <f t="shared" si="167"/>
        <v>1211.6199999999999</v>
      </c>
    </row>
    <row r="1536" spans="1:21" x14ac:dyDescent="0.3">
      <c r="A1536" s="41" t="str">
        <f t="shared" si="161"/>
        <v>PBANSH</v>
      </c>
      <c r="B1536" s="43">
        <v>45797</v>
      </c>
      <c r="C1536" s="10" t="s">
        <v>1578</v>
      </c>
      <c r="D1536" s="10" t="s">
        <v>21</v>
      </c>
      <c r="E1536" s="10" t="s">
        <v>18</v>
      </c>
      <c r="F1536" s="10" t="s">
        <v>23</v>
      </c>
      <c r="G1536" s="10" t="s">
        <v>46</v>
      </c>
      <c r="H1536" s="10" t="s">
        <v>56</v>
      </c>
      <c r="I1536" s="45">
        <v>4257</v>
      </c>
      <c r="J1536" s="11">
        <v>0.28199999999999997</v>
      </c>
      <c r="K1536" s="45">
        <f t="shared" si="162"/>
        <v>3056.5259999999998</v>
      </c>
      <c r="L1536" s="10">
        <v>1</v>
      </c>
      <c r="M1536" s="10"/>
      <c r="N1536" s="10" t="b">
        <v>1</v>
      </c>
      <c r="O1536" s="41" t="s">
        <v>24</v>
      </c>
      <c r="P1536" s="45">
        <f t="shared" si="163"/>
        <v>1283.74092</v>
      </c>
      <c r="Q1536" s="45">
        <f t="shared" si="164"/>
        <v>1772.7850799999999</v>
      </c>
      <c r="R1536" s="45">
        <v>150</v>
      </c>
      <c r="S1536" s="45">
        <f t="shared" si="165"/>
        <v>305.65260000000001</v>
      </c>
      <c r="T1536" s="45">
        <f t="shared" si="166"/>
        <v>3056.5259999999998</v>
      </c>
      <c r="U1536" s="47">
        <f t="shared" si="167"/>
        <v>-1739.3935200000001</v>
      </c>
    </row>
    <row r="1537" spans="1:21" x14ac:dyDescent="0.3">
      <c r="A1537" s="41" t="str">
        <f t="shared" si="161"/>
        <v>PZARDR</v>
      </c>
      <c r="B1537" s="43">
        <v>45797</v>
      </c>
      <c r="C1537" s="10" t="s">
        <v>1579</v>
      </c>
      <c r="D1537" s="10" t="s">
        <v>3</v>
      </c>
      <c r="E1537" s="10" t="s">
        <v>30</v>
      </c>
      <c r="F1537" s="10" t="s">
        <v>54</v>
      </c>
      <c r="G1537" s="10" t="s">
        <v>38</v>
      </c>
      <c r="H1537" s="10" t="s">
        <v>7</v>
      </c>
      <c r="I1537" s="45">
        <v>2745</v>
      </c>
      <c r="J1537" s="11">
        <v>0.52300000000000002</v>
      </c>
      <c r="K1537" s="45">
        <f t="shared" si="162"/>
        <v>1309.365</v>
      </c>
      <c r="L1537" s="10">
        <v>28</v>
      </c>
      <c r="M1537" s="10">
        <v>2.2000000000000002</v>
      </c>
      <c r="N1537" s="10" t="b">
        <v>0</v>
      </c>
      <c r="O1537" s="41"/>
      <c r="P1537" s="45">
        <f t="shared" si="163"/>
        <v>549.93330000000003</v>
      </c>
      <c r="Q1537" s="45">
        <f t="shared" si="164"/>
        <v>759.43169999999998</v>
      </c>
      <c r="R1537" s="45">
        <v>0</v>
      </c>
      <c r="S1537" s="45">
        <f t="shared" si="165"/>
        <v>0</v>
      </c>
      <c r="T1537" s="45">
        <f t="shared" si="166"/>
        <v>0</v>
      </c>
      <c r="U1537" s="47">
        <f t="shared" si="167"/>
        <v>759.43169999999998</v>
      </c>
    </row>
    <row r="1538" spans="1:21" x14ac:dyDescent="0.3">
      <c r="A1538" s="41" t="str">
        <f t="shared" ref="A1538:A1601" si="168">UPPER("P"&amp;LEFT(D1538,3)&amp;LEFT(E1538,2))</f>
        <v>PZARTO</v>
      </c>
      <c r="B1538" s="43">
        <v>45798</v>
      </c>
      <c r="C1538" s="10" t="s">
        <v>1580</v>
      </c>
      <c r="D1538" s="10" t="s">
        <v>3</v>
      </c>
      <c r="E1538" s="10" t="s">
        <v>9</v>
      </c>
      <c r="F1538" s="10" t="s">
        <v>54</v>
      </c>
      <c r="G1538" s="10" t="s">
        <v>46</v>
      </c>
      <c r="H1538" s="10" t="s">
        <v>88</v>
      </c>
      <c r="I1538" s="45">
        <v>1574</v>
      </c>
      <c r="J1538" s="11">
        <v>0</v>
      </c>
      <c r="K1538" s="45">
        <f t="shared" si="162"/>
        <v>1574</v>
      </c>
      <c r="L1538" s="10">
        <v>11</v>
      </c>
      <c r="M1538" s="10"/>
      <c r="N1538" s="10" t="b">
        <v>0</v>
      </c>
      <c r="O1538" s="41"/>
      <c r="P1538" s="45">
        <f t="shared" si="163"/>
        <v>661.07999999999993</v>
      </c>
      <c r="Q1538" s="45">
        <f t="shared" si="164"/>
        <v>912.92000000000007</v>
      </c>
      <c r="R1538" s="45">
        <v>0</v>
      </c>
      <c r="S1538" s="45">
        <f t="shared" si="165"/>
        <v>0</v>
      </c>
      <c r="T1538" s="45">
        <f t="shared" si="166"/>
        <v>0</v>
      </c>
      <c r="U1538" s="47">
        <f t="shared" si="167"/>
        <v>912.92000000000007</v>
      </c>
    </row>
    <row r="1539" spans="1:21" x14ac:dyDescent="0.3">
      <c r="A1539" s="41" t="str">
        <f t="shared" si="168"/>
        <v>PBANTO</v>
      </c>
      <c r="B1539" s="43">
        <v>45798</v>
      </c>
      <c r="C1539" s="10" t="s">
        <v>1581</v>
      </c>
      <c r="D1539" s="10" t="s">
        <v>21</v>
      </c>
      <c r="E1539" s="10" t="s">
        <v>9</v>
      </c>
      <c r="F1539" s="10" t="s">
        <v>4</v>
      </c>
      <c r="G1539" s="10" t="s">
        <v>38</v>
      </c>
      <c r="H1539" s="10" t="s">
        <v>13</v>
      </c>
      <c r="I1539" s="45">
        <v>1646</v>
      </c>
      <c r="J1539" s="11">
        <v>0</v>
      </c>
      <c r="K1539" s="45">
        <f t="shared" ref="K1539:K1602" si="169">I1539*(1-J1539)</f>
        <v>1646</v>
      </c>
      <c r="L1539" s="10">
        <v>22</v>
      </c>
      <c r="M1539" s="10">
        <v>1.2</v>
      </c>
      <c r="N1539" s="10" t="b">
        <v>0</v>
      </c>
      <c r="O1539" s="41"/>
      <c r="P1539" s="45">
        <f t="shared" ref="P1539:P1602" si="170">K1539*0.42</f>
        <v>691.31999999999994</v>
      </c>
      <c r="Q1539" s="45">
        <f t="shared" ref="Q1539:Q1602" si="171">K1539-P1539</f>
        <v>954.68000000000006</v>
      </c>
      <c r="R1539" s="45">
        <v>0</v>
      </c>
      <c r="S1539" s="45">
        <f t="shared" ref="S1539:S1602" si="172">IF(N1539=TRUE,K1539*0.1,0)</f>
        <v>0</v>
      </c>
      <c r="T1539" s="45">
        <f t="shared" ref="T1539:T1602" si="173">IF(N1539=TRUE,K1539,0)</f>
        <v>0</v>
      </c>
      <c r="U1539" s="47">
        <f t="shared" ref="U1539:U1602" si="174">Q1539-R1539-S1539-T1539</f>
        <v>954.68000000000006</v>
      </c>
    </row>
    <row r="1540" spans="1:21" x14ac:dyDescent="0.3">
      <c r="A1540" s="41" t="str">
        <f t="shared" si="168"/>
        <v>PBANOU</v>
      </c>
      <c r="B1540" s="43">
        <v>45798</v>
      </c>
      <c r="C1540" s="10" t="s">
        <v>1582</v>
      </c>
      <c r="D1540" s="10" t="s">
        <v>21</v>
      </c>
      <c r="E1540" s="10" t="s">
        <v>2</v>
      </c>
      <c r="F1540" s="10" t="s">
        <v>4</v>
      </c>
      <c r="G1540" s="10" t="s">
        <v>27</v>
      </c>
      <c r="H1540" s="10" t="s">
        <v>88</v>
      </c>
      <c r="I1540" s="45">
        <v>3198</v>
      </c>
      <c r="J1540" s="11">
        <v>0</v>
      </c>
      <c r="K1540" s="45">
        <f t="shared" si="169"/>
        <v>3198</v>
      </c>
      <c r="L1540" s="10">
        <v>23</v>
      </c>
      <c r="M1540" s="10">
        <v>3.5</v>
      </c>
      <c r="N1540" s="10" t="b">
        <v>0</v>
      </c>
      <c r="O1540" s="41"/>
      <c r="P1540" s="45">
        <f t="shared" si="170"/>
        <v>1343.1599999999999</v>
      </c>
      <c r="Q1540" s="45">
        <f t="shared" si="171"/>
        <v>1854.8400000000001</v>
      </c>
      <c r="R1540" s="45">
        <v>0</v>
      </c>
      <c r="S1540" s="45">
        <f t="shared" si="172"/>
        <v>0</v>
      </c>
      <c r="T1540" s="45">
        <f t="shared" si="173"/>
        <v>0</v>
      </c>
      <c r="U1540" s="47">
        <f t="shared" si="174"/>
        <v>1854.8400000000001</v>
      </c>
    </row>
    <row r="1541" spans="1:21" x14ac:dyDescent="0.3">
      <c r="A1541" s="41" t="str">
        <f t="shared" si="168"/>
        <v>PANNDR</v>
      </c>
      <c r="B1541" s="43">
        <v>45798</v>
      </c>
      <c r="C1541" s="10" t="s">
        <v>1583</v>
      </c>
      <c r="D1541" s="10" t="s">
        <v>42</v>
      </c>
      <c r="E1541" s="10" t="s">
        <v>30</v>
      </c>
      <c r="F1541" s="10" t="s">
        <v>23</v>
      </c>
      <c r="G1541" s="10" t="s">
        <v>38</v>
      </c>
      <c r="H1541" s="10" t="s">
        <v>13</v>
      </c>
      <c r="I1541" s="45">
        <v>2530</v>
      </c>
      <c r="J1541" s="11">
        <v>0.11199999999999999</v>
      </c>
      <c r="K1541" s="45">
        <f t="shared" si="169"/>
        <v>2246.64</v>
      </c>
      <c r="L1541" s="10">
        <v>4</v>
      </c>
      <c r="M1541" s="10">
        <v>3.8</v>
      </c>
      <c r="N1541" s="10" t="b">
        <v>0</v>
      </c>
      <c r="O1541" s="41"/>
      <c r="P1541" s="45">
        <f t="shared" si="170"/>
        <v>943.58879999999988</v>
      </c>
      <c r="Q1541" s="45">
        <f t="shared" si="171"/>
        <v>1303.0511999999999</v>
      </c>
      <c r="R1541" s="45">
        <v>0</v>
      </c>
      <c r="S1541" s="45">
        <f t="shared" si="172"/>
        <v>0</v>
      </c>
      <c r="T1541" s="45">
        <f t="shared" si="173"/>
        <v>0</v>
      </c>
      <c r="U1541" s="47">
        <f t="shared" si="174"/>
        <v>1303.0511999999999</v>
      </c>
    </row>
    <row r="1542" spans="1:21" x14ac:dyDescent="0.3">
      <c r="A1542" s="41" t="str">
        <f t="shared" si="168"/>
        <v>PMANAC</v>
      </c>
      <c r="B1542" s="43">
        <v>45799</v>
      </c>
      <c r="C1542" s="10" t="s">
        <v>1584</v>
      </c>
      <c r="D1542" s="10" t="s">
        <v>31</v>
      </c>
      <c r="E1542" s="10" t="s">
        <v>15</v>
      </c>
      <c r="F1542" s="10" t="s">
        <v>4</v>
      </c>
      <c r="G1542" s="10" t="s">
        <v>7</v>
      </c>
      <c r="H1542" s="10" t="s">
        <v>13</v>
      </c>
      <c r="I1542" s="45">
        <v>374</v>
      </c>
      <c r="J1542" s="11">
        <v>0.498</v>
      </c>
      <c r="K1542" s="45">
        <f t="shared" si="169"/>
        <v>187.74799999999999</v>
      </c>
      <c r="L1542" s="10">
        <v>12</v>
      </c>
      <c r="M1542" s="10">
        <v>2.6</v>
      </c>
      <c r="N1542" s="10" t="b">
        <v>0</v>
      </c>
      <c r="O1542" s="41"/>
      <c r="P1542" s="45">
        <f t="shared" si="170"/>
        <v>78.854159999999993</v>
      </c>
      <c r="Q1542" s="45">
        <f t="shared" si="171"/>
        <v>108.89384</v>
      </c>
      <c r="R1542" s="45">
        <v>0</v>
      </c>
      <c r="S1542" s="45">
        <f t="shared" si="172"/>
        <v>0</v>
      </c>
      <c r="T1542" s="45">
        <f t="shared" si="173"/>
        <v>0</v>
      </c>
      <c r="U1542" s="47">
        <f t="shared" si="174"/>
        <v>108.89384</v>
      </c>
    </row>
    <row r="1543" spans="1:21" x14ac:dyDescent="0.3">
      <c r="A1543" s="41" t="str">
        <f t="shared" si="168"/>
        <v>PH&amp;MAC</v>
      </c>
      <c r="B1543" s="43">
        <v>45799</v>
      </c>
      <c r="C1543" s="10" t="s">
        <v>1585</v>
      </c>
      <c r="D1543" s="10" t="s">
        <v>37</v>
      </c>
      <c r="E1543" s="10" t="s">
        <v>15</v>
      </c>
      <c r="F1543" s="10" t="s">
        <v>11</v>
      </c>
      <c r="G1543" s="10" t="s">
        <v>7</v>
      </c>
      <c r="H1543" s="10" t="s">
        <v>56</v>
      </c>
      <c r="I1543" s="45">
        <v>299</v>
      </c>
      <c r="J1543" s="11">
        <v>0</v>
      </c>
      <c r="K1543" s="45">
        <f t="shared" si="169"/>
        <v>299</v>
      </c>
      <c r="L1543" s="10">
        <v>44</v>
      </c>
      <c r="M1543" s="10">
        <v>1.6</v>
      </c>
      <c r="N1543" s="10" t="b">
        <v>0</v>
      </c>
      <c r="O1543" s="41"/>
      <c r="P1543" s="45">
        <f t="shared" si="170"/>
        <v>125.58</v>
      </c>
      <c r="Q1543" s="45">
        <f t="shared" si="171"/>
        <v>173.42000000000002</v>
      </c>
      <c r="R1543" s="45">
        <v>0</v>
      </c>
      <c r="S1543" s="45">
        <f t="shared" si="172"/>
        <v>0</v>
      </c>
      <c r="T1543" s="45">
        <f t="shared" si="173"/>
        <v>0</v>
      </c>
      <c r="U1543" s="47">
        <f t="shared" si="174"/>
        <v>173.42000000000002</v>
      </c>
    </row>
    <row r="1544" spans="1:21" x14ac:dyDescent="0.3">
      <c r="A1544" s="41" t="str">
        <f t="shared" si="168"/>
        <v>PFORBO</v>
      </c>
      <c r="B1544" s="43">
        <v>45799</v>
      </c>
      <c r="C1544" s="10" t="s">
        <v>1586</v>
      </c>
      <c r="D1544" s="10" t="s">
        <v>65</v>
      </c>
      <c r="E1544" s="10" t="s">
        <v>26</v>
      </c>
      <c r="F1544" s="10" t="s">
        <v>23</v>
      </c>
      <c r="G1544" s="10" t="s">
        <v>27</v>
      </c>
      <c r="H1544" s="10" t="s">
        <v>88</v>
      </c>
      <c r="I1544" s="45">
        <v>2160</v>
      </c>
      <c r="J1544" s="11">
        <v>0</v>
      </c>
      <c r="K1544" s="45">
        <f t="shared" si="169"/>
        <v>2160</v>
      </c>
      <c r="L1544" s="10">
        <v>19</v>
      </c>
      <c r="M1544" s="10">
        <v>1.9</v>
      </c>
      <c r="N1544" s="10" t="b">
        <v>0</v>
      </c>
      <c r="O1544" s="41"/>
      <c r="P1544" s="45">
        <f t="shared" si="170"/>
        <v>907.19999999999993</v>
      </c>
      <c r="Q1544" s="45">
        <f t="shared" si="171"/>
        <v>1252.8000000000002</v>
      </c>
      <c r="R1544" s="45">
        <v>0</v>
      </c>
      <c r="S1544" s="45">
        <f t="shared" si="172"/>
        <v>0</v>
      </c>
      <c r="T1544" s="45">
        <f t="shared" si="173"/>
        <v>0</v>
      </c>
      <c r="U1544" s="47">
        <f t="shared" si="174"/>
        <v>1252.8000000000002</v>
      </c>
    </row>
    <row r="1545" spans="1:21" x14ac:dyDescent="0.3">
      <c r="A1545" s="41" t="str">
        <f t="shared" si="168"/>
        <v>PH&amp;MSH</v>
      </c>
      <c r="B1545" s="43">
        <v>45800</v>
      </c>
      <c r="C1545" s="10" t="s">
        <v>1587</v>
      </c>
      <c r="D1545" s="10" t="s">
        <v>37</v>
      </c>
      <c r="E1545" s="10" t="s">
        <v>18</v>
      </c>
      <c r="F1545" s="10" t="s">
        <v>23</v>
      </c>
      <c r="G1545" s="10" t="s">
        <v>7</v>
      </c>
      <c r="H1545" s="10" t="s">
        <v>88</v>
      </c>
      <c r="I1545" s="45">
        <v>3750</v>
      </c>
      <c r="J1545" s="11">
        <v>0.14899999999999999</v>
      </c>
      <c r="K1545" s="45">
        <f t="shared" si="169"/>
        <v>3191.25</v>
      </c>
      <c r="L1545" s="10">
        <v>8</v>
      </c>
      <c r="M1545" s="10">
        <v>3.7</v>
      </c>
      <c r="N1545" s="10" t="b">
        <v>0</v>
      </c>
      <c r="O1545" s="41"/>
      <c r="P1545" s="45">
        <f t="shared" si="170"/>
        <v>1340.325</v>
      </c>
      <c r="Q1545" s="45">
        <f t="shared" si="171"/>
        <v>1850.925</v>
      </c>
      <c r="R1545" s="45">
        <v>0</v>
      </c>
      <c r="S1545" s="45">
        <f t="shared" si="172"/>
        <v>0</v>
      </c>
      <c r="T1545" s="45">
        <f t="shared" si="173"/>
        <v>0</v>
      </c>
      <c r="U1545" s="47">
        <f t="shared" si="174"/>
        <v>1850.925</v>
      </c>
    </row>
    <row r="1546" spans="1:21" x14ac:dyDescent="0.3">
      <c r="A1546" s="41" t="str">
        <f t="shared" si="168"/>
        <v>PZARAC</v>
      </c>
      <c r="B1546" s="43">
        <v>45800</v>
      </c>
      <c r="C1546" s="10" t="s">
        <v>1588</v>
      </c>
      <c r="D1546" s="10" t="s">
        <v>3</v>
      </c>
      <c r="E1546" s="10" t="s">
        <v>15</v>
      </c>
      <c r="F1546" s="10" t="s">
        <v>11</v>
      </c>
      <c r="G1546" s="10" t="s">
        <v>7</v>
      </c>
      <c r="H1546" s="10" t="s">
        <v>16</v>
      </c>
      <c r="I1546" s="45">
        <v>357</v>
      </c>
      <c r="J1546" s="11">
        <v>0</v>
      </c>
      <c r="K1546" s="45">
        <f t="shared" si="169"/>
        <v>357</v>
      </c>
      <c r="L1546" s="10">
        <v>27</v>
      </c>
      <c r="M1546" s="10">
        <v>3</v>
      </c>
      <c r="N1546" s="10" t="b">
        <v>0</v>
      </c>
      <c r="O1546" s="41"/>
      <c r="P1546" s="45">
        <f t="shared" si="170"/>
        <v>149.94</v>
      </c>
      <c r="Q1546" s="45">
        <f t="shared" si="171"/>
        <v>207.06</v>
      </c>
      <c r="R1546" s="45">
        <v>0</v>
      </c>
      <c r="S1546" s="45">
        <f t="shared" si="172"/>
        <v>0</v>
      </c>
      <c r="T1546" s="45">
        <f t="shared" si="173"/>
        <v>0</v>
      </c>
      <c r="U1546" s="47">
        <f t="shared" si="174"/>
        <v>207.06</v>
      </c>
    </row>
    <row r="1547" spans="1:21" x14ac:dyDescent="0.3">
      <c r="A1547" s="41" t="str">
        <f t="shared" si="168"/>
        <v>PZARDR</v>
      </c>
      <c r="B1547" s="43">
        <v>45800</v>
      </c>
      <c r="C1547" s="10" t="s">
        <v>1589</v>
      </c>
      <c r="D1547" s="10" t="s">
        <v>3</v>
      </c>
      <c r="E1547" s="10" t="s">
        <v>30</v>
      </c>
      <c r="F1547" s="10" t="s">
        <v>4</v>
      </c>
      <c r="G1547" s="10" t="s">
        <v>27</v>
      </c>
      <c r="H1547" s="10" t="s">
        <v>47</v>
      </c>
      <c r="I1547" s="45">
        <v>2430</v>
      </c>
      <c r="J1547" s="11">
        <v>0</v>
      </c>
      <c r="K1547" s="45">
        <f t="shared" si="169"/>
        <v>2430</v>
      </c>
      <c r="L1547" s="10">
        <v>32</v>
      </c>
      <c r="M1547" s="10">
        <v>3.4</v>
      </c>
      <c r="N1547" s="10" t="b">
        <v>0</v>
      </c>
      <c r="O1547" s="41"/>
      <c r="P1547" s="45">
        <f t="shared" si="170"/>
        <v>1020.5999999999999</v>
      </c>
      <c r="Q1547" s="45">
        <f t="shared" si="171"/>
        <v>1409.4</v>
      </c>
      <c r="R1547" s="45">
        <v>0</v>
      </c>
      <c r="S1547" s="45">
        <f t="shared" si="172"/>
        <v>0</v>
      </c>
      <c r="T1547" s="45">
        <f t="shared" si="173"/>
        <v>0</v>
      </c>
      <c r="U1547" s="47">
        <f t="shared" si="174"/>
        <v>1409.4</v>
      </c>
    </row>
    <row r="1548" spans="1:21" x14ac:dyDescent="0.3">
      <c r="A1548" s="41" t="str">
        <f t="shared" si="168"/>
        <v>PANNAC</v>
      </c>
      <c r="B1548" s="43">
        <v>45800</v>
      </c>
      <c r="C1548" s="10" t="s">
        <v>1590</v>
      </c>
      <c r="D1548" s="10" t="s">
        <v>42</v>
      </c>
      <c r="E1548" s="10" t="s">
        <v>15</v>
      </c>
      <c r="F1548" s="10" t="s">
        <v>54</v>
      </c>
      <c r="G1548" s="10" t="s">
        <v>7</v>
      </c>
      <c r="H1548" s="10" t="s">
        <v>28</v>
      </c>
      <c r="I1548" s="45">
        <v>312</v>
      </c>
      <c r="J1548" s="11">
        <v>0</v>
      </c>
      <c r="K1548" s="45">
        <f t="shared" si="169"/>
        <v>312</v>
      </c>
      <c r="L1548" s="10">
        <v>34</v>
      </c>
      <c r="M1548" s="10">
        <v>4.2</v>
      </c>
      <c r="N1548" s="10" t="b">
        <v>0</v>
      </c>
      <c r="O1548" s="41"/>
      <c r="P1548" s="45">
        <f t="shared" si="170"/>
        <v>131.04</v>
      </c>
      <c r="Q1548" s="45">
        <f t="shared" si="171"/>
        <v>180.96</v>
      </c>
      <c r="R1548" s="45">
        <v>0</v>
      </c>
      <c r="S1548" s="45">
        <f t="shared" si="172"/>
        <v>0</v>
      </c>
      <c r="T1548" s="45">
        <f t="shared" si="173"/>
        <v>0</v>
      </c>
      <c r="U1548" s="47">
        <f t="shared" si="174"/>
        <v>180.96</v>
      </c>
    </row>
    <row r="1549" spans="1:21" x14ac:dyDescent="0.3">
      <c r="A1549" s="41" t="str">
        <f t="shared" si="168"/>
        <v>PGAPOU</v>
      </c>
      <c r="B1549" s="43">
        <v>45801</v>
      </c>
      <c r="C1549" s="10" t="s">
        <v>1591</v>
      </c>
      <c r="D1549" s="10" t="s">
        <v>53</v>
      </c>
      <c r="E1549" s="10" t="s">
        <v>2</v>
      </c>
      <c r="F1549" s="10" t="s">
        <v>23</v>
      </c>
      <c r="G1549" s="10" t="s">
        <v>49</v>
      </c>
      <c r="H1549" s="10" t="s">
        <v>58</v>
      </c>
      <c r="I1549" s="45">
        <v>3566</v>
      </c>
      <c r="J1549" s="11">
        <v>0.39799999999999996</v>
      </c>
      <c r="K1549" s="45">
        <f t="shared" si="169"/>
        <v>2146.7320000000004</v>
      </c>
      <c r="L1549" s="10">
        <v>47</v>
      </c>
      <c r="M1549" s="10">
        <v>3.5</v>
      </c>
      <c r="N1549" s="10" t="b">
        <v>0</v>
      </c>
      <c r="O1549" s="41"/>
      <c r="P1549" s="45">
        <f t="shared" si="170"/>
        <v>901.62744000000009</v>
      </c>
      <c r="Q1549" s="45">
        <f t="shared" si="171"/>
        <v>1245.1045600000002</v>
      </c>
      <c r="R1549" s="45">
        <v>0</v>
      </c>
      <c r="S1549" s="45">
        <f t="shared" si="172"/>
        <v>0</v>
      </c>
      <c r="T1549" s="45">
        <f t="shared" si="173"/>
        <v>0</v>
      </c>
      <c r="U1549" s="47">
        <f t="shared" si="174"/>
        <v>1245.1045600000002</v>
      </c>
    </row>
    <row r="1550" spans="1:21" x14ac:dyDescent="0.3">
      <c r="A1550" s="41" t="str">
        <f t="shared" si="168"/>
        <v>PGAPDR</v>
      </c>
      <c r="B1550" s="43">
        <v>45801</v>
      </c>
      <c r="C1550" s="10" t="s">
        <v>1592</v>
      </c>
      <c r="D1550" s="10" t="s">
        <v>53</v>
      </c>
      <c r="E1550" s="10" t="s">
        <v>30</v>
      </c>
      <c r="F1550" s="10" t="s">
        <v>4</v>
      </c>
      <c r="G1550" s="10" t="s">
        <v>5</v>
      </c>
      <c r="H1550" s="10" t="s">
        <v>28</v>
      </c>
      <c r="I1550" s="45">
        <v>2000</v>
      </c>
      <c r="J1550" s="11">
        <v>0.24399999999999999</v>
      </c>
      <c r="K1550" s="45">
        <f t="shared" si="169"/>
        <v>1512</v>
      </c>
      <c r="L1550" s="10">
        <v>42</v>
      </c>
      <c r="M1550" s="10">
        <v>2.8</v>
      </c>
      <c r="N1550" s="10" t="b">
        <v>0</v>
      </c>
      <c r="O1550" s="41"/>
      <c r="P1550" s="45">
        <f t="shared" si="170"/>
        <v>635.04</v>
      </c>
      <c r="Q1550" s="45">
        <f t="shared" si="171"/>
        <v>876.96</v>
      </c>
      <c r="R1550" s="45">
        <v>0</v>
      </c>
      <c r="S1550" s="45">
        <f t="shared" si="172"/>
        <v>0</v>
      </c>
      <c r="T1550" s="45">
        <f t="shared" si="173"/>
        <v>0</v>
      </c>
      <c r="U1550" s="47">
        <f t="shared" si="174"/>
        <v>876.96</v>
      </c>
    </row>
    <row r="1551" spans="1:21" x14ac:dyDescent="0.3">
      <c r="A1551" s="41" t="str">
        <f t="shared" si="168"/>
        <v>PGAPBO</v>
      </c>
      <c r="B1551" s="43">
        <v>45801</v>
      </c>
      <c r="C1551" s="10" t="s">
        <v>1593</v>
      </c>
      <c r="D1551" s="10" t="s">
        <v>53</v>
      </c>
      <c r="E1551" s="10" t="s">
        <v>26</v>
      </c>
      <c r="F1551" s="10" t="s">
        <v>11</v>
      </c>
      <c r="G1551" s="10" t="s">
        <v>46</v>
      </c>
      <c r="H1551" s="10" t="s">
        <v>56</v>
      </c>
      <c r="I1551" s="45">
        <v>2861</v>
      </c>
      <c r="J1551" s="11">
        <v>6.3E-2</v>
      </c>
      <c r="K1551" s="45">
        <f t="shared" si="169"/>
        <v>2680.7570000000001</v>
      </c>
      <c r="L1551" s="10">
        <v>46</v>
      </c>
      <c r="M1551" s="10"/>
      <c r="N1551" s="10" t="b">
        <v>1</v>
      </c>
      <c r="O1551" s="41" t="s">
        <v>44</v>
      </c>
      <c r="P1551" s="45">
        <f t="shared" si="170"/>
        <v>1125.91794</v>
      </c>
      <c r="Q1551" s="45">
        <f t="shared" si="171"/>
        <v>1554.83906</v>
      </c>
      <c r="R1551" s="45">
        <v>150</v>
      </c>
      <c r="S1551" s="45">
        <f t="shared" si="172"/>
        <v>268.07570000000004</v>
      </c>
      <c r="T1551" s="45">
        <f t="shared" si="173"/>
        <v>2680.7570000000001</v>
      </c>
      <c r="U1551" s="47">
        <f t="shared" si="174"/>
        <v>-1543.9936400000001</v>
      </c>
    </row>
    <row r="1552" spans="1:21" x14ac:dyDescent="0.3">
      <c r="A1552" s="41" t="str">
        <f t="shared" si="168"/>
        <v>PGAPTO</v>
      </c>
      <c r="B1552" s="43">
        <v>45801</v>
      </c>
      <c r="C1552" s="10" t="s">
        <v>1594</v>
      </c>
      <c r="D1552" s="10" t="s">
        <v>53</v>
      </c>
      <c r="E1552" s="10" t="s">
        <v>9</v>
      </c>
      <c r="F1552" s="10" t="s">
        <v>4</v>
      </c>
      <c r="G1552" s="10" t="s">
        <v>7</v>
      </c>
      <c r="H1552" s="10" t="s">
        <v>43</v>
      </c>
      <c r="I1552" s="45">
        <v>1068</v>
      </c>
      <c r="J1552" s="11">
        <v>0</v>
      </c>
      <c r="K1552" s="45">
        <f t="shared" si="169"/>
        <v>1068</v>
      </c>
      <c r="L1552" s="10">
        <v>23</v>
      </c>
      <c r="M1552" s="10"/>
      <c r="N1552" s="10" t="b">
        <v>0</v>
      </c>
      <c r="O1552" s="41"/>
      <c r="P1552" s="45">
        <f t="shared" si="170"/>
        <v>448.56</v>
      </c>
      <c r="Q1552" s="45">
        <f t="shared" si="171"/>
        <v>619.44000000000005</v>
      </c>
      <c r="R1552" s="45">
        <v>0</v>
      </c>
      <c r="S1552" s="45">
        <f t="shared" si="172"/>
        <v>0</v>
      </c>
      <c r="T1552" s="45">
        <f t="shared" si="173"/>
        <v>0</v>
      </c>
      <c r="U1552" s="47">
        <f t="shared" si="174"/>
        <v>619.44000000000005</v>
      </c>
    </row>
    <row r="1553" spans="1:21" x14ac:dyDescent="0.3">
      <c r="A1553" s="41" t="str">
        <f t="shared" si="168"/>
        <v>PZARDR</v>
      </c>
      <c r="B1553" s="43">
        <v>45802</v>
      </c>
      <c r="C1553" s="10" t="s">
        <v>1595</v>
      </c>
      <c r="D1553" s="10" t="s">
        <v>3</v>
      </c>
      <c r="E1553" s="10" t="s">
        <v>30</v>
      </c>
      <c r="F1553" s="10" t="s">
        <v>23</v>
      </c>
      <c r="G1553" s="10" t="s">
        <v>5</v>
      </c>
      <c r="H1553" s="10" t="s">
        <v>58</v>
      </c>
      <c r="I1553" s="45">
        <v>2112</v>
      </c>
      <c r="J1553" s="11">
        <v>0.05</v>
      </c>
      <c r="K1553" s="45">
        <f t="shared" si="169"/>
        <v>2006.3999999999999</v>
      </c>
      <c r="L1553" s="10">
        <v>39</v>
      </c>
      <c r="M1553" s="10"/>
      <c r="N1553" s="10" t="b">
        <v>1</v>
      </c>
      <c r="O1553" s="41" t="s">
        <v>80</v>
      </c>
      <c r="P1553" s="45">
        <f t="shared" si="170"/>
        <v>842.68799999999987</v>
      </c>
      <c r="Q1553" s="45">
        <f t="shared" si="171"/>
        <v>1163.712</v>
      </c>
      <c r="R1553" s="45">
        <v>150</v>
      </c>
      <c r="S1553" s="45">
        <f t="shared" si="172"/>
        <v>200.64</v>
      </c>
      <c r="T1553" s="45">
        <f t="shared" si="173"/>
        <v>2006.3999999999999</v>
      </c>
      <c r="U1553" s="47">
        <f t="shared" si="174"/>
        <v>-1193.328</v>
      </c>
    </row>
    <row r="1554" spans="1:21" x14ac:dyDescent="0.3">
      <c r="A1554" s="41" t="str">
        <f t="shared" si="168"/>
        <v>PBANOU</v>
      </c>
      <c r="B1554" s="43">
        <v>45802</v>
      </c>
      <c r="C1554" s="10" t="s">
        <v>1596</v>
      </c>
      <c r="D1554" s="10" t="s">
        <v>21</v>
      </c>
      <c r="E1554" s="10" t="s">
        <v>2</v>
      </c>
      <c r="F1554" s="10" t="s">
        <v>54</v>
      </c>
      <c r="G1554" s="10" t="s">
        <v>46</v>
      </c>
      <c r="H1554" s="10" t="s">
        <v>35</v>
      </c>
      <c r="I1554" s="45">
        <v>3997</v>
      </c>
      <c r="J1554" s="11">
        <v>0</v>
      </c>
      <c r="K1554" s="45">
        <f t="shared" si="169"/>
        <v>3997</v>
      </c>
      <c r="L1554" s="10">
        <v>1</v>
      </c>
      <c r="M1554" s="10">
        <v>3</v>
      </c>
      <c r="N1554" s="10" t="b">
        <v>0</v>
      </c>
      <c r="O1554" s="41"/>
      <c r="P1554" s="45">
        <f t="shared" si="170"/>
        <v>1678.74</v>
      </c>
      <c r="Q1554" s="45">
        <f t="shared" si="171"/>
        <v>2318.2600000000002</v>
      </c>
      <c r="R1554" s="45">
        <v>0</v>
      </c>
      <c r="S1554" s="45">
        <f t="shared" si="172"/>
        <v>0</v>
      </c>
      <c r="T1554" s="45">
        <f t="shared" si="173"/>
        <v>0</v>
      </c>
      <c r="U1554" s="47">
        <f t="shared" si="174"/>
        <v>2318.2600000000002</v>
      </c>
    </row>
    <row r="1555" spans="1:21" x14ac:dyDescent="0.3">
      <c r="A1555" s="41" t="str">
        <f t="shared" si="168"/>
        <v>PH&amp;MDR</v>
      </c>
      <c r="B1555" s="43">
        <v>45802</v>
      </c>
      <c r="C1555" s="10" t="s">
        <v>1597</v>
      </c>
      <c r="D1555" s="10" t="s">
        <v>37</v>
      </c>
      <c r="E1555" s="10" t="s">
        <v>30</v>
      </c>
      <c r="F1555" s="10" t="s">
        <v>11</v>
      </c>
      <c r="G1555" s="10" t="s">
        <v>27</v>
      </c>
      <c r="H1555" s="10" t="s">
        <v>56</v>
      </c>
      <c r="I1555" s="45">
        <v>2699</v>
      </c>
      <c r="J1555" s="11">
        <v>0</v>
      </c>
      <c r="K1555" s="45">
        <f t="shared" si="169"/>
        <v>2699</v>
      </c>
      <c r="L1555" s="10">
        <v>24</v>
      </c>
      <c r="M1555" s="10">
        <v>2.2000000000000002</v>
      </c>
      <c r="N1555" s="10" t="b">
        <v>0</v>
      </c>
      <c r="O1555" s="41"/>
      <c r="P1555" s="45">
        <f t="shared" si="170"/>
        <v>1133.58</v>
      </c>
      <c r="Q1555" s="45">
        <f t="shared" si="171"/>
        <v>1565.42</v>
      </c>
      <c r="R1555" s="45">
        <v>0</v>
      </c>
      <c r="S1555" s="45">
        <f t="shared" si="172"/>
        <v>0</v>
      </c>
      <c r="T1555" s="45">
        <f t="shared" si="173"/>
        <v>0</v>
      </c>
      <c r="U1555" s="47">
        <f t="shared" si="174"/>
        <v>1565.42</v>
      </c>
    </row>
    <row r="1556" spans="1:21" x14ac:dyDescent="0.3">
      <c r="A1556" s="41" t="str">
        <f t="shared" si="168"/>
        <v>PGAPTO</v>
      </c>
      <c r="B1556" s="43">
        <v>45803</v>
      </c>
      <c r="C1556" s="10" t="s">
        <v>1598</v>
      </c>
      <c r="D1556" s="10" t="s">
        <v>53</v>
      </c>
      <c r="E1556" s="10" t="s">
        <v>9</v>
      </c>
      <c r="F1556" s="10" t="s">
        <v>11</v>
      </c>
      <c r="G1556" s="10" t="s">
        <v>12</v>
      </c>
      <c r="H1556" s="10" t="s">
        <v>56</v>
      </c>
      <c r="I1556" s="45">
        <v>1582</v>
      </c>
      <c r="J1556" s="11">
        <v>0</v>
      </c>
      <c r="K1556" s="45">
        <f t="shared" si="169"/>
        <v>1582</v>
      </c>
      <c r="L1556" s="10">
        <v>48</v>
      </c>
      <c r="M1556" s="10">
        <v>4.3</v>
      </c>
      <c r="N1556" s="10" t="b">
        <v>1</v>
      </c>
      <c r="O1556" s="41" t="s">
        <v>33</v>
      </c>
      <c r="P1556" s="45">
        <f t="shared" si="170"/>
        <v>664.43999999999994</v>
      </c>
      <c r="Q1556" s="45">
        <f t="shared" si="171"/>
        <v>917.56000000000006</v>
      </c>
      <c r="R1556" s="45">
        <v>150</v>
      </c>
      <c r="S1556" s="45">
        <f t="shared" si="172"/>
        <v>158.20000000000002</v>
      </c>
      <c r="T1556" s="45">
        <f t="shared" si="173"/>
        <v>1582</v>
      </c>
      <c r="U1556" s="47">
        <f t="shared" si="174"/>
        <v>-972.64</v>
      </c>
    </row>
    <row r="1557" spans="1:21" x14ac:dyDescent="0.3">
      <c r="A1557" s="41" t="str">
        <f t="shared" si="168"/>
        <v>PANNOU</v>
      </c>
      <c r="B1557" s="43">
        <v>45803</v>
      </c>
      <c r="C1557" s="10" t="s">
        <v>1599</v>
      </c>
      <c r="D1557" s="10" t="s">
        <v>42</v>
      </c>
      <c r="E1557" s="10" t="s">
        <v>2</v>
      </c>
      <c r="F1557" s="10" t="s">
        <v>11</v>
      </c>
      <c r="G1557" s="10" t="s">
        <v>7</v>
      </c>
      <c r="H1557" s="10" t="s">
        <v>43</v>
      </c>
      <c r="I1557" s="45">
        <v>4346</v>
      </c>
      <c r="J1557" s="11">
        <v>0</v>
      </c>
      <c r="K1557" s="45">
        <f t="shared" si="169"/>
        <v>4346</v>
      </c>
      <c r="L1557" s="10">
        <v>13</v>
      </c>
      <c r="M1557" s="10">
        <v>2.2999999999999998</v>
      </c>
      <c r="N1557" s="10" t="b">
        <v>0</v>
      </c>
      <c r="O1557" s="41"/>
      <c r="P1557" s="45">
        <f t="shared" si="170"/>
        <v>1825.32</v>
      </c>
      <c r="Q1557" s="45">
        <f t="shared" si="171"/>
        <v>2520.6800000000003</v>
      </c>
      <c r="R1557" s="45">
        <v>0</v>
      </c>
      <c r="S1557" s="45">
        <f t="shared" si="172"/>
        <v>0</v>
      </c>
      <c r="T1557" s="45">
        <f t="shared" si="173"/>
        <v>0</v>
      </c>
      <c r="U1557" s="47">
        <f t="shared" si="174"/>
        <v>2520.6800000000003</v>
      </c>
    </row>
    <row r="1558" spans="1:21" x14ac:dyDescent="0.3">
      <c r="A1558" s="41" t="str">
        <f t="shared" si="168"/>
        <v>PGAPBO</v>
      </c>
      <c r="B1558" s="43">
        <v>45803</v>
      </c>
      <c r="C1558" s="10" t="s">
        <v>1600</v>
      </c>
      <c r="D1558" s="10" t="s">
        <v>53</v>
      </c>
      <c r="E1558" s="10" t="s">
        <v>26</v>
      </c>
      <c r="F1558" s="10" t="s">
        <v>23</v>
      </c>
      <c r="G1558" s="10" t="s">
        <v>7</v>
      </c>
      <c r="H1558" s="10" t="s">
        <v>56</v>
      </c>
      <c r="I1558" s="45">
        <v>2947</v>
      </c>
      <c r="J1558" s="11">
        <v>0</v>
      </c>
      <c r="K1558" s="45">
        <f t="shared" si="169"/>
        <v>2947</v>
      </c>
      <c r="L1558" s="10">
        <v>34</v>
      </c>
      <c r="M1558" s="10">
        <v>2.7</v>
      </c>
      <c r="N1558" s="10" t="b">
        <v>0</v>
      </c>
      <c r="O1558" s="41"/>
      <c r="P1558" s="45">
        <f t="shared" si="170"/>
        <v>1237.74</v>
      </c>
      <c r="Q1558" s="45">
        <f t="shared" si="171"/>
        <v>1709.26</v>
      </c>
      <c r="R1558" s="45">
        <v>0</v>
      </c>
      <c r="S1558" s="45">
        <f t="shared" si="172"/>
        <v>0</v>
      </c>
      <c r="T1558" s="45">
        <f t="shared" si="173"/>
        <v>0</v>
      </c>
      <c r="U1558" s="47">
        <f t="shared" si="174"/>
        <v>1709.26</v>
      </c>
    </row>
    <row r="1559" spans="1:21" x14ac:dyDescent="0.3">
      <c r="A1559" s="41" t="str">
        <f t="shared" si="168"/>
        <v>PANNDR</v>
      </c>
      <c r="B1559" s="43">
        <v>45803</v>
      </c>
      <c r="C1559" s="10" t="s">
        <v>1601</v>
      </c>
      <c r="D1559" s="10" t="s">
        <v>42</v>
      </c>
      <c r="E1559" s="10" t="s">
        <v>30</v>
      </c>
      <c r="F1559" s="10" t="s">
        <v>23</v>
      </c>
      <c r="G1559" s="10" t="s">
        <v>5</v>
      </c>
      <c r="H1559" s="10" t="s">
        <v>43</v>
      </c>
      <c r="I1559" s="45">
        <v>2824</v>
      </c>
      <c r="J1559" s="11">
        <v>0</v>
      </c>
      <c r="K1559" s="45">
        <f t="shared" si="169"/>
        <v>2824</v>
      </c>
      <c r="L1559" s="10">
        <v>35</v>
      </c>
      <c r="M1559" s="10"/>
      <c r="N1559" s="10" t="b">
        <v>0</v>
      </c>
      <c r="O1559" s="41"/>
      <c r="P1559" s="45">
        <f t="shared" si="170"/>
        <v>1186.08</v>
      </c>
      <c r="Q1559" s="45">
        <f t="shared" si="171"/>
        <v>1637.92</v>
      </c>
      <c r="R1559" s="45">
        <v>0</v>
      </c>
      <c r="S1559" s="45">
        <f t="shared" si="172"/>
        <v>0</v>
      </c>
      <c r="T1559" s="45">
        <f t="shared" si="173"/>
        <v>0</v>
      </c>
      <c r="U1559" s="47">
        <f t="shared" si="174"/>
        <v>1637.92</v>
      </c>
    </row>
    <row r="1560" spans="1:21" x14ac:dyDescent="0.3">
      <c r="A1560" s="41" t="str">
        <f t="shared" si="168"/>
        <v>PH&amp;MTO</v>
      </c>
      <c r="B1560" s="43">
        <v>45804</v>
      </c>
      <c r="C1560" s="10" t="s">
        <v>1602</v>
      </c>
      <c r="D1560" s="10" t="s">
        <v>37</v>
      </c>
      <c r="E1560" s="10" t="s">
        <v>9</v>
      </c>
      <c r="F1560" s="10" t="s">
        <v>4</v>
      </c>
      <c r="G1560" s="10" t="s">
        <v>12</v>
      </c>
      <c r="H1560" s="10" t="s">
        <v>88</v>
      </c>
      <c r="I1560" s="45">
        <v>1669</v>
      </c>
      <c r="J1560" s="11">
        <v>0</v>
      </c>
      <c r="K1560" s="45">
        <f t="shared" si="169"/>
        <v>1669</v>
      </c>
      <c r="L1560" s="10">
        <v>50</v>
      </c>
      <c r="M1560" s="10">
        <v>2.2000000000000002</v>
      </c>
      <c r="N1560" s="10" t="b">
        <v>0</v>
      </c>
      <c r="O1560" s="41"/>
      <c r="P1560" s="45">
        <f t="shared" si="170"/>
        <v>700.98</v>
      </c>
      <c r="Q1560" s="45">
        <f t="shared" si="171"/>
        <v>968.02</v>
      </c>
      <c r="R1560" s="45">
        <v>0</v>
      </c>
      <c r="S1560" s="45">
        <f t="shared" si="172"/>
        <v>0</v>
      </c>
      <c r="T1560" s="45">
        <f t="shared" si="173"/>
        <v>0</v>
      </c>
      <c r="U1560" s="47">
        <f t="shared" si="174"/>
        <v>968.02</v>
      </c>
    </row>
    <row r="1561" spans="1:21" x14ac:dyDescent="0.3">
      <c r="A1561" s="41" t="str">
        <f t="shared" si="168"/>
        <v>PGAPAC</v>
      </c>
      <c r="B1561" s="43">
        <v>45804</v>
      </c>
      <c r="C1561" s="10" t="s">
        <v>1603</v>
      </c>
      <c r="D1561" s="10" t="s">
        <v>53</v>
      </c>
      <c r="E1561" s="10" t="s">
        <v>15</v>
      </c>
      <c r="F1561" s="10" t="s">
        <v>23</v>
      </c>
      <c r="G1561" s="10" t="s">
        <v>7</v>
      </c>
      <c r="H1561" s="10" t="s">
        <v>16</v>
      </c>
      <c r="I1561" s="45">
        <v>417</v>
      </c>
      <c r="J1561" s="11">
        <v>0</v>
      </c>
      <c r="K1561" s="45">
        <f t="shared" si="169"/>
        <v>417</v>
      </c>
      <c r="L1561" s="10">
        <v>8</v>
      </c>
      <c r="M1561" s="10">
        <v>2</v>
      </c>
      <c r="N1561" s="10" t="b">
        <v>0</v>
      </c>
      <c r="O1561" s="41"/>
      <c r="P1561" s="45">
        <f t="shared" si="170"/>
        <v>175.14</v>
      </c>
      <c r="Q1561" s="45">
        <f t="shared" si="171"/>
        <v>241.86</v>
      </c>
      <c r="R1561" s="45">
        <v>0</v>
      </c>
      <c r="S1561" s="45">
        <f t="shared" si="172"/>
        <v>0</v>
      </c>
      <c r="T1561" s="45">
        <f t="shared" si="173"/>
        <v>0</v>
      </c>
      <c r="U1561" s="47">
        <f t="shared" si="174"/>
        <v>241.86</v>
      </c>
    </row>
    <row r="1562" spans="1:21" x14ac:dyDescent="0.3">
      <c r="A1562" s="41" t="str">
        <f t="shared" si="168"/>
        <v>PH&amp;MTO</v>
      </c>
      <c r="B1562" s="43">
        <v>45804</v>
      </c>
      <c r="C1562" s="10" t="s">
        <v>1604</v>
      </c>
      <c r="D1562" s="10" t="s">
        <v>37</v>
      </c>
      <c r="E1562" s="10" t="s">
        <v>9</v>
      </c>
      <c r="F1562" s="10" t="s">
        <v>54</v>
      </c>
      <c r="G1562" s="10" t="s">
        <v>12</v>
      </c>
      <c r="H1562" s="10" t="s">
        <v>47</v>
      </c>
      <c r="I1562" s="45">
        <v>1687</v>
      </c>
      <c r="J1562" s="11">
        <v>0</v>
      </c>
      <c r="K1562" s="45">
        <f t="shared" si="169"/>
        <v>1687</v>
      </c>
      <c r="L1562" s="10">
        <v>30</v>
      </c>
      <c r="M1562" s="10"/>
      <c r="N1562" s="10" t="b">
        <v>1</v>
      </c>
      <c r="O1562" s="41" t="s">
        <v>50</v>
      </c>
      <c r="P1562" s="45">
        <f t="shared" si="170"/>
        <v>708.54</v>
      </c>
      <c r="Q1562" s="45">
        <f t="shared" si="171"/>
        <v>978.46</v>
      </c>
      <c r="R1562" s="45">
        <v>150</v>
      </c>
      <c r="S1562" s="45">
        <f t="shared" si="172"/>
        <v>168.70000000000002</v>
      </c>
      <c r="T1562" s="45">
        <f t="shared" si="173"/>
        <v>1687</v>
      </c>
      <c r="U1562" s="47">
        <f t="shared" si="174"/>
        <v>-1027.24</v>
      </c>
    </row>
    <row r="1563" spans="1:21" x14ac:dyDescent="0.3">
      <c r="A1563" s="41" t="str">
        <f t="shared" si="168"/>
        <v>PGAPSH</v>
      </c>
      <c r="B1563" s="43">
        <v>45804</v>
      </c>
      <c r="C1563" s="10" t="s">
        <v>1605</v>
      </c>
      <c r="D1563" s="10" t="s">
        <v>53</v>
      </c>
      <c r="E1563" s="10" t="s">
        <v>18</v>
      </c>
      <c r="F1563" s="10" t="s">
        <v>11</v>
      </c>
      <c r="G1563" s="10" t="s">
        <v>5</v>
      </c>
      <c r="H1563" s="10" t="s">
        <v>47</v>
      </c>
      <c r="I1563" s="45">
        <v>3115</v>
      </c>
      <c r="J1563" s="11">
        <v>0.45200000000000001</v>
      </c>
      <c r="K1563" s="45">
        <f t="shared" si="169"/>
        <v>1707.0200000000002</v>
      </c>
      <c r="L1563" s="10">
        <v>2</v>
      </c>
      <c r="M1563" s="10">
        <v>1.1000000000000001</v>
      </c>
      <c r="N1563" s="10" t="b">
        <v>1</v>
      </c>
      <c r="O1563" s="41" t="s">
        <v>80</v>
      </c>
      <c r="P1563" s="45">
        <f t="shared" si="170"/>
        <v>716.94840000000011</v>
      </c>
      <c r="Q1563" s="45">
        <f t="shared" si="171"/>
        <v>990.0716000000001</v>
      </c>
      <c r="R1563" s="45">
        <v>150</v>
      </c>
      <c r="S1563" s="45">
        <f t="shared" si="172"/>
        <v>170.70200000000003</v>
      </c>
      <c r="T1563" s="45">
        <f t="shared" si="173"/>
        <v>1707.0200000000002</v>
      </c>
      <c r="U1563" s="47">
        <f t="shared" si="174"/>
        <v>-1037.6504</v>
      </c>
    </row>
    <row r="1564" spans="1:21" x14ac:dyDescent="0.3">
      <c r="A1564" s="41" t="str">
        <f t="shared" si="168"/>
        <v>PZARBO</v>
      </c>
      <c r="B1564" s="43">
        <v>45805</v>
      </c>
      <c r="C1564" s="10" t="s">
        <v>1606</v>
      </c>
      <c r="D1564" s="10" t="s">
        <v>3</v>
      </c>
      <c r="E1564" s="10" t="s">
        <v>26</v>
      </c>
      <c r="F1564" s="10" t="s">
        <v>54</v>
      </c>
      <c r="G1564" s="10" t="s">
        <v>49</v>
      </c>
      <c r="H1564" s="10" t="s">
        <v>13</v>
      </c>
      <c r="I1564" s="45">
        <v>2491</v>
      </c>
      <c r="J1564" s="11">
        <v>0.10300000000000001</v>
      </c>
      <c r="K1564" s="45">
        <f t="shared" si="169"/>
        <v>2234.4270000000001</v>
      </c>
      <c r="L1564" s="10">
        <v>4</v>
      </c>
      <c r="M1564" s="10"/>
      <c r="N1564" s="10" t="b">
        <v>1</v>
      </c>
      <c r="O1564" s="41" t="s">
        <v>44</v>
      </c>
      <c r="P1564" s="45">
        <f t="shared" si="170"/>
        <v>938.45934</v>
      </c>
      <c r="Q1564" s="45">
        <f t="shared" si="171"/>
        <v>1295.9676600000003</v>
      </c>
      <c r="R1564" s="45">
        <v>150</v>
      </c>
      <c r="S1564" s="45">
        <f t="shared" si="172"/>
        <v>223.44270000000003</v>
      </c>
      <c r="T1564" s="45">
        <f t="shared" si="173"/>
        <v>2234.4270000000001</v>
      </c>
      <c r="U1564" s="47">
        <f t="shared" si="174"/>
        <v>-1311.9020399999999</v>
      </c>
    </row>
    <row r="1565" spans="1:21" x14ac:dyDescent="0.3">
      <c r="A1565" s="41" t="str">
        <f t="shared" si="168"/>
        <v>PBANSH</v>
      </c>
      <c r="B1565" s="43">
        <v>45805</v>
      </c>
      <c r="C1565" s="10" t="s">
        <v>1607</v>
      </c>
      <c r="D1565" s="10" t="s">
        <v>21</v>
      </c>
      <c r="E1565" s="10" t="s">
        <v>18</v>
      </c>
      <c r="F1565" s="10" t="s">
        <v>54</v>
      </c>
      <c r="G1565" s="10" t="s">
        <v>7</v>
      </c>
      <c r="H1565" s="10" t="s">
        <v>43</v>
      </c>
      <c r="I1565" s="45">
        <v>3429</v>
      </c>
      <c r="J1565" s="11">
        <v>8.900000000000001E-2</v>
      </c>
      <c r="K1565" s="45">
        <f t="shared" si="169"/>
        <v>3123.819</v>
      </c>
      <c r="L1565" s="10">
        <v>16</v>
      </c>
      <c r="M1565" s="10">
        <v>4.5999999999999996</v>
      </c>
      <c r="N1565" s="10" t="b">
        <v>0</v>
      </c>
      <c r="O1565" s="41"/>
      <c r="P1565" s="45">
        <f t="shared" si="170"/>
        <v>1312.00398</v>
      </c>
      <c r="Q1565" s="45">
        <f t="shared" si="171"/>
        <v>1811.81502</v>
      </c>
      <c r="R1565" s="45">
        <v>0</v>
      </c>
      <c r="S1565" s="45">
        <f t="shared" si="172"/>
        <v>0</v>
      </c>
      <c r="T1565" s="45">
        <f t="shared" si="173"/>
        <v>0</v>
      </c>
      <c r="U1565" s="47">
        <f t="shared" si="174"/>
        <v>1811.81502</v>
      </c>
    </row>
    <row r="1566" spans="1:21" x14ac:dyDescent="0.3">
      <c r="A1566" s="41" t="str">
        <f t="shared" si="168"/>
        <v>PMANBO</v>
      </c>
      <c r="B1566" s="43">
        <v>45805</v>
      </c>
      <c r="C1566" s="10" t="s">
        <v>1608</v>
      </c>
      <c r="D1566" s="10" t="s">
        <v>31</v>
      </c>
      <c r="E1566" s="10" t="s">
        <v>26</v>
      </c>
      <c r="F1566" s="10" t="s">
        <v>4</v>
      </c>
      <c r="G1566" s="10" t="s">
        <v>38</v>
      </c>
      <c r="H1566" s="10" t="s">
        <v>28</v>
      </c>
      <c r="I1566" s="45">
        <v>2482</v>
      </c>
      <c r="J1566" s="11">
        <v>0</v>
      </c>
      <c r="K1566" s="45">
        <f t="shared" si="169"/>
        <v>2482</v>
      </c>
      <c r="L1566" s="10">
        <v>46</v>
      </c>
      <c r="M1566" s="10">
        <v>4.5999999999999996</v>
      </c>
      <c r="N1566" s="10" t="b">
        <v>0</v>
      </c>
      <c r="O1566" s="41"/>
      <c r="P1566" s="45">
        <f t="shared" si="170"/>
        <v>1042.44</v>
      </c>
      <c r="Q1566" s="45">
        <f t="shared" si="171"/>
        <v>1439.56</v>
      </c>
      <c r="R1566" s="45">
        <v>0</v>
      </c>
      <c r="S1566" s="45">
        <f t="shared" si="172"/>
        <v>0</v>
      </c>
      <c r="T1566" s="45">
        <f t="shared" si="173"/>
        <v>0</v>
      </c>
      <c r="U1566" s="47">
        <f t="shared" si="174"/>
        <v>1439.56</v>
      </c>
    </row>
    <row r="1567" spans="1:21" x14ac:dyDescent="0.3">
      <c r="A1567" s="41" t="str">
        <f t="shared" si="168"/>
        <v>PFORBO</v>
      </c>
      <c r="B1567" s="43">
        <v>45805</v>
      </c>
      <c r="C1567" s="10" t="s">
        <v>1609</v>
      </c>
      <c r="D1567" s="10" t="s">
        <v>65</v>
      </c>
      <c r="E1567" s="10" t="s">
        <v>26</v>
      </c>
      <c r="F1567" s="10" t="s">
        <v>23</v>
      </c>
      <c r="G1567" s="10" t="s">
        <v>49</v>
      </c>
      <c r="H1567" s="10" t="s">
        <v>16</v>
      </c>
      <c r="I1567" s="45">
        <v>2586</v>
      </c>
      <c r="J1567" s="11">
        <v>0</v>
      </c>
      <c r="K1567" s="45">
        <f t="shared" si="169"/>
        <v>2586</v>
      </c>
      <c r="L1567" s="10">
        <v>41</v>
      </c>
      <c r="M1567" s="10"/>
      <c r="N1567" s="10" t="b">
        <v>1</v>
      </c>
      <c r="O1567" s="41" t="s">
        <v>44</v>
      </c>
      <c r="P1567" s="45">
        <f t="shared" si="170"/>
        <v>1086.1199999999999</v>
      </c>
      <c r="Q1567" s="45">
        <f t="shared" si="171"/>
        <v>1499.88</v>
      </c>
      <c r="R1567" s="45">
        <v>150</v>
      </c>
      <c r="S1567" s="45">
        <f t="shared" si="172"/>
        <v>258.60000000000002</v>
      </c>
      <c r="T1567" s="45">
        <f t="shared" si="173"/>
        <v>2586</v>
      </c>
      <c r="U1567" s="47">
        <f t="shared" si="174"/>
        <v>-1494.7199999999998</v>
      </c>
    </row>
    <row r="1568" spans="1:21" x14ac:dyDescent="0.3">
      <c r="A1568" s="41" t="str">
        <f t="shared" si="168"/>
        <v>PBANOU</v>
      </c>
      <c r="B1568" s="43">
        <v>45806</v>
      </c>
      <c r="C1568" s="10" t="s">
        <v>1610</v>
      </c>
      <c r="D1568" s="10" t="s">
        <v>21</v>
      </c>
      <c r="E1568" s="10" t="s">
        <v>2</v>
      </c>
      <c r="F1568" s="10" t="s">
        <v>4</v>
      </c>
      <c r="G1568" s="10" t="s">
        <v>46</v>
      </c>
      <c r="H1568" s="10" t="s">
        <v>56</v>
      </c>
      <c r="I1568" s="45">
        <v>4283</v>
      </c>
      <c r="J1568" s="11">
        <v>0</v>
      </c>
      <c r="K1568" s="45">
        <f t="shared" si="169"/>
        <v>4283</v>
      </c>
      <c r="L1568" s="10">
        <v>37</v>
      </c>
      <c r="M1568" s="10">
        <v>2</v>
      </c>
      <c r="N1568" s="10" t="b">
        <v>0</v>
      </c>
      <c r="O1568" s="41"/>
      <c r="P1568" s="45">
        <f t="shared" si="170"/>
        <v>1798.86</v>
      </c>
      <c r="Q1568" s="45">
        <f t="shared" si="171"/>
        <v>2484.1400000000003</v>
      </c>
      <c r="R1568" s="45">
        <v>0</v>
      </c>
      <c r="S1568" s="45">
        <f t="shared" si="172"/>
        <v>0</v>
      </c>
      <c r="T1568" s="45">
        <f t="shared" si="173"/>
        <v>0</v>
      </c>
      <c r="U1568" s="47">
        <f t="shared" si="174"/>
        <v>2484.1400000000003</v>
      </c>
    </row>
    <row r="1569" spans="1:21" x14ac:dyDescent="0.3">
      <c r="A1569" s="41" t="str">
        <f t="shared" si="168"/>
        <v>PBANDR</v>
      </c>
      <c r="B1569" s="43">
        <v>45806</v>
      </c>
      <c r="C1569" s="10" t="s">
        <v>1611</v>
      </c>
      <c r="D1569" s="10" t="s">
        <v>21</v>
      </c>
      <c r="E1569" s="10" t="s">
        <v>30</v>
      </c>
      <c r="F1569" s="10" t="s">
        <v>11</v>
      </c>
      <c r="G1569" s="10" t="s">
        <v>12</v>
      </c>
      <c r="H1569" s="10" t="s">
        <v>43</v>
      </c>
      <c r="I1569" s="45">
        <v>2804</v>
      </c>
      <c r="J1569" s="11">
        <v>0</v>
      </c>
      <c r="K1569" s="45">
        <f t="shared" si="169"/>
        <v>2804</v>
      </c>
      <c r="L1569" s="10">
        <v>40</v>
      </c>
      <c r="M1569" s="10">
        <v>4.4000000000000004</v>
      </c>
      <c r="N1569" s="10" t="b">
        <v>1</v>
      </c>
      <c r="O1569" s="41" t="s">
        <v>33</v>
      </c>
      <c r="P1569" s="45">
        <f t="shared" si="170"/>
        <v>1177.68</v>
      </c>
      <c r="Q1569" s="45">
        <f t="shared" si="171"/>
        <v>1626.32</v>
      </c>
      <c r="R1569" s="45">
        <v>150</v>
      </c>
      <c r="S1569" s="45">
        <f t="shared" si="172"/>
        <v>280.40000000000003</v>
      </c>
      <c r="T1569" s="45">
        <f t="shared" si="173"/>
        <v>2804</v>
      </c>
      <c r="U1569" s="47">
        <f t="shared" si="174"/>
        <v>-1608.0800000000002</v>
      </c>
    </row>
    <row r="1570" spans="1:21" x14ac:dyDescent="0.3">
      <c r="A1570" s="41" t="str">
        <f t="shared" si="168"/>
        <v>PZAROU</v>
      </c>
      <c r="B1570" s="43">
        <v>45806</v>
      </c>
      <c r="C1570" s="10" t="s">
        <v>1612</v>
      </c>
      <c r="D1570" s="10" t="s">
        <v>3</v>
      </c>
      <c r="E1570" s="10" t="s">
        <v>2</v>
      </c>
      <c r="F1570" s="10" t="s">
        <v>4</v>
      </c>
      <c r="G1570" s="10" t="s">
        <v>46</v>
      </c>
      <c r="H1570" s="10" t="s">
        <v>47</v>
      </c>
      <c r="I1570" s="45">
        <v>4279</v>
      </c>
      <c r="J1570" s="11">
        <v>0</v>
      </c>
      <c r="K1570" s="45">
        <f t="shared" si="169"/>
        <v>4279</v>
      </c>
      <c r="L1570" s="10">
        <v>7</v>
      </c>
      <c r="M1570" s="10">
        <v>2.5</v>
      </c>
      <c r="N1570" s="10" t="b">
        <v>1</v>
      </c>
      <c r="O1570" s="41" t="s">
        <v>44</v>
      </c>
      <c r="P1570" s="45">
        <f t="shared" si="170"/>
        <v>1797.1799999999998</v>
      </c>
      <c r="Q1570" s="45">
        <f t="shared" si="171"/>
        <v>2481.8200000000002</v>
      </c>
      <c r="R1570" s="45">
        <v>150</v>
      </c>
      <c r="S1570" s="45">
        <f t="shared" si="172"/>
        <v>427.90000000000003</v>
      </c>
      <c r="T1570" s="45">
        <f t="shared" si="173"/>
        <v>4279</v>
      </c>
      <c r="U1570" s="47">
        <f t="shared" si="174"/>
        <v>-2375.08</v>
      </c>
    </row>
    <row r="1571" spans="1:21" x14ac:dyDescent="0.3">
      <c r="A1571" s="41" t="str">
        <f t="shared" si="168"/>
        <v>PZARAC</v>
      </c>
      <c r="B1571" s="43">
        <v>45806</v>
      </c>
      <c r="C1571" s="10" t="s">
        <v>1613</v>
      </c>
      <c r="D1571" s="10" t="s">
        <v>3</v>
      </c>
      <c r="E1571" s="10" t="s">
        <v>15</v>
      </c>
      <c r="F1571" s="10" t="s">
        <v>54</v>
      </c>
      <c r="G1571" s="10" t="s">
        <v>7</v>
      </c>
      <c r="H1571" s="10" t="s">
        <v>7</v>
      </c>
      <c r="I1571" s="45">
        <v>301</v>
      </c>
      <c r="J1571" s="11">
        <v>0.29199999999999998</v>
      </c>
      <c r="K1571" s="45">
        <f t="shared" si="169"/>
        <v>213.10799999999998</v>
      </c>
      <c r="L1571" s="10">
        <v>20</v>
      </c>
      <c r="M1571" s="10">
        <v>4.9000000000000004</v>
      </c>
      <c r="N1571" s="10" t="b">
        <v>0</v>
      </c>
      <c r="O1571" s="41"/>
      <c r="P1571" s="45">
        <f t="shared" si="170"/>
        <v>89.505359999999982</v>
      </c>
      <c r="Q1571" s="45">
        <f t="shared" si="171"/>
        <v>123.60263999999999</v>
      </c>
      <c r="R1571" s="45">
        <v>0</v>
      </c>
      <c r="S1571" s="45">
        <f t="shared" si="172"/>
        <v>0</v>
      </c>
      <c r="T1571" s="45">
        <f t="shared" si="173"/>
        <v>0</v>
      </c>
      <c r="U1571" s="47">
        <f t="shared" si="174"/>
        <v>123.60263999999999</v>
      </c>
    </row>
    <row r="1572" spans="1:21" x14ac:dyDescent="0.3">
      <c r="A1572" s="41" t="str">
        <f t="shared" si="168"/>
        <v>PUNIBO</v>
      </c>
      <c r="B1572" s="43">
        <v>45807</v>
      </c>
      <c r="C1572" s="10" t="s">
        <v>1614</v>
      </c>
      <c r="D1572" s="10" t="s">
        <v>10</v>
      </c>
      <c r="E1572" s="10" t="s">
        <v>26</v>
      </c>
      <c r="F1572" s="10" t="s">
        <v>4</v>
      </c>
      <c r="G1572" s="10" t="s">
        <v>7</v>
      </c>
      <c r="H1572" s="10" t="s">
        <v>28</v>
      </c>
      <c r="I1572" s="45">
        <v>2738</v>
      </c>
      <c r="J1572" s="11">
        <v>0.54700000000000004</v>
      </c>
      <c r="K1572" s="45">
        <f t="shared" si="169"/>
        <v>1240.3139999999999</v>
      </c>
      <c r="L1572" s="10">
        <v>2</v>
      </c>
      <c r="M1572" s="10">
        <v>4.4000000000000004</v>
      </c>
      <c r="N1572" s="10" t="b">
        <v>0</v>
      </c>
      <c r="O1572" s="41"/>
      <c r="P1572" s="45">
        <f t="shared" si="170"/>
        <v>520.93187999999986</v>
      </c>
      <c r="Q1572" s="45">
        <f t="shared" si="171"/>
        <v>719.38211999999999</v>
      </c>
      <c r="R1572" s="45">
        <v>0</v>
      </c>
      <c r="S1572" s="45">
        <f t="shared" si="172"/>
        <v>0</v>
      </c>
      <c r="T1572" s="45">
        <f t="shared" si="173"/>
        <v>0</v>
      </c>
      <c r="U1572" s="47">
        <f t="shared" si="174"/>
        <v>719.38211999999999</v>
      </c>
    </row>
    <row r="1573" spans="1:21" x14ac:dyDescent="0.3">
      <c r="A1573" s="41" t="str">
        <f t="shared" si="168"/>
        <v>PMANOU</v>
      </c>
      <c r="B1573" s="43">
        <v>45807</v>
      </c>
      <c r="C1573" s="10" t="s">
        <v>1615</v>
      </c>
      <c r="D1573" s="10" t="s">
        <v>31</v>
      </c>
      <c r="E1573" s="10" t="s">
        <v>2</v>
      </c>
      <c r="F1573" s="10" t="s">
        <v>4</v>
      </c>
      <c r="G1573" s="10" t="s">
        <v>38</v>
      </c>
      <c r="H1573" s="10" t="s">
        <v>6</v>
      </c>
      <c r="I1573" s="45">
        <v>3125</v>
      </c>
      <c r="J1573" s="11">
        <v>0.36599999999999999</v>
      </c>
      <c r="K1573" s="45">
        <f t="shared" si="169"/>
        <v>1981.25</v>
      </c>
      <c r="L1573" s="10">
        <v>11</v>
      </c>
      <c r="M1573" s="10">
        <v>4.5</v>
      </c>
      <c r="N1573" s="10" t="b">
        <v>0</v>
      </c>
      <c r="O1573" s="41"/>
      <c r="P1573" s="45">
        <f t="shared" si="170"/>
        <v>832.125</v>
      </c>
      <c r="Q1573" s="45">
        <f t="shared" si="171"/>
        <v>1149.125</v>
      </c>
      <c r="R1573" s="45">
        <v>0</v>
      </c>
      <c r="S1573" s="45">
        <f t="shared" si="172"/>
        <v>0</v>
      </c>
      <c r="T1573" s="45">
        <f t="shared" si="173"/>
        <v>0</v>
      </c>
      <c r="U1573" s="47">
        <f t="shared" si="174"/>
        <v>1149.125</v>
      </c>
    </row>
    <row r="1574" spans="1:21" x14ac:dyDescent="0.3">
      <c r="A1574" s="41" t="str">
        <f t="shared" si="168"/>
        <v>PZARAC</v>
      </c>
      <c r="B1574" s="43">
        <v>45807</v>
      </c>
      <c r="C1574" s="10" t="s">
        <v>1616</v>
      </c>
      <c r="D1574" s="10" t="s">
        <v>3</v>
      </c>
      <c r="E1574" s="10" t="s">
        <v>15</v>
      </c>
      <c r="F1574" s="10" t="s">
        <v>4</v>
      </c>
      <c r="G1574" s="10" t="s">
        <v>7</v>
      </c>
      <c r="H1574" s="10" t="s">
        <v>88</v>
      </c>
      <c r="I1574" s="45">
        <v>463</v>
      </c>
      <c r="J1574" s="11">
        <v>0.12</v>
      </c>
      <c r="K1574" s="45">
        <f t="shared" si="169"/>
        <v>407.44</v>
      </c>
      <c r="L1574" s="10">
        <v>0</v>
      </c>
      <c r="M1574" s="10">
        <v>3.1</v>
      </c>
      <c r="N1574" s="10" t="b">
        <v>1</v>
      </c>
      <c r="O1574" s="41" t="s">
        <v>33</v>
      </c>
      <c r="P1574" s="45">
        <f t="shared" si="170"/>
        <v>171.12479999999999</v>
      </c>
      <c r="Q1574" s="45">
        <f t="shared" si="171"/>
        <v>236.3152</v>
      </c>
      <c r="R1574" s="45">
        <v>150</v>
      </c>
      <c r="S1574" s="45">
        <f t="shared" si="172"/>
        <v>40.744</v>
      </c>
      <c r="T1574" s="45">
        <f t="shared" si="173"/>
        <v>407.44</v>
      </c>
      <c r="U1574" s="47">
        <f t="shared" si="174"/>
        <v>-361.86879999999996</v>
      </c>
    </row>
    <row r="1575" spans="1:21" x14ac:dyDescent="0.3">
      <c r="A1575" s="41" t="str">
        <f t="shared" si="168"/>
        <v>PANNTO</v>
      </c>
      <c r="B1575" s="43">
        <v>45807</v>
      </c>
      <c r="C1575" s="10" t="s">
        <v>1617</v>
      </c>
      <c r="D1575" s="10" t="s">
        <v>42</v>
      </c>
      <c r="E1575" s="10" t="s">
        <v>9</v>
      </c>
      <c r="F1575" s="10" t="s">
        <v>4</v>
      </c>
      <c r="G1575" s="10" t="s">
        <v>27</v>
      </c>
      <c r="H1575" s="10" t="s">
        <v>32</v>
      </c>
      <c r="I1575" s="45">
        <v>902</v>
      </c>
      <c r="J1575" s="11">
        <v>0.122</v>
      </c>
      <c r="K1575" s="45">
        <f t="shared" si="169"/>
        <v>791.95600000000002</v>
      </c>
      <c r="L1575" s="10">
        <v>39</v>
      </c>
      <c r="M1575" s="10">
        <v>2.2999999999999998</v>
      </c>
      <c r="N1575" s="10" t="b">
        <v>1</v>
      </c>
      <c r="O1575" s="41" t="s">
        <v>50</v>
      </c>
      <c r="P1575" s="45">
        <f t="shared" si="170"/>
        <v>332.62151999999998</v>
      </c>
      <c r="Q1575" s="45">
        <f t="shared" si="171"/>
        <v>459.33448000000004</v>
      </c>
      <c r="R1575" s="45">
        <v>150</v>
      </c>
      <c r="S1575" s="45">
        <f t="shared" si="172"/>
        <v>79.195600000000013</v>
      </c>
      <c r="T1575" s="45">
        <f t="shared" si="173"/>
        <v>791.95600000000002</v>
      </c>
      <c r="U1575" s="47">
        <f t="shared" si="174"/>
        <v>-561.81711999999993</v>
      </c>
    </row>
    <row r="1576" spans="1:21" x14ac:dyDescent="0.3">
      <c r="A1576" s="41" t="str">
        <f t="shared" si="168"/>
        <v>PGAPBO</v>
      </c>
      <c r="B1576" s="43">
        <v>45808</v>
      </c>
      <c r="C1576" s="10" t="s">
        <v>1618</v>
      </c>
      <c r="D1576" s="10" t="s">
        <v>53</v>
      </c>
      <c r="E1576" s="10" t="s">
        <v>26</v>
      </c>
      <c r="F1576" s="10" t="s">
        <v>4</v>
      </c>
      <c r="G1576" s="10" t="s">
        <v>27</v>
      </c>
      <c r="H1576" s="10" t="s">
        <v>6</v>
      </c>
      <c r="I1576" s="45">
        <v>2595</v>
      </c>
      <c r="J1576" s="11">
        <v>0.34399999999999997</v>
      </c>
      <c r="K1576" s="45">
        <f t="shared" si="169"/>
        <v>1702.3200000000002</v>
      </c>
      <c r="L1576" s="10">
        <v>28</v>
      </c>
      <c r="M1576" s="10">
        <v>3.1</v>
      </c>
      <c r="N1576" s="10" t="b">
        <v>0</v>
      </c>
      <c r="O1576" s="41"/>
      <c r="P1576" s="45">
        <f t="shared" si="170"/>
        <v>714.97440000000006</v>
      </c>
      <c r="Q1576" s="45">
        <f t="shared" si="171"/>
        <v>987.3456000000001</v>
      </c>
      <c r="R1576" s="45">
        <v>0</v>
      </c>
      <c r="S1576" s="45">
        <f t="shared" si="172"/>
        <v>0</v>
      </c>
      <c r="T1576" s="45">
        <f t="shared" si="173"/>
        <v>0</v>
      </c>
      <c r="U1576" s="47">
        <f t="shared" si="174"/>
        <v>987.3456000000001</v>
      </c>
    </row>
    <row r="1577" spans="1:21" x14ac:dyDescent="0.3">
      <c r="A1577" s="41" t="str">
        <f t="shared" si="168"/>
        <v>PFOROU</v>
      </c>
      <c r="B1577" s="43">
        <v>45808</v>
      </c>
      <c r="C1577" s="10" t="s">
        <v>1619</v>
      </c>
      <c r="D1577" s="10" t="s">
        <v>65</v>
      </c>
      <c r="E1577" s="10" t="s">
        <v>2</v>
      </c>
      <c r="F1577" s="10" t="s">
        <v>54</v>
      </c>
      <c r="G1577" s="10" t="s">
        <v>27</v>
      </c>
      <c r="H1577" s="10" t="s">
        <v>47</v>
      </c>
      <c r="I1577" s="45">
        <v>4179</v>
      </c>
      <c r="J1577" s="11">
        <v>0</v>
      </c>
      <c r="K1577" s="45">
        <f t="shared" si="169"/>
        <v>4179</v>
      </c>
      <c r="L1577" s="10">
        <v>13</v>
      </c>
      <c r="M1577" s="10">
        <v>2.8</v>
      </c>
      <c r="N1577" s="10" t="b">
        <v>0</v>
      </c>
      <c r="O1577" s="41"/>
      <c r="P1577" s="45">
        <f t="shared" si="170"/>
        <v>1755.1799999999998</v>
      </c>
      <c r="Q1577" s="45">
        <f t="shared" si="171"/>
        <v>2423.8200000000002</v>
      </c>
      <c r="R1577" s="45">
        <v>0</v>
      </c>
      <c r="S1577" s="45">
        <f t="shared" si="172"/>
        <v>0</v>
      </c>
      <c r="T1577" s="45">
        <f t="shared" si="173"/>
        <v>0</v>
      </c>
      <c r="U1577" s="47">
        <f t="shared" si="174"/>
        <v>2423.8200000000002</v>
      </c>
    </row>
    <row r="1578" spans="1:21" x14ac:dyDescent="0.3">
      <c r="A1578" s="41" t="str">
        <f t="shared" si="168"/>
        <v>PMANOU</v>
      </c>
      <c r="B1578" s="43">
        <v>45808</v>
      </c>
      <c r="C1578" s="10" t="s">
        <v>1620</v>
      </c>
      <c r="D1578" s="10" t="s">
        <v>31</v>
      </c>
      <c r="E1578" s="10" t="s">
        <v>2</v>
      </c>
      <c r="F1578" s="10" t="s">
        <v>54</v>
      </c>
      <c r="G1578" s="10" t="s">
        <v>12</v>
      </c>
      <c r="H1578" s="10" t="s">
        <v>56</v>
      </c>
      <c r="I1578" s="45">
        <v>3162</v>
      </c>
      <c r="J1578" s="11">
        <v>0.16500000000000001</v>
      </c>
      <c r="K1578" s="45">
        <f t="shared" si="169"/>
        <v>2640.27</v>
      </c>
      <c r="L1578" s="10">
        <v>9</v>
      </c>
      <c r="M1578" s="10">
        <v>2.4</v>
      </c>
      <c r="N1578" s="10" t="b">
        <v>1</v>
      </c>
      <c r="O1578" s="41" t="s">
        <v>33</v>
      </c>
      <c r="P1578" s="45">
        <f t="shared" si="170"/>
        <v>1108.9133999999999</v>
      </c>
      <c r="Q1578" s="45">
        <f t="shared" si="171"/>
        <v>1531.3566000000001</v>
      </c>
      <c r="R1578" s="45">
        <v>150</v>
      </c>
      <c r="S1578" s="45">
        <f t="shared" si="172"/>
        <v>264.02699999999999</v>
      </c>
      <c r="T1578" s="45">
        <f t="shared" si="173"/>
        <v>2640.27</v>
      </c>
      <c r="U1578" s="47">
        <f t="shared" si="174"/>
        <v>-1522.9404</v>
      </c>
    </row>
    <row r="1579" spans="1:21" x14ac:dyDescent="0.3">
      <c r="A1579" s="41" t="str">
        <f t="shared" si="168"/>
        <v>PGAPOU</v>
      </c>
      <c r="B1579" s="43">
        <v>45808</v>
      </c>
      <c r="C1579" s="10" t="s">
        <v>1621</v>
      </c>
      <c r="D1579" s="10" t="s">
        <v>53</v>
      </c>
      <c r="E1579" s="10" t="s">
        <v>2</v>
      </c>
      <c r="F1579" s="10" t="s">
        <v>54</v>
      </c>
      <c r="G1579" s="10" t="s">
        <v>46</v>
      </c>
      <c r="H1579" s="10" t="s">
        <v>32</v>
      </c>
      <c r="I1579" s="45">
        <v>3413</v>
      </c>
      <c r="J1579" s="11">
        <v>6.9999999999999993E-3</v>
      </c>
      <c r="K1579" s="45">
        <f t="shared" si="169"/>
        <v>3389.1089999999999</v>
      </c>
      <c r="L1579" s="10">
        <v>24</v>
      </c>
      <c r="M1579" s="10"/>
      <c r="N1579" s="10" t="b">
        <v>1</v>
      </c>
      <c r="O1579" s="41" t="s">
        <v>44</v>
      </c>
      <c r="P1579" s="45">
        <f t="shared" si="170"/>
        <v>1423.4257799999998</v>
      </c>
      <c r="Q1579" s="45">
        <f t="shared" si="171"/>
        <v>1965.6832200000001</v>
      </c>
      <c r="R1579" s="45">
        <v>150</v>
      </c>
      <c r="S1579" s="45">
        <f t="shared" si="172"/>
        <v>338.91090000000003</v>
      </c>
      <c r="T1579" s="45">
        <f t="shared" si="173"/>
        <v>3389.1089999999999</v>
      </c>
      <c r="U1579" s="47">
        <f t="shared" si="174"/>
        <v>-1912.3366799999999</v>
      </c>
    </row>
    <row r="1580" spans="1:21" x14ac:dyDescent="0.3">
      <c r="A1580" s="41" t="str">
        <f t="shared" si="168"/>
        <v>PGAPTO</v>
      </c>
      <c r="B1580" s="43">
        <v>45809</v>
      </c>
      <c r="C1580" s="10" t="s">
        <v>1622</v>
      </c>
      <c r="D1580" s="10" t="s">
        <v>53</v>
      </c>
      <c r="E1580" s="10" t="s">
        <v>9</v>
      </c>
      <c r="F1580" s="10" t="s">
        <v>11</v>
      </c>
      <c r="G1580" s="10" t="s">
        <v>5</v>
      </c>
      <c r="H1580" s="10" t="s">
        <v>58</v>
      </c>
      <c r="I1580" s="45">
        <v>1049</v>
      </c>
      <c r="J1580" s="11">
        <v>0</v>
      </c>
      <c r="K1580" s="45">
        <f t="shared" si="169"/>
        <v>1049</v>
      </c>
      <c r="L1580" s="10">
        <v>36</v>
      </c>
      <c r="M1580" s="10">
        <v>3.6</v>
      </c>
      <c r="N1580" s="10" t="b">
        <v>0</v>
      </c>
      <c r="O1580" s="41"/>
      <c r="P1580" s="45">
        <f t="shared" si="170"/>
        <v>440.58</v>
      </c>
      <c r="Q1580" s="45">
        <f t="shared" si="171"/>
        <v>608.42000000000007</v>
      </c>
      <c r="R1580" s="45">
        <v>0</v>
      </c>
      <c r="S1580" s="45">
        <f t="shared" si="172"/>
        <v>0</v>
      </c>
      <c r="T1580" s="45">
        <f t="shared" si="173"/>
        <v>0</v>
      </c>
      <c r="U1580" s="47">
        <f t="shared" si="174"/>
        <v>608.42000000000007</v>
      </c>
    </row>
    <row r="1581" spans="1:21" x14ac:dyDescent="0.3">
      <c r="A1581" s="41" t="str">
        <f t="shared" si="168"/>
        <v>PBANBO</v>
      </c>
      <c r="B1581" s="43">
        <v>45809</v>
      </c>
      <c r="C1581" s="10" t="s">
        <v>1623</v>
      </c>
      <c r="D1581" s="10" t="s">
        <v>21</v>
      </c>
      <c r="E1581" s="10" t="s">
        <v>26</v>
      </c>
      <c r="F1581" s="10" t="s">
        <v>4</v>
      </c>
      <c r="G1581" s="10" t="s">
        <v>12</v>
      </c>
      <c r="H1581" s="10" t="s">
        <v>28</v>
      </c>
      <c r="I1581" s="45">
        <v>2829</v>
      </c>
      <c r="J1581" s="11">
        <v>0.53900000000000003</v>
      </c>
      <c r="K1581" s="45">
        <f t="shared" si="169"/>
        <v>1304.1689999999999</v>
      </c>
      <c r="L1581" s="10">
        <v>48</v>
      </c>
      <c r="M1581" s="10">
        <v>3.8</v>
      </c>
      <c r="N1581" s="10" t="b">
        <v>1</v>
      </c>
      <c r="O1581" s="41" t="s">
        <v>80</v>
      </c>
      <c r="P1581" s="45">
        <f t="shared" si="170"/>
        <v>547.75097999999991</v>
      </c>
      <c r="Q1581" s="45">
        <f t="shared" si="171"/>
        <v>756.41801999999996</v>
      </c>
      <c r="R1581" s="45">
        <v>150</v>
      </c>
      <c r="S1581" s="45">
        <f t="shared" si="172"/>
        <v>130.4169</v>
      </c>
      <c r="T1581" s="45">
        <f t="shared" si="173"/>
        <v>1304.1689999999999</v>
      </c>
      <c r="U1581" s="47">
        <f t="shared" si="174"/>
        <v>-828.16787999999997</v>
      </c>
    </row>
    <row r="1582" spans="1:21" x14ac:dyDescent="0.3">
      <c r="A1582" s="41" t="str">
        <f t="shared" si="168"/>
        <v>PMANBO</v>
      </c>
      <c r="B1582" s="43">
        <v>45809</v>
      </c>
      <c r="C1582" s="10" t="s">
        <v>1624</v>
      </c>
      <c r="D1582" s="10" t="s">
        <v>31</v>
      </c>
      <c r="E1582" s="10" t="s">
        <v>26</v>
      </c>
      <c r="F1582" s="10" t="s">
        <v>11</v>
      </c>
      <c r="G1582" s="10" t="s">
        <v>7</v>
      </c>
      <c r="H1582" s="10" t="s">
        <v>7</v>
      </c>
      <c r="I1582" s="45">
        <v>2164</v>
      </c>
      <c r="J1582" s="11">
        <v>0.48899999999999999</v>
      </c>
      <c r="K1582" s="45">
        <f t="shared" si="169"/>
        <v>1105.8040000000001</v>
      </c>
      <c r="L1582" s="10">
        <v>5</v>
      </c>
      <c r="M1582" s="10">
        <v>1.2</v>
      </c>
      <c r="N1582" s="10" t="b">
        <v>0</v>
      </c>
      <c r="O1582" s="41"/>
      <c r="P1582" s="45">
        <f t="shared" si="170"/>
        <v>464.43768</v>
      </c>
      <c r="Q1582" s="45">
        <f t="shared" si="171"/>
        <v>641.36632000000009</v>
      </c>
      <c r="R1582" s="45">
        <v>0</v>
      </c>
      <c r="S1582" s="45">
        <f t="shared" si="172"/>
        <v>0</v>
      </c>
      <c r="T1582" s="45">
        <f t="shared" si="173"/>
        <v>0</v>
      </c>
      <c r="U1582" s="47">
        <f t="shared" si="174"/>
        <v>641.36632000000009</v>
      </c>
    </row>
    <row r="1583" spans="1:21" x14ac:dyDescent="0.3">
      <c r="A1583" s="41" t="str">
        <f t="shared" si="168"/>
        <v>PH&amp;MOU</v>
      </c>
      <c r="B1583" s="43">
        <v>45809</v>
      </c>
      <c r="C1583" s="10" t="s">
        <v>1625</v>
      </c>
      <c r="D1583" s="10" t="s">
        <v>37</v>
      </c>
      <c r="E1583" s="10" t="s">
        <v>2</v>
      </c>
      <c r="F1583" s="10" t="s">
        <v>11</v>
      </c>
      <c r="G1583" s="10" t="s">
        <v>27</v>
      </c>
      <c r="H1583" s="10" t="s">
        <v>47</v>
      </c>
      <c r="I1583" s="45">
        <v>3123</v>
      </c>
      <c r="J1583" s="11">
        <v>0</v>
      </c>
      <c r="K1583" s="45">
        <f t="shared" si="169"/>
        <v>3123</v>
      </c>
      <c r="L1583" s="10">
        <v>24</v>
      </c>
      <c r="M1583" s="10">
        <v>3.6</v>
      </c>
      <c r="N1583" s="10" t="b">
        <v>1</v>
      </c>
      <c r="O1583" s="41" t="s">
        <v>33</v>
      </c>
      <c r="P1583" s="45">
        <f t="shared" si="170"/>
        <v>1311.6599999999999</v>
      </c>
      <c r="Q1583" s="45">
        <f t="shared" si="171"/>
        <v>1811.3400000000001</v>
      </c>
      <c r="R1583" s="45">
        <v>150</v>
      </c>
      <c r="S1583" s="45">
        <f t="shared" si="172"/>
        <v>312.3</v>
      </c>
      <c r="T1583" s="45">
        <f t="shared" si="173"/>
        <v>3123</v>
      </c>
      <c r="U1583" s="47">
        <f t="shared" si="174"/>
        <v>-1773.9599999999998</v>
      </c>
    </row>
    <row r="1584" spans="1:21" x14ac:dyDescent="0.3">
      <c r="A1584" s="41" t="str">
        <f t="shared" si="168"/>
        <v>PGAPDR</v>
      </c>
      <c r="B1584" s="43">
        <v>45810</v>
      </c>
      <c r="C1584" s="10" t="s">
        <v>1626</v>
      </c>
      <c r="D1584" s="10" t="s">
        <v>53</v>
      </c>
      <c r="E1584" s="10" t="s">
        <v>30</v>
      </c>
      <c r="F1584" s="10" t="s">
        <v>4</v>
      </c>
      <c r="G1584" s="10" t="s">
        <v>5</v>
      </c>
      <c r="H1584" s="10" t="s">
        <v>6</v>
      </c>
      <c r="I1584" s="45">
        <v>2102</v>
      </c>
      <c r="J1584" s="11">
        <v>0.158</v>
      </c>
      <c r="K1584" s="45">
        <f t="shared" si="169"/>
        <v>1769.884</v>
      </c>
      <c r="L1584" s="10">
        <v>49</v>
      </c>
      <c r="M1584" s="10">
        <v>1.4</v>
      </c>
      <c r="N1584" s="10" t="b">
        <v>1</v>
      </c>
      <c r="O1584" s="41" t="s">
        <v>24</v>
      </c>
      <c r="P1584" s="45">
        <f t="shared" si="170"/>
        <v>743.35127999999997</v>
      </c>
      <c r="Q1584" s="45">
        <f t="shared" si="171"/>
        <v>1026.5327200000002</v>
      </c>
      <c r="R1584" s="45">
        <v>150</v>
      </c>
      <c r="S1584" s="45">
        <f t="shared" si="172"/>
        <v>176.98840000000001</v>
      </c>
      <c r="T1584" s="45">
        <f t="shared" si="173"/>
        <v>1769.884</v>
      </c>
      <c r="U1584" s="47">
        <f t="shared" si="174"/>
        <v>-1070.3396799999998</v>
      </c>
    </row>
    <row r="1585" spans="1:21" x14ac:dyDescent="0.3">
      <c r="A1585" s="41" t="str">
        <f t="shared" si="168"/>
        <v>PMANBO</v>
      </c>
      <c r="B1585" s="43">
        <v>45810</v>
      </c>
      <c r="C1585" s="10" t="s">
        <v>1627</v>
      </c>
      <c r="D1585" s="10" t="s">
        <v>31</v>
      </c>
      <c r="E1585" s="10" t="s">
        <v>26</v>
      </c>
      <c r="F1585" s="10" t="s">
        <v>54</v>
      </c>
      <c r="G1585" s="10" t="s">
        <v>38</v>
      </c>
      <c r="H1585" s="10" t="s">
        <v>32</v>
      </c>
      <c r="I1585" s="45">
        <v>2993</v>
      </c>
      <c r="J1585" s="11">
        <v>0</v>
      </c>
      <c r="K1585" s="45">
        <f t="shared" si="169"/>
        <v>2993</v>
      </c>
      <c r="L1585" s="10">
        <v>14</v>
      </c>
      <c r="M1585" s="10">
        <v>3.2</v>
      </c>
      <c r="N1585" s="10" t="b">
        <v>0</v>
      </c>
      <c r="O1585" s="41"/>
      <c r="P1585" s="45">
        <f t="shared" si="170"/>
        <v>1257.06</v>
      </c>
      <c r="Q1585" s="45">
        <f t="shared" si="171"/>
        <v>1735.94</v>
      </c>
      <c r="R1585" s="45">
        <v>0</v>
      </c>
      <c r="S1585" s="45">
        <f t="shared" si="172"/>
        <v>0</v>
      </c>
      <c r="T1585" s="45">
        <f t="shared" si="173"/>
        <v>0</v>
      </c>
      <c r="U1585" s="47">
        <f t="shared" si="174"/>
        <v>1735.94</v>
      </c>
    </row>
    <row r="1586" spans="1:21" x14ac:dyDescent="0.3">
      <c r="A1586" s="41" t="str">
        <f t="shared" si="168"/>
        <v>PMANAC</v>
      </c>
      <c r="B1586" s="43">
        <v>45810</v>
      </c>
      <c r="C1586" s="10" t="s">
        <v>1628</v>
      </c>
      <c r="D1586" s="10" t="s">
        <v>31</v>
      </c>
      <c r="E1586" s="10" t="s">
        <v>15</v>
      </c>
      <c r="F1586" s="10" t="s">
        <v>54</v>
      </c>
      <c r="G1586" s="10" t="s">
        <v>7</v>
      </c>
      <c r="H1586" s="10" t="s">
        <v>35</v>
      </c>
      <c r="I1586" s="45">
        <v>250</v>
      </c>
      <c r="J1586" s="11">
        <v>0.48799999999999999</v>
      </c>
      <c r="K1586" s="45">
        <f t="shared" si="169"/>
        <v>128</v>
      </c>
      <c r="L1586" s="10">
        <v>13</v>
      </c>
      <c r="M1586" s="10">
        <v>3.6</v>
      </c>
      <c r="N1586" s="10" t="b">
        <v>1</v>
      </c>
      <c r="O1586" s="41" t="s">
        <v>33</v>
      </c>
      <c r="P1586" s="45">
        <f t="shared" si="170"/>
        <v>53.76</v>
      </c>
      <c r="Q1586" s="45">
        <f t="shared" si="171"/>
        <v>74.240000000000009</v>
      </c>
      <c r="R1586" s="45">
        <v>150</v>
      </c>
      <c r="S1586" s="45">
        <f t="shared" si="172"/>
        <v>12.8</v>
      </c>
      <c r="T1586" s="45">
        <f t="shared" si="173"/>
        <v>128</v>
      </c>
      <c r="U1586" s="47">
        <f t="shared" si="174"/>
        <v>-216.56</v>
      </c>
    </row>
    <row r="1587" spans="1:21" x14ac:dyDescent="0.3">
      <c r="A1587" s="41" t="str">
        <f t="shared" si="168"/>
        <v>PFORAC</v>
      </c>
      <c r="B1587" s="43">
        <v>45810</v>
      </c>
      <c r="C1587" s="10" t="s">
        <v>1629</v>
      </c>
      <c r="D1587" s="10" t="s">
        <v>65</v>
      </c>
      <c r="E1587" s="10" t="s">
        <v>15</v>
      </c>
      <c r="F1587" s="10" t="s">
        <v>54</v>
      </c>
      <c r="G1587" s="10" t="s">
        <v>7</v>
      </c>
      <c r="H1587" s="10" t="s">
        <v>6</v>
      </c>
      <c r="I1587" s="45">
        <v>401</v>
      </c>
      <c r="J1587" s="11">
        <v>0</v>
      </c>
      <c r="K1587" s="45">
        <f t="shared" si="169"/>
        <v>401</v>
      </c>
      <c r="L1587" s="10">
        <v>24</v>
      </c>
      <c r="M1587" s="10">
        <v>4.4000000000000004</v>
      </c>
      <c r="N1587" s="10" t="b">
        <v>1</v>
      </c>
      <c r="O1587" s="41" t="s">
        <v>44</v>
      </c>
      <c r="P1587" s="45">
        <f t="shared" si="170"/>
        <v>168.42</v>
      </c>
      <c r="Q1587" s="45">
        <f t="shared" si="171"/>
        <v>232.58</v>
      </c>
      <c r="R1587" s="45">
        <v>150</v>
      </c>
      <c r="S1587" s="45">
        <f t="shared" si="172"/>
        <v>40.1</v>
      </c>
      <c r="T1587" s="45">
        <f t="shared" si="173"/>
        <v>401</v>
      </c>
      <c r="U1587" s="47">
        <f t="shared" si="174"/>
        <v>-358.52</v>
      </c>
    </row>
    <row r="1588" spans="1:21" x14ac:dyDescent="0.3">
      <c r="A1588" s="41" t="str">
        <f t="shared" si="168"/>
        <v>PZARBO</v>
      </c>
      <c r="B1588" s="43">
        <v>45811</v>
      </c>
      <c r="C1588" s="10" t="s">
        <v>1630</v>
      </c>
      <c r="D1588" s="10" t="s">
        <v>3</v>
      </c>
      <c r="E1588" s="10" t="s">
        <v>26</v>
      </c>
      <c r="F1588" s="10" t="s">
        <v>23</v>
      </c>
      <c r="G1588" s="10" t="s">
        <v>12</v>
      </c>
      <c r="H1588" s="10" t="s">
        <v>13</v>
      </c>
      <c r="I1588" s="45">
        <v>2158</v>
      </c>
      <c r="J1588" s="11">
        <v>0.38400000000000001</v>
      </c>
      <c r="K1588" s="45">
        <f t="shared" si="169"/>
        <v>1329.328</v>
      </c>
      <c r="L1588" s="10">
        <v>11</v>
      </c>
      <c r="M1588" s="10">
        <v>2.9</v>
      </c>
      <c r="N1588" s="10" t="b">
        <v>0</v>
      </c>
      <c r="O1588" s="41"/>
      <c r="P1588" s="45">
        <f t="shared" si="170"/>
        <v>558.31776000000002</v>
      </c>
      <c r="Q1588" s="45">
        <f t="shared" si="171"/>
        <v>771.01023999999995</v>
      </c>
      <c r="R1588" s="45">
        <v>0</v>
      </c>
      <c r="S1588" s="45">
        <f t="shared" si="172"/>
        <v>0</v>
      </c>
      <c r="T1588" s="45">
        <f t="shared" si="173"/>
        <v>0</v>
      </c>
      <c r="U1588" s="47">
        <f t="shared" si="174"/>
        <v>771.01023999999995</v>
      </c>
    </row>
    <row r="1589" spans="1:21" x14ac:dyDescent="0.3">
      <c r="A1589" s="41" t="str">
        <f t="shared" si="168"/>
        <v>PUNIAC</v>
      </c>
      <c r="B1589" s="43">
        <v>45811</v>
      </c>
      <c r="C1589" s="10" t="s">
        <v>1631</v>
      </c>
      <c r="D1589" s="10" t="s">
        <v>10</v>
      </c>
      <c r="E1589" s="10" t="s">
        <v>15</v>
      </c>
      <c r="F1589" s="10" t="s">
        <v>11</v>
      </c>
      <c r="G1589" s="10" t="s">
        <v>7</v>
      </c>
      <c r="H1589" s="10" t="s">
        <v>56</v>
      </c>
      <c r="I1589" s="45">
        <v>419</v>
      </c>
      <c r="J1589" s="11">
        <v>6.8000000000000005E-2</v>
      </c>
      <c r="K1589" s="45">
        <f t="shared" si="169"/>
        <v>390.50799999999998</v>
      </c>
      <c r="L1589" s="10">
        <v>41</v>
      </c>
      <c r="M1589" s="10">
        <v>4.3</v>
      </c>
      <c r="N1589" s="10" t="b">
        <v>0</v>
      </c>
      <c r="O1589" s="41"/>
      <c r="P1589" s="45">
        <f t="shared" si="170"/>
        <v>164.01335999999998</v>
      </c>
      <c r="Q1589" s="45">
        <f t="shared" si="171"/>
        <v>226.49464</v>
      </c>
      <c r="R1589" s="45">
        <v>0</v>
      </c>
      <c r="S1589" s="45">
        <f t="shared" si="172"/>
        <v>0</v>
      </c>
      <c r="T1589" s="45">
        <f t="shared" si="173"/>
        <v>0</v>
      </c>
      <c r="U1589" s="47">
        <f t="shared" si="174"/>
        <v>226.49464</v>
      </c>
    </row>
    <row r="1590" spans="1:21" x14ac:dyDescent="0.3">
      <c r="A1590" s="41" t="str">
        <f t="shared" si="168"/>
        <v>PH&amp;MTO</v>
      </c>
      <c r="B1590" s="43">
        <v>45811</v>
      </c>
      <c r="C1590" s="10" t="s">
        <v>1632</v>
      </c>
      <c r="D1590" s="10" t="s">
        <v>37</v>
      </c>
      <c r="E1590" s="10" t="s">
        <v>9</v>
      </c>
      <c r="F1590" s="10" t="s">
        <v>4</v>
      </c>
      <c r="G1590" s="10" t="s">
        <v>12</v>
      </c>
      <c r="H1590" s="10" t="s">
        <v>35</v>
      </c>
      <c r="I1590" s="45">
        <v>1005</v>
      </c>
      <c r="J1590" s="11">
        <v>0.28999999999999998</v>
      </c>
      <c r="K1590" s="45">
        <f t="shared" si="169"/>
        <v>713.55</v>
      </c>
      <c r="L1590" s="10">
        <v>38</v>
      </c>
      <c r="M1590" s="10">
        <v>5</v>
      </c>
      <c r="N1590" s="10" t="b">
        <v>0</v>
      </c>
      <c r="O1590" s="41"/>
      <c r="P1590" s="45">
        <f t="shared" si="170"/>
        <v>299.69099999999997</v>
      </c>
      <c r="Q1590" s="45">
        <f t="shared" si="171"/>
        <v>413.85899999999998</v>
      </c>
      <c r="R1590" s="45">
        <v>0</v>
      </c>
      <c r="S1590" s="45">
        <f t="shared" si="172"/>
        <v>0</v>
      </c>
      <c r="T1590" s="45">
        <f t="shared" si="173"/>
        <v>0</v>
      </c>
      <c r="U1590" s="47">
        <f t="shared" si="174"/>
        <v>413.85899999999998</v>
      </c>
    </row>
    <row r="1591" spans="1:21" x14ac:dyDescent="0.3">
      <c r="A1591" s="41" t="str">
        <f t="shared" si="168"/>
        <v>PFORTO</v>
      </c>
      <c r="B1591" s="43">
        <v>45811</v>
      </c>
      <c r="C1591" s="10" t="s">
        <v>1633</v>
      </c>
      <c r="D1591" s="10" t="s">
        <v>65</v>
      </c>
      <c r="E1591" s="10" t="s">
        <v>9</v>
      </c>
      <c r="F1591" s="10" t="s">
        <v>4</v>
      </c>
      <c r="G1591" s="10" t="s">
        <v>46</v>
      </c>
      <c r="H1591" s="10" t="s">
        <v>35</v>
      </c>
      <c r="I1591" s="45">
        <v>1576</v>
      </c>
      <c r="J1591" s="11">
        <v>0</v>
      </c>
      <c r="K1591" s="45">
        <f t="shared" si="169"/>
        <v>1576</v>
      </c>
      <c r="L1591" s="10">
        <v>39</v>
      </c>
      <c r="M1591" s="10">
        <v>4</v>
      </c>
      <c r="N1591" s="10" t="b">
        <v>0</v>
      </c>
      <c r="O1591" s="41"/>
      <c r="P1591" s="45">
        <f t="shared" si="170"/>
        <v>661.92</v>
      </c>
      <c r="Q1591" s="45">
        <f t="shared" si="171"/>
        <v>914.08</v>
      </c>
      <c r="R1591" s="45">
        <v>0</v>
      </c>
      <c r="S1591" s="45">
        <f t="shared" si="172"/>
        <v>0</v>
      </c>
      <c r="T1591" s="45">
        <f t="shared" si="173"/>
        <v>0</v>
      </c>
      <c r="U1591" s="47">
        <f t="shared" si="174"/>
        <v>914.08</v>
      </c>
    </row>
    <row r="1592" spans="1:21" x14ac:dyDescent="0.3">
      <c r="A1592" s="41" t="str">
        <f t="shared" si="168"/>
        <v>PFORBO</v>
      </c>
      <c r="B1592" s="43">
        <v>45812</v>
      </c>
      <c r="C1592" s="10" t="s">
        <v>1634</v>
      </c>
      <c r="D1592" s="10" t="s">
        <v>65</v>
      </c>
      <c r="E1592" s="10" t="s">
        <v>26</v>
      </c>
      <c r="F1592" s="10" t="s">
        <v>54</v>
      </c>
      <c r="G1592" s="10" t="s">
        <v>38</v>
      </c>
      <c r="H1592" s="10" t="s">
        <v>43</v>
      </c>
      <c r="I1592" s="45">
        <v>2291</v>
      </c>
      <c r="J1592" s="11">
        <v>0</v>
      </c>
      <c r="K1592" s="45">
        <f t="shared" si="169"/>
        <v>2291</v>
      </c>
      <c r="L1592" s="10">
        <v>2</v>
      </c>
      <c r="M1592" s="10"/>
      <c r="N1592" s="10" t="b">
        <v>1</v>
      </c>
      <c r="O1592" s="41" t="s">
        <v>33</v>
      </c>
      <c r="P1592" s="45">
        <f t="shared" si="170"/>
        <v>962.21999999999991</v>
      </c>
      <c r="Q1592" s="45">
        <f t="shared" si="171"/>
        <v>1328.7800000000002</v>
      </c>
      <c r="R1592" s="45">
        <v>150</v>
      </c>
      <c r="S1592" s="45">
        <f t="shared" si="172"/>
        <v>229.10000000000002</v>
      </c>
      <c r="T1592" s="45">
        <f t="shared" si="173"/>
        <v>2291</v>
      </c>
      <c r="U1592" s="47">
        <f t="shared" si="174"/>
        <v>-1341.3199999999997</v>
      </c>
    </row>
    <row r="1593" spans="1:21" x14ac:dyDescent="0.3">
      <c r="A1593" s="41" t="str">
        <f t="shared" si="168"/>
        <v>PBANBO</v>
      </c>
      <c r="B1593" s="43">
        <v>45812</v>
      </c>
      <c r="C1593" s="10" t="s">
        <v>1635</v>
      </c>
      <c r="D1593" s="10" t="s">
        <v>21</v>
      </c>
      <c r="E1593" s="10" t="s">
        <v>26</v>
      </c>
      <c r="F1593" s="10" t="s">
        <v>11</v>
      </c>
      <c r="G1593" s="10" t="s">
        <v>38</v>
      </c>
      <c r="H1593" s="10" t="s">
        <v>88</v>
      </c>
      <c r="I1593" s="45">
        <v>2853</v>
      </c>
      <c r="J1593" s="11">
        <v>0</v>
      </c>
      <c r="K1593" s="45">
        <f t="shared" si="169"/>
        <v>2853</v>
      </c>
      <c r="L1593" s="10">
        <v>3</v>
      </c>
      <c r="M1593" s="10">
        <v>2.8</v>
      </c>
      <c r="N1593" s="10" t="b">
        <v>0</v>
      </c>
      <c r="O1593" s="41"/>
      <c r="P1593" s="45">
        <f t="shared" si="170"/>
        <v>1198.26</v>
      </c>
      <c r="Q1593" s="45">
        <f t="shared" si="171"/>
        <v>1654.74</v>
      </c>
      <c r="R1593" s="45">
        <v>0</v>
      </c>
      <c r="S1593" s="45">
        <f t="shared" si="172"/>
        <v>0</v>
      </c>
      <c r="T1593" s="45">
        <f t="shared" si="173"/>
        <v>0</v>
      </c>
      <c r="U1593" s="47">
        <f t="shared" si="174"/>
        <v>1654.74</v>
      </c>
    </row>
    <row r="1594" spans="1:21" x14ac:dyDescent="0.3">
      <c r="A1594" s="41" t="str">
        <f t="shared" si="168"/>
        <v>PBANAC</v>
      </c>
      <c r="B1594" s="43">
        <v>45812</v>
      </c>
      <c r="C1594" s="10" t="s">
        <v>1636</v>
      </c>
      <c r="D1594" s="10" t="s">
        <v>21</v>
      </c>
      <c r="E1594" s="10" t="s">
        <v>15</v>
      </c>
      <c r="F1594" s="10" t="s">
        <v>11</v>
      </c>
      <c r="G1594" s="10" t="s">
        <v>7</v>
      </c>
      <c r="H1594" s="10" t="s">
        <v>35</v>
      </c>
      <c r="I1594" s="45">
        <v>344</v>
      </c>
      <c r="J1594" s="11">
        <v>8.1000000000000003E-2</v>
      </c>
      <c r="K1594" s="45">
        <f t="shared" si="169"/>
        <v>316.13600000000002</v>
      </c>
      <c r="L1594" s="10">
        <v>12</v>
      </c>
      <c r="M1594" s="10">
        <v>3.8</v>
      </c>
      <c r="N1594" s="10" t="b">
        <v>0</v>
      </c>
      <c r="O1594" s="41"/>
      <c r="P1594" s="45">
        <f t="shared" si="170"/>
        <v>132.77712</v>
      </c>
      <c r="Q1594" s="45">
        <f t="shared" si="171"/>
        <v>183.35888000000003</v>
      </c>
      <c r="R1594" s="45">
        <v>0</v>
      </c>
      <c r="S1594" s="45">
        <f t="shared" si="172"/>
        <v>0</v>
      </c>
      <c r="T1594" s="45">
        <f t="shared" si="173"/>
        <v>0</v>
      </c>
      <c r="U1594" s="47">
        <f t="shared" si="174"/>
        <v>183.35888000000003</v>
      </c>
    </row>
    <row r="1595" spans="1:21" x14ac:dyDescent="0.3">
      <c r="A1595" s="41" t="str">
        <f t="shared" si="168"/>
        <v>PUNITO</v>
      </c>
      <c r="B1595" s="43">
        <v>45812</v>
      </c>
      <c r="C1595" s="10" t="s">
        <v>1637</v>
      </c>
      <c r="D1595" s="10" t="s">
        <v>10</v>
      </c>
      <c r="E1595" s="10" t="s">
        <v>9</v>
      </c>
      <c r="F1595" s="10" t="s">
        <v>54</v>
      </c>
      <c r="G1595" s="10" t="s">
        <v>38</v>
      </c>
      <c r="H1595" s="10" t="s">
        <v>47</v>
      </c>
      <c r="I1595" s="45">
        <v>1092</v>
      </c>
      <c r="J1595" s="11">
        <v>0</v>
      </c>
      <c r="K1595" s="45">
        <f t="shared" si="169"/>
        <v>1092</v>
      </c>
      <c r="L1595" s="10">
        <v>14</v>
      </c>
      <c r="M1595" s="10">
        <v>4.7</v>
      </c>
      <c r="N1595" s="10" t="b">
        <v>0</v>
      </c>
      <c r="O1595" s="41"/>
      <c r="P1595" s="45">
        <f t="shared" si="170"/>
        <v>458.64</v>
      </c>
      <c r="Q1595" s="45">
        <f t="shared" si="171"/>
        <v>633.36</v>
      </c>
      <c r="R1595" s="45">
        <v>0</v>
      </c>
      <c r="S1595" s="45">
        <f t="shared" si="172"/>
        <v>0</v>
      </c>
      <c r="T1595" s="45">
        <f t="shared" si="173"/>
        <v>0</v>
      </c>
      <c r="U1595" s="47">
        <f t="shared" si="174"/>
        <v>633.36</v>
      </c>
    </row>
    <row r="1596" spans="1:21" x14ac:dyDescent="0.3">
      <c r="A1596" s="41" t="str">
        <f t="shared" si="168"/>
        <v>PBANSH</v>
      </c>
      <c r="B1596" s="43">
        <v>45813</v>
      </c>
      <c r="C1596" s="10" t="s">
        <v>1638</v>
      </c>
      <c r="D1596" s="10" t="s">
        <v>21</v>
      </c>
      <c r="E1596" s="10" t="s">
        <v>18</v>
      </c>
      <c r="F1596" s="10" t="s">
        <v>11</v>
      </c>
      <c r="G1596" s="10" t="s">
        <v>49</v>
      </c>
      <c r="H1596" s="10" t="s">
        <v>58</v>
      </c>
      <c r="I1596" s="45">
        <v>4235</v>
      </c>
      <c r="J1596" s="11">
        <v>0</v>
      </c>
      <c r="K1596" s="45">
        <f t="shared" si="169"/>
        <v>4235</v>
      </c>
      <c r="L1596" s="10">
        <v>26</v>
      </c>
      <c r="M1596" s="10">
        <v>3.8</v>
      </c>
      <c r="N1596" s="10" t="b">
        <v>1</v>
      </c>
      <c r="O1596" s="41" t="s">
        <v>33</v>
      </c>
      <c r="P1596" s="45">
        <f t="shared" si="170"/>
        <v>1778.7</v>
      </c>
      <c r="Q1596" s="45">
        <f t="shared" si="171"/>
        <v>2456.3000000000002</v>
      </c>
      <c r="R1596" s="45">
        <v>150</v>
      </c>
      <c r="S1596" s="45">
        <f t="shared" si="172"/>
        <v>423.5</v>
      </c>
      <c r="T1596" s="45">
        <f t="shared" si="173"/>
        <v>4235</v>
      </c>
      <c r="U1596" s="47">
        <f t="shared" si="174"/>
        <v>-2352.1999999999998</v>
      </c>
    </row>
    <row r="1597" spans="1:21" x14ac:dyDescent="0.3">
      <c r="A1597" s="41" t="str">
        <f t="shared" si="168"/>
        <v>PZARSH</v>
      </c>
      <c r="B1597" s="43">
        <v>45813</v>
      </c>
      <c r="C1597" s="10" t="s">
        <v>1639</v>
      </c>
      <c r="D1597" s="10" t="s">
        <v>3</v>
      </c>
      <c r="E1597" s="10" t="s">
        <v>18</v>
      </c>
      <c r="F1597" s="10" t="s">
        <v>4</v>
      </c>
      <c r="G1597" s="10" t="s">
        <v>27</v>
      </c>
      <c r="H1597" s="10" t="s">
        <v>43</v>
      </c>
      <c r="I1597" s="45">
        <v>3566</v>
      </c>
      <c r="J1597" s="11">
        <v>0</v>
      </c>
      <c r="K1597" s="45">
        <f t="shared" si="169"/>
        <v>3566</v>
      </c>
      <c r="L1597" s="10">
        <v>48</v>
      </c>
      <c r="M1597" s="10">
        <v>3.2</v>
      </c>
      <c r="N1597" s="10" t="b">
        <v>1</v>
      </c>
      <c r="O1597" s="41" t="s">
        <v>44</v>
      </c>
      <c r="P1597" s="45">
        <f t="shared" si="170"/>
        <v>1497.72</v>
      </c>
      <c r="Q1597" s="45">
        <f t="shared" si="171"/>
        <v>2068.2799999999997</v>
      </c>
      <c r="R1597" s="45">
        <v>150</v>
      </c>
      <c r="S1597" s="45">
        <f t="shared" si="172"/>
        <v>356.6</v>
      </c>
      <c r="T1597" s="45">
        <f t="shared" si="173"/>
        <v>3566</v>
      </c>
      <c r="U1597" s="47">
        <f t="shared" si="174"/>
        <v>-2004.3200000000002</v>
      </c>
    </row>
    <row r="1598" spans="1:21" x14ac:dyDescent="0.3">
      <c r="A1598" s="41" t="str">
        <f t="shared" si="168"/>
        <v>PH&amp;MOU</v>
      </c>
      <c r="B1598" s="43">
        <v>45813</v>
      </c>
      <c r="C1598" s="10" t="s">
        <v>1640</v>
      </c>
      <c r="D1598" s="10" t="s">
        <v>37</v>
      </c>
      <c r="E1598" s="10" t="s">
        <v>2</v>
      </c>
      <c r="F1598" s="10" t="s">
        <v>23</v>
      </c>
      <c r="G1598" s="10" t="s">
        <v>5</v>
      </c>
      <c r="H1598" s="10" t="s">
        <v>32</v>
      </c>
      <c r="I1598" s="45">
        <v>3627</v>
      </c>
      <c r="J1598" s="11">
        <v>0</v>
      </c>
      <c r="K1598" s="45">
        <f t="shared" si="169"/>
        <v>3627</v>
      </c>
      <c r="L1598" s="10">
        <v>18</v>
      </c>
      <c r="M1598" s="10">
        <v>3.3</v>
      </c>
      <c r="N1598" s="10" t="b">
        <v>0</v>
      </c>
      <c r="O1598" s="41"/>
      <c r="P1598" s="45">
        <f t="shared" si="170"/>
        <v>1523.34</v>
      </c>
      <c r="Q1598" s="45">
        <f t="shared" si="171"/>
        <v>2103.66</v>
      </c>
      <c r="R1598" s="45">
        <v>0</v>
      </c>
      <c r="S1598" s="45">
        <f t="shared" si="172"/>
        <v>0</v>
      </c>
      <c r="T1598" s="45">
        <f t="shared" si="173"/>
        <v>0</v>
      </c>
      <c r="U1598" s="47">
        <f t="shared" si="174"/>
        <v>2103.66</v>
      </c>
    </row>
    <row r="1599" spans="1:21" x14ac:dyDescent="0.3">
      <c r="A1599" s="41" t="str">
        <f t="shared" si="168"/>
        <v>PZARBO</v>
      </c>
      <c r="B1599" s="43">
        <v>45814</v>
      </c>
      <c r="C1599" s="10" t="s">
        <v>1641</v>
      </c>
      <c r="D1599" s="10" t="s">
        <v>3</v>
      </c>
      <c r="E1599" s="10" t="s">
        <v>26</v>
      </c>
      <c r="F1599" s="10" t="s">
        <v>11</v>
      </c>
      <c r="G1599" s="10" t="s">
        <v>49</v>
      </c>
      <c r="H1599" s="10" t="s">
        <v>58</v>
      </c>
      <c r="I1599" s="45">
        <v>2598</v>
      </c>
      <c r="J1599" s="11">
        <v>0</v>
      </c>
      <c r="K1599" s="45">
        <f t="shared" si="169"/>
        <v>2598</v>
      </c>
      <c r="L1599" s="10">
        <v>3</v>
      </c>
      <c r="M1599" s="10"/>
      <c r="N1599" s="10" t="b">
        <v>0</v>
      </c>
      <c r="O1599" s="41"/>
      <c r="P1599" s="45">
        <f t="shared" si="170"/>
        <v>1091.1599999999999</v>
      </c>
      <c r="Q1599" s="45">
        <f t="shared" si="171"/>
        <v>1506.8400000000001</v>
      </c>
      <c r="R1599" s="45">
        <v>0</v>
      </c>
      <c r="S1599" s="45">
        <f t="shared" si="172"/>
        <v>0</v>
      </c>
      <c r="T1599" s="45">
        <f t="shared" si="173"/>
        <v>0</v>
      </c>
      <c r="U1599" s="47">
        <f t="shared" si="174"/>
        <v>1506.8400000000001</v>
      </c>
    </row>
    <row r="1600" spans="1:21" x14ac:dyDescent="0.3">
      <c r="A1600" s="41" t="str">
        <f t="shared" si="168"/>
        <v>PANNDR</v>
      </c>
      <c r="B1600" s="43">
        <v>45814</v>
      </c>
      <c r="C1600" s="10" t="s">
        <v>1642</v>
      </c>
      <c r="D1600" s="10" t="s">
        <v>42</v>
      </c>
      <c r="E1600" s="10" t="s">
        <v>30</v>
      </c>
      <c r="F1600" s="10" t="s">
        <v>11</v>
      </c>
      <c r="G1600" s="10" t="s">
        <v>49</v>
      </c>
      <c r="H1600" s="10" t="s">
        <v>32</v>
      </c>
      <c r="I1600" s="45">
        <v>2253</v>
      </c>
      <c r="J1600" s="11">
        <v>0</v>
      </c>
      <c r="K1600" s="45">
        <f t="shared" si="169"/>
        <v>2253</v>
      </c>
      <c r="L1600" s="10">
        <v>4</v>
      </c>
      <c r="M1600" s="10">
        <v>4.0999999999999996</v>
      </c>
      <c r="N1600" s="10" t="b">
        <v>0</v>
      </c>
      <c r="O1600" s="41"/>
      <c r="P1600" s="45">
        <f t="shared" si="170"/>
        <v>946.26</v>
      </c>
      <c r="Q1600" s="45">
        <f t="shared" si="171"/>
        <v>1306.74</v>
      </c>
      <c r="R1600" s="45">
        <v>0</v>
      </c>
      <c r="S1600" s="45">
        <f t="shared" si="172"/>
        <v>0</v>
      </c>
      <c r="T1600" s="45">
        <f t="shared" si="173"/>
        <v>0</v>
      </c>
      <c r="U1600" s="47">
        <f t="shared" si="174"/>
        <v>1306.74</v>
      </c>
    </row>
    <row r="1601" spans="1:21" x14ac:dyDescent="0.3">
      <c r="A1601" s="41" t="str">
        <f t="shared" si="168"/>
        <v>PMANOU</v>
      </c>
      <c r="B1601" s="43">
        <v>45814</v>
      </c>
      <c r="C1601" s="10" t="s">
        <v>1643</v>
      </c>
      <c r="D1601" s="10" t="s">
        <v>31</v>
      </c>
      <c r="E1601" s="10" t="s">
        <v>2</v>
      </c>
      <c r="F1601" s="10" t="s">
        <v>4</v>
      </c>
      <c r="G1601" s="10" t="s">
        <v>46</v>
      </c>
      <c r="H1601" s="10" t="s">
        <v>7</v>
      </c>
      <c r="I1601" s="45">
        <v>3716</v>
      </c>
      <c r="J1601" s="11">
        <v>0</v>
      </c>
      <c r="K1601" s="45">
        <f t="shared" si="169"/>
        <v>3716</v>
      </c>
      <c r="L1601" s="10">
        <v>46</v>
      </c>
      <c r="M1601" s="10"/>
      <c r="N1601" s="10" t="b">
        <v>1</v>
      </c>
      <c r="O1601" s="41" t="s">
        <v>19</v>
      </c>
      <c r="P1601" s="45">
        <f t="shared" si="170"/>
        <v>1560.72</v>
      </c>
      <c r="Q1601" s="45">
        <f t="shared" si="171"/>
        <v>2155.2799999999997</v>
      </c>
      <c r="R1601" s="45">
        <v>150</v>
      </c>
      <c r="S1601" s="45">
        <f t="shared" si="172"/>
        <v>371.6</v>
      </c>
      <c r="T1601" s="45">
        <f t="shared" si="173"/>
        <v>3716</v>
      </c>
      <c r="U1601" s="47">
        <f t="shared" si="174"/>
        <v>-2082.3200000000002</v>
      </c>
    </row>
    <row r="1602" spans="1:21" x14ac:dyDescent="0.3">
      <c r="A1602" s="41" t="str">
        <f t="shared" ref="A1602:A1665" si="175">UPPER("P"&amp;LEFT(D1602,3)&amp;LEFT(E1602,2))</f>
        <v>PBANOU</v>
      </c>
      <c r="B1602" s="43">
        <v>45814</v>
      </c>
      <c r="C1602" s="10" t="s">
        <v>1644</v>
      </c>
      <c r="D1602" s="10" t="s">
        <v>21</v>
      </c>
      <c r="E1602" s="10" t="s">
        <v>2</v>
      </c>
      <c r="F1602" s="10" t="s">
        <v>54</v>
      </c>
      <c r="G1602" s="10" t="s">
        <v>49</v>
      </c>
      <c r="H1602" s="10" t="s">
        <v>35</v>
      </c>
      <c r="I1602" s="45">
        <v>4235</v>
      </c>
      <c r="J1602" s="11">
        <v>0</v>
      </c>
      <c r="K1602" s="45">
        <f t="shared" si="169"/>
        <v>4235</v>
      </c>
      <c r="L1602" s="10">
        <v>32</v>
      </c>
      <c r="M1602" s="10">
        <v>2.2999999999999998</v>
      </c>
      <c r="N1602" s="10" t="b">
        <v>0</v>
      </c>
      <c r="O1602" s="41"/>
      <c r="P1602" s="45">
        <f t="shared" si="170"/>
        <v>1778.7</v>
      </c>
      <c r="Q1602" s="45">
        <f t="shared" si="171"/>
        <v>2456.3000000000002</v>
      </c>
      <c r="R1602" s="45">
        <v>0</v>
      </c>
      <c r="S1602" s="45">
        <f t="shared" si="172"/>
        <v>0</v>
      </c>
      <c r="T1602" s="45">
        <f t="shared" si="173"/>
        <v>0</v>
      </c>
      <c r="U1602" s="47">
        <f t="shared" si="174"/>
        <v>2456.3000000000002</v>
      </c>
    </row>
    <row r="1603" spans="1:21" x14ac:dyDescent="0.3">
      <c r="A1603" s="41" t="str">
        <f t="shared" si="175"/>
        <v>PBANAC</v>
      </c>
      <c r="B1603" s="43">
        <v>45814</v>
      </c>
      <c r="C1603" s="10" t="s">
        <v>1645</v>
      </c>
      <c r="D1603" s="10" t="s">
        <v>21</v>
      </c>
      <c r="E1603" s="10" t="s">
        <v>15</v>
      </c>
      <c r="F1603" s="10" t="s">
        <v>54</v>
      </c>
      <c r="G1603" s="10" t="s">
        <v>7</v>
      </c>
      <c r="H1603" s="10" t="s">
        <v>6</v>
      </c>
      <c r="I1603" s="45">
        <v>318</v>
      </c>
      <c r="J1603" s="11">
        <v>0.495</v>
      </c>
      <c r="K1603" s="45">
        <f t="shared" ref="K1603:K1666" si="176">I1603*(1-J1603)</f>
        <v>160.59</v>
      </c>
      <c r="L1603" s="10">
        <v>26</v>
      </c>
      <c r="M1603" s="10">
        <v>2.2000000000000002</v>
      </c>
      <c r="N1603" s="10" t="b">
        <v>1</v>
      </c>
      <c r="O1603" s="41" t="s">
        <v>19</v>
      </c>
      <c r="P1603" s="45">
        <f t="shared" ref="P1603:P1666" si="177">K1603*0.42</f>
        <v>67.447800000000001</v>
      </c>
      <c r="Q1603" s="45">
        <f t="shared" ref="Q1603:Q1666" si="178">K1603-P1603</f>
        <v>93.142200000000003</v>
      </c>
      <c r="R1603" s="45">
        <v>150</v>
      </c>
      <c r="S1603" s="45">
        <f t="shared" ref="S1603:S1666" si="179">IF(N1603=TRUE,K1603*0.1,0)</f>
        <v>16.059000000000001</v>
      </c>
      <c r="T1603" s="45">
        <f t="shared" ref="T1603:T1666" si="180">IF(N1603=TRUE,K1603,0)</f>
        <v>160.59</v>
      </c>
      <c r="U1603" s="47">
        <f t="shared" ref="U1603:U1666" si="181">Q1603-R1603-S1603-T1603</f>
        <v>-233.5068</v>
      </c>
    </row>
    <row r="1604" spans="1:21" x14ac:dyDescent="0.3">
      <c r="A1604" s="41" t="str">
        <f t="shared" si="175"/>
        <v>PZARSH</v>
      </c>
      <c r="B1604" s="43">
        <v>45815</v>
      </c>
      <c r="C1604" s="10" t="s">
        <v>1646</v>
      </c>
      <c r="D1604" s="10" t="s">
        <v>3</v>
      </c>
      <c r="E1604" s="10" t="s">
        <v>18</v>
      </c>
      <c r="F1604" s="10" t="s">
        <v>11</v>
      </c>
      <c r="G1604" s="10" t="s">
        <v>7</v>
      </c>
      <c r="H1604" s="10" t="s">
        <v>28</v>
      </c>
      <c r="I1604" s="45">
        <v>3455</v>
      </c>
      <c r="J1604" s="11">
        <v>0</v>
      </c>
      <c r="K1604" s="45">
        <f t="shared" si="176"/>
        <v>3455</v>
      </c>
      <c r="L1604" s="10">
        <v>5</v>
      </c>
      <c r="M1604" s="10">
        <v>2</v>
      </c>
      <c r="N1604" s="10" t="b">
        <v>1</v>
      </c>
      <c r="O1604" s="41" t="s">
        <v>44</v>
      </c>
      <c r="P1604" s="45">
        <f t="shared" si="177"/>
        <v>1451.1</v>
      </c>
      <c r="Q1604" s="45">
        <f t="shared" si="178"/>
        <v>2003.9</v>
      </c>
      <c r="R1604" s="45">
        <v>150</v>
      </c>
      <c r="S1604" s="45">
        <f t="shared" si="179"/>
        <v>345.5</v>
      </c>
      <c r="T1604" s="45">
        <f t="shared" si="180"/>
        <v>3455</v>
      </c>
      <c r="U1604" s="47">
        <f t="shared" si="181"/>
        <v>-1946.6</v>
      </c>
    </row>
    <row r="1605" spans="1:21" x14ac:dyDescent="0.3">
      <c r="A1605" s="41" t="str">
        <f t="shared" si="175"/>
        <v>PGAPBO</v>
      </c>
      <c r="B1605" s="43">
        <v>45815</v>
      </c>
      <c r="C1605" s="10" t="s">
        <v>1647</v>
      </c>
      <c r="D1605" s="10" t="s">
        <v>53</v>
      </c>
      <c r="E1605" s="10" t="s">
        <v>26</v>
      </c>
      <c r="F1605" s="10" t="s">
        <v>23</v>
      </c>
      <c r="G1605" s="10" t="s">
        <v>7</v>
      </c>
      <c r="H1605" s="10" t="s">
        <v>43</v>
      </c>
      <c r="I1605" s="45">
        <v>2712</v>
      </c>
      <c r="J1605" s="11">
        <v>0</v>
      </c>
      <c r="K1605" s="45">
        <f t="shared" si="176"/>
        <v>2712</v>
      </c>
      <c r="L1605" s="10">
        <v>9</v>
      </c>
      <c r="M1605" s="10">
        <v>2.5</v>
      </c>
      <c r="N1605" s="10" t="b">
        <v>0</v>
      </c>
      <c r="O1605" s="41"/>
      <c r="P1605" s="45">
        <f t="shared" si="177"/>
        <v>1139.04</v>
      </c>
      <c r="Q1605" s="45">
        <f t="shared" si="178"/>
        <v>1572.96</v>
      </c>
      <c r="R1605" s="45">
        <v>0</v>
      </c>
      <c r="S1605" s="45">
        <f t="shared" si="179"/>
        <v>0</v>
      </c>
      <c r="T1605" s="45">
        <f t="shared" si="180"/>
        <v>0</v>
      </c>
      <c r="U1605" s="47">
        <f t="shared" si="181"/>
        <v>1572.96</v>
      </c>
    </row>
    <row r="1606" spans="1:21" x14ac:dyDescent="0.3">
      <c r="A1606" s="41" t="str">
        <f t="shared" si="175"/>
        <v>PUNIDR</v>
      </c>
      <c r="B1606" s="43">
        <v>45815</v>
      </c>
      <c r="C1606" s="10" t="s">
        <v>1648</v>
      </c>
      <c r="D1606" s="10" t="s">
        <v>10</v>
      </c>
      <c r="E1606" s="10" t="s">
        <v>30</v>
      </c>
      <c r="F1606" s="10" t="s">
        <v>4</v>
      </c>
      <c r="G1606" s="10" t="s">
        <v>5</v>
      </c>
      <c r="H1606" s="10" t="s">
        <v>35</v>
      </c>
      <c r="I1606" s="45">
        <v>2185</v>
      </c>
      <c r="J1606" s="11">
        <v>0</v>
      </c>
      <c r="K1606" s="45">
        <f t="shared" si="176"/>
        <v>2185</v>
      </c>
      <c r="L1606" s="10">
        <v>23</v>
      </c>
      <c r="M1606" s="10">
        <v>4.3</v>
      </c>
      <c r="N1606" s="10" t="b">
        <v>0</v>
      </c>
      <c r="O1606" s="41"/>
      <c r="P1606" s="45">
        <f t="shared" si="177"/>
        <v>917.69999999999993</v>
      </c>
      <c r="Q1606" s="45">
        <f t="shared" si="178"/>
        <v>1267.3000000000002</v>
      </c>
      <c r="R1606" s="45">
        <v>0</v>
      </c>
      <c r="S1606" s="45">
        <f t="shared" si="179"/>
        <v>0</v>
      </c>
      <c r="T1606" s="45">
        <f t="shared" si="180"/>
        <v>0</v>
      </c>
      <c r="U1606" s="47">
        <f t="shared" si="181"/>
        <v>1267.3000000000002</v>
      </c>
    </row>
    <row r="1607" spans="1:21" x14ac:dyDescent="0.3">
      <c r="A1607" s="41" t="str">
        <f t="shared" si="175"/>
        <v>PMANDR</v>
      </c>
      <c r="B1607" s="43">
        <v>45816</v>
      </c>
      <c r="C1607" s="10" t="s">
        <v>1649</v>
      </c>
      <c r="D1607" s="10" t="s">
        <v>31</v>
      </c>
      <c r="E1607" s="10" t="s">
        <v>30</v>
      </c>
      <c r="F1607" s="10" t="s">
        <v>11</v>
      </c>
      <c r="G1607" s="10" t="s">
        <v>38</v>
      </c>
      <c r="H1607" s="10" t="s">
        <v>35</v>
      </c>
      <c r="I1607" s="45">
        <v>2998</v>
      </c>
      <c r="J1607" s="11">
        <v>0</v>
      </c>
      <c r="K1607" s="45">
        <f t="shared" si="176"/>
        <v>2998</v>
      </c>
      <c r="L1607" s="10">
        <v>30</v>
      </c>
      <c r="M1607" s="10">
        <v>2.2000000000000002</v>
      </c>
      <c r="N1607" s="10" t="b">
        <v>0</v>
      </c>
      <c r="O1607" s="41"/>
      <c r="P1607" s="45">
        <f t="shared" si="177"/>
        <v>1259.1599999999999</v>
      </c>
      <c r="Q1607" s="45">
        <f t="shared" si="178"/>
        <v>1738.8400000000001</v>
      </c>
      <c r="R1607" s="45">
        <v>0</v>
      </c>
      <c r="S1607" s="45">
        <f t="shared" si="179"/>
        <v>0</v>
      </c>
      <c r="T1607" s="45">
        <f t="shared" si="180"/>
        <v>0</v>
      </c>
      <c r="U1607" s="47">
        <f t="shared" si="181"/>
        <v>1738.8400000000001</v>
      </c>
    </row>
    <row r="1608" spans="1:21" x14ac:dyDescent="0.3">
      <c r="A1608" s="41" t="str">
        <f t="shared" si="175"/>
        <v>PMANSH</v>
      </c>
      <c r="B1608" s="43">
        <v>45816</v>
      </c>
      <c r="C1608" s="10" t="s">
        <v>1650</v>
      </c>
      <c r="D1608" s="10" t="s">
        <v>31</v>
      </c>
      <c r="E1608" s="10" t="s">
        <v>18</v>
      </c>
      <c r="F1608" s="10" t="s">
        <v>11</v>
      </c>
      <c r="G1608" s="10" t="s">
        <v>46</v>
      </c>
      <c r="H1608" s="10" t="s">
        <v>16</v>
      </c>
      <c r="I1608" s="45">
        <v>3083</v>
      </c>
      <c r="J1608" s="11">
        <v>0</v>
      </c>
      <c r="K1608" s="45">
        <f t="shared" si="176"/>
        <v>3083</v>
      </c>
      <c r="L1608" s="10">
        <v>17</v>
      </c>
      <c r="M1608" s="10">
        <v>4.5999999999999996</v>
      </c>
      <c r="N1608" s="10" t="b">
        <v>0</v>
      </c>
      <c r="O1608" s="41"/>
      <c r="P1608" s="45">
        <f t="shared" si="177"/>
        <v>1294.8599999999999</v>
      </c>
      <c r="Q1608" s="45">
        <f t="shared" si="178"/>
        <v>1788.14</v>
      </c>
      <c r="R1608" s="45">
        <v>0</v>
      </c>
      <c r="S1608" s="45">
        <f t="shared" si="179"/>
        <v>0</v>
      </c>
      <c r="T1608" s="45">
        <f t="shared" si="180"/>
        <v>0</v>
      </c>
      <c r="U1608" s="47">
        <f t="shared" si="181"/>
        <v>1788.14</v>
      </c>
    </row>
    <row r="1609" spans="1:21" x14ac:dyDescent="0.3">
      <c r="A1609" s="41" t="str">
        <f t="shared" si="175"/>
        <v>PFORAC</v>
      </c>
      <c r="B1609" s="43">
        <v>45816</v>
      </c>
      <c r="C1609" s="10" t="s">
        <v>1651</v>
      </c>
      <c r="D1609" s="10" t="s">
        <v>65</v>
      </c>
      <c r="E1609" s="10" t="s">
        <v>15</v>
      </c>
      <c r="F1609" s="10" t="s">
        <v>23</v>
      </c>
      <c r="G1609" s="10" t="s">
        <v>7</v>
      </c>
      <c r="H1609" s="10" t="s">
        <v>16</v>
      </c>
      <c r="I1609" s="45">
        <v>166</v>
      </c>
      <c r="J1609" s="11">
        <v>0</v>
      </c>
      <c r="K1609" s="45">
        <f t="shared" si="176"/>
        <v>166</v>
      </c>
      <c r="L1609" s="10">
        <v>37</v>
      </c>
      <c r="M1609" s="10"/>
      <c r="N1609" s="10" t="b">
        <v>1</v>
      </c>
      <c r="O1609" s="41" t="s">
        <v>44</v>
      </c>
      <c r="P1609" s="45">
        <f t="shared" si="177"/>
        <v>69.72</v>
      </c>
      <c r="Q1609" s="45">
        <f t="shared" si="178"/>
        <v>96.28</v>
      </c>
      <c r="R1609" s="45">
        <v>150</v>
      </c>
      <c r="S1609" s="45">
        <f t="shared" si="179"/>
        <v>16.600000000000001</v>
      </c>
      <c r="T1609" s="45">
        <f t="shared" si="180"/>
        <v>166</v>
      </c>
      <c r="U1609" s="47">
        <f t="shared" si="181"/>
        <v>-236.32</v>
      </c>
    </row>
    <row r="1610" spans="1:21" x14ac:dyDescent="0.3">
      <c r="A1610" s="41" t="str">
        <f t="shared" si="175"/>
        <v>PUNITO</v>
      </c>
      <c r="B1610" s="43">
        <v>45816</v>
      </c>
      <c r="C1610" s="10" t="s">
        <v>1652</v>
      </c>
      <c r="D1610" s="10" t="s">
        <v>10</v>
      </c>
      <c r="E1610" s="10" t="s">
        <v>9</v>
      </c>
      <c r="F1610" s="10" t="s">
        <v>4</v>
      </c>
      <c r="G1610" s="10" t="s">
        <v>5</v>
      </c>
      <c r="H1610" s="10" t="s">
        <v>6</v>
      </c>
      <c r="I1610" s="45">
        <v>1675</v>
      </c>
      <c r="J1610" s="11">
        <v>0</v>
      </c>
      <c r="K1610" s="45">
        <f t="shared" si="176"/>
        <v>1675</v>
      </c>
      <c r="L1610" s="10">
        <v>41</v>
      </c>
      <c r="M1610" s="10">
        <v>3.5</v>
      </c>
      <c r="N1610" s="10" t="b">
        <v>0</v>
      </c>
      <c r="O1610" s="41"/>
      <c r="P1610" s="45">
        <f t="shared" si="177"/>
        <v>703.5</v>
      </c>
      <c r="Q1610" s="45">
        <f t="shared" si="178"/>
        <v>971.5</v>
      </c>
      <c r="R1610" s="45">
        <v>0</v>
      </c>
      <c r="S1610" s="45">
        <f t="shared" si="179"/>
        <v>0</v>
      </c>
      <c r="T1610" s="45">
        <f t="shared" si="180"/>
        <v>0</v>
      </c>
      <c r="U1610" s="47">
        <f t="shared" si="181"/>
        <v>971.5</v>
      </c>
    </row>
    <row r="1611" spans="1:21" x14ac:dyDescent="0.3">
      <c r="A1611" s="41" t="str">
        <f t="shared" si="175"/>
        <v>PGAPAC</v>
      </c>
      <c r="B1611" s="43">
        <v>45817</v>
      </c>
      <c r="C1611" s="10" t="s">
        <v>1653</v>
      </c>
      <c r="D1611" s="10" t="s">
        <v>53</v>
      </c>
      <c r="E1611" s="10" t="s">
        <v>15</v>
      </c>
      <c r="F1611" s="10" t="s">
        <v>23</v>
      </c>
      <c r="G1611" s="10" t="s">
        <v>7</v>
      </c>
      <c r="H1611" s="10" t="s">
        <v>32</v>
      </c>
      <c r="I1611" s="45">
        <v>210</v>
      </c>
      <c r="J1611" s="11">
        <v>7.2999999999999995E-2</v>
      </c>
      <c r="K1611" s="45">
        <f t="shared" si="176"/>
        <v>194.67000000000002</v>
      </c>
      <c r="L1611" s="10">
        <v>46</v>
      </c>
      <c r="M1611" s="10">
        <v>3.6</v>
      </c>
      <c r="N1611" s="10" t="b">
        <v>0</v>
      </c>
      <c r="O1611" s="41"/>
      <c r="P1611" s="45">
        <f t="shared" si="177"/>
        <v>81.761400000000009</v>
      </c>
      <c r="Q1611" s="45">
        <f t="shared" si="178"/>
        <v>112.90860000000001</v>
      </c>
      <c r="R1611" s="45">
        <v>0</v>
      </c>
      <c r="S1611" s="45">
        <f t="shared" si="179"/>
        <v>0</v>
      </c>
      <c r="T1611" s="45">
        <f t="shared" si="180"/>
        <v>0</v>
      </c>
      <c r="U1611" s="47">
        <f t="shared" si="181"/>
        <v>112.90860000000001</v>
      </c>
    </row>
    <row r="1612" spans="1:21" x14ac:dyDescent="0.3">
      <c r="A1612" s="41" t="str">
        <f t="shared" si="175"/>
        <v>PMANAC</v>
      </c>
      <c r="B1612" s="43">
        <v>45817</v>
      </c>
      <c r="C1612" s="10" t="s">
        <v>1654</v>
      </c>
      <c r="D1612" s="10" t="s">
        <v>31</v>
      </c>
      <c r="E1612" s="10" t="s">
        <v>15</v>
      </c>
      <c r="F1612" s="10" t="s">
        <v>23</v>
      </c>
      <c r="G1612" s="10" t="s">
        <v>7</v>
      </c>
      <c r="H1612" s="10" t="s">
        <v>58</v>
      </c>
      <c r="I1612" s="45">
        <v>343</v>
      </c>
      <c r="J1612" s="11">
        <v>5.2000000000000005E-2</v>
      </c>
      <c r="K1612" s="45">
        <f t="shared" si="176"/>
        <v>325.16399999999999</v>
      </c>
      <c r="L1612" s="10">
        <v>18</v>
      </c>
      <c r="M1612" s="10"/>
      <c r="N1612" s="10" t="b">
        <v>0</v>
      </c>
      <c r="O1612" s="41"/>
      <c r="P1612" s="45">
        <f t="shared" si="177"/>
        <v>136.56887999999998</v>
      </c>
      <c r="Q1612" s="45">
        <f t="shared" si="178"/>
        <v>188.59512000000001</v>
      </c>
      <c r="R1612" s="45">
        <v>0</v>
      </c>
      <c r="S1612" s="45">
        <f t="shared" si="179"/>
        <v>0</v>
      </c>
      <c r="T1612" s="45">
        <f t="shared" si="180"/>
        <v>0</v>
      </c>
      <c r="U1612" s="47">
        <f t="shared" si="181"/>
        <v>188.59512000000001</v>
      </c>
    </row>
    <row r="1613" spans="1:21" x14ac:dyDescent="0.3">
      <c r="A1613" s="41" t="str">
        <f t="shared" si="175"/>
        <v>PBANBO</v>
      </c>
      <c r="B1613" s="43">
        <v>45817</v>
      </c>
      <c r="C1613" s="10" t="s">
        <v>1655</v>
      </c>
      <c r="D1613" s="10" t="s">
        <v>21</v>
      </c>
      <c r="E1613" s="10" t="s">
        <v>26</v>
      </c>
      <c r="F1613" s="10" t="s">
        <v>4</v>
      </c>
      <c r="G1613" s="10" t="s">
        <v>5</v>
      </c>
      <c r="H1613" s="10" t="s">
        <v>6</v>
      </c>
      <c r="I1613" s="45">
        <v>2328</v>
      </c>
      <c r="J1613" s="11">
        <v>0</v>
      </c>
      <c r="K1613" s="45">
        <f t="shared" si="176"/>
        <v>2328</v>
      </c>
      <c r="L1613" s="10">
        <v>17</v>
      </c>
      <c r="M1613" s="10">
        <v>1.2</v>
      </c>
      <c r="N1613" s="10" t="b">
        <v>0</v>
      </c>
      <c r="O1613" s="41"/>
      <c r="P1613" s="45">
        <f t="shared" si="177"/>
        <v>977.76</v>
      </c>
      <c r="Q1613" s="45">
        <f t="shared" si="178"/>
        <v>1350.24</v>
      </c>
      <c r="R1613" s="45">
        <v>0</v>
      </c>
      <c r="S1613" s="45">
        <f t="shared" si="179"/>
        <v>0</v>
      </c>
      <c r="T1613" s="45">
        <f t="shared" si="180"/>
        <v>0</v>
      </c>
      <c r="U1613" s="47">
        <f t="shared" si="181"/>
        <v>1350.24</v>
      </c>
    </row>
    <row r="1614" spans="1:21" x14ac:dyDescent="0.3">
      <c r="A1614" s="41" t="str">
        <f t="shared" si="175"/>
        <v>PBANDR</v>
      </c>
      <c r="B1614" s="43">
        <v>45817</v>
      </c>
      <c r="C1614" s="10" t="s">
        <v>1656</v>
      </c>
      <c r="D1614" s="10" t="s">
        <v>21</v>
      </c>
      <c r="E1614" s="10" t="s">
        <v>30</v>
      </c>
      <c r="F1614" s="10" t="s">
        <v>11</v>
      </c>
      <c r="G1614" s="10" t="s">
        <v>38</v>
      </c>
      <c r="H1614" s="10" t="s">
        <v>56</v>
      </c>
      <c r="I1614" s="45">
        <v>2319</v>
      </c>
      <c r="J1614" s="11">
        <v>0.40299999999999997</v>
      </c>
      <c r="K1614" s="45">
        <f t="shared" si="176"/>
        <v>1384.443</v>
      </c>
      <c r="L1614" s="10">
        <v>27</v>
      </c>
      <c r="M1614" s="10">
        <v>1.2</v>
      </c>
      <c r="N1614" s="10" t="b">
        <v>0</v>
      </c>
      <c r="O1614" s="41"/>
      <c r="P1614" s="45">
        <f t="shared" si="177"/>
        <v>581.46605999999997</v>
      </c>
      <c r="Q1614" s="45">
        <f t="shared" si="178"/>
        <v>802.97694000000001</v>
      </c>
      <c r="R1614" s="45">
        <v>0</v>
      </c>
      <c r="S1614" s="45">
        <f t="shared" si="179"/>
        <v>0</v>
      </c>
      <c r="T1614" s="45">
        <f t="shared" si="180"/>
        <v>0</v>
      </c>
      <c r="U1614" s="47">
        <f t="shared" si="181"/>
        <v>802.97694000000001</v>
      </c>
    </row>
    <row r="1615" spans="1:21" x14ac:dyDescent="0.3">
      <c r="A1615" s="41" t="str">
        <f t="shared" si="175"/>
        <v>PFORSH</v>
      </c>
      <c r="B1615" s="43">
        <v>45818</v>
      </c>
      <c r="C1615" s="10" t="s">
        <v>1657</v>
      </c>
      <c r="D1615" s="10" t="s">
        <v>65</v>
      </c>
      <c r="E1615" s="10" t="s">
        <v>18</v>
      </c>
      <c r="F1615" s="10" t="s">
        <v>54</v>
      </c>
      <c r="G1615" s="10" t="s">
        <v>27</v>
      </c>
      <c r="H1615" s="10" t="s">
        <v>47</v>
      </c>
      <c r="I1615" s="45">
        <v>3913</v>
      </c>
      <c r="J1615" s="11">
        <v>0.43200000000000005</v>
      </c>
      <c r="K1615" s="45">
        <f t="shared" si="176"/>
        <v>2222.5839999999998</v>
      </c>
      <c r="L1615" s="10">
        <v>16</v>
      </c>
      <c r="M1615" s="10">
        <v>1.4</v>
      </c>
      <c r="N1615" s="10" t="b">
        <v>0</v>
      </c>
      <c r="O1615" s="41"/>
      <c r="P1615" s="45">
        <f t="shared" si="177"/>
        <v>933.48527999999988</v>
      </c>
      <c r="Q1615" s="45">
        <f t="shared" si="178"/>
        <v>1289.09872</v>
      </c>
      <c r="R1615" s="45">
        <v>0</v>
      </c>
      <c r="S1615" s="45">
        <f t="shared" si="179"/>
        <v>0</v>
      </c>
      <c r="T1615" s="45">
        <f t="shared" si="180"/>
        <v>0</v>
      </c>
      <c r="U1615" s="47">
        <f t="shared" si="181"/>
        <v>1289.09872</v>
      </c>
    </row>
    <row r="1616" spans="1:21" x14ac:dyDescent="0.3">
      <c r="A1616" s="41" t="str">
        <f t="shared" si="175"/>
        <v>PMANDR</v>
      </c>
      <c r="B1616" s="43">
        <v>45818</v>
      </c>
      <c r="C1616" s="10" t="s">
        <v>1658</v>
      </c>
      <c r="D1616" s="10" t="s">
        <v>31</v>
      </c>
      <c r="E1616" s="10" t="s">
        <v>30</v>
      </c>
      <c r="F1616" s="10" t="s">
        <v>4</v>
      </c>
      <c r="G1616" s="10" t="s">
        <v>27</v>
      </c>
      <c r="H1616" s="10" t="s">
        <v>43</v>
      </c>
      <c r="I1616" s="45">
        <v>2208</v>
      </c>
      <c r="J1616" s="11">
        <v>0</v>
      </c>
      <c r="K1616" s="45">
        <f t="shared" si="176"/>
        <v>2208</v>
      </c>
      <c r="L1616" s="10">
        <v>13</v>
      </c>
      <c r="M1616" s="10">
        <v>4</v>
      </c>
      <c r="N1616" s="10" t="b">
        <v>0</v>
      </c>
      <c r="O1616" s="41"/>
      <c r="P1616" s="45">
        <f t="shared" si="177"/>
        <v>927.36</v>
      </c>
      <c r="Q1616" s="45">
        <f t="shared" si="178"/>
        <v>1280.6399999999999</v>
      </c>
      <c r="R1616" s="45">
        <v>0</v>
      </c>
      <c r="S1616" s="45">
        <f t="shared" si="179"/>
        <v>0</v>
      </c>
      <c r="T1616" s="45">
        <f t="shared" si="180"/>
        <v>0</v>
      </c>
      <c r="U1616" s="47">
        <f t="shared" si="181"/>
        <v>1280.6399999999999</v>
      </c>
    </row>
    <row r="1617" spans="1:21" x14ac:dyDescent="0.3">
      <c r="A1617" s="41" t="str">
        <f t="shared" si="175"/>
        <v>PZARSH</v>
      </c>
      <c r="B1617" s="43">
        <v>45818</v>
      </c>
      <c r="C1617" s="10" t="s">
        <v>1659</v>
      </c>
      <c r="D1617" s="10" t="s">
        <v>3</v>
      </c>
      <c r="E1617" s="10" t="s">
        <v>18</v>
      </c>
      <c r="F1617" s="10" t="s">
        <v>54</v>
      </c>
      <c r="G1617" s="10" t="s">
        <v>27</v>
      </c>
      <c r="H1617" s="10" t="s">
        <v>6</v>
      </c>
      <c r="I1617" s="45">
        <v>3555</v>
      </c>
      <c r="J1617" s="11">
        <v>0.441</v>
      </c>
      <c r="K1617" s="45">
        <f t="shared" si="176"/>
        <v>1987.2449999999999</v>
      </c>
      <c r="L1617" s="10">
        <v>2</v>
      </c>
      <c r="M1617" s="10">
        <v>4.4000000000000004</v>
      </c>
      <c r="N1617" s="10" t="b">
        <v>0</v>
      </c>
      <c r="O1617" s="41"/>
      <c r="P1617" s="45">
        <f t="shared" si="177"/>
        <v>834.64289999999994</v>
      </c>
      <c r="Q1617" s="45">
        <f t="shared" si="178"/>
        <v>1152.6021000000001</v>
      </c>
      <c r="R1617" s="45">
        <v>0</v>
      </c>
      <c r="S1617" s="45">
        <f t="shared" si="179"/>
        <v>0</v>
      </c>
      <c r="T1617" s="45">
        <f t="shared" si="180"/>
        <v>0</v>
      </c>
      <c r="U1617" s="47">
        <f t="shared" si="181"/>
        <v>1152.6021000000001</v>
      </c>
    </row>
    <row r="1618" spans="1:21" x14ac:dyDescent="0.3">
      <c r="A1618" s="41" t="str">
        <f t="shared" si="175"/>
        <v>PFORSH</v>
      </c>
      <c r="B1618" s="43">
        <v>45818</v>
      </c>
      <c r="C1618" s="10" t="s">
        <v>1660</v>
      </c>
      <c r="D1618" s="10" t="s">
        <v>65</v>
      </c>
      <c r="E1618" s="10" t="s">
        <v>18</v>
      </c>
      <c r="F1618" s="10" t="s">
        <v>54</v>
      </c>
      <c r="G1618" s="10" t="s">
        <v>38</v>
      </c>
      <c r="H1618" s="10" t="s">
        <v>35</v>
      </c>
      <c r="I1618" s="45">
        <v>3033</v>
      </c>
      <c r="J1618" s="11">
        <v>0</v>
      </c>
      <c r="K1618" s="45">
        <f t="shared" si="176"/>
        <v>3033</v>
      </c>
      <c r="L1618" s="10">
        <v>30</v>
      </c>
      <c r="M1618" s="10">
        <v>1.5</v>
      </c>
      <c r="N1618" s="10" t="b">
        <v>0</v>
      </c>
      <c r="O1618" s="41"/>
      <c r="P1618" s="45">
        <f t="shared" si="177"/>
        <v>1273.8599999999999</v>
      </c>
      <c r="Q1618" s="45">
        <f t="shared" si="178"/>
        <v>1759.14</v>
      </c>
      <c r="R1618" s="45">
        <v>0</v>
      </c>
      <c r="S1618" s="45">
        <f t="shared" si="179"/>
        <v>0</v>
      </c>
      <c r="T1618" s="45">
        <f t="shared" si="180"/>
        <v>0</v>
      </c>
      <c r="U1618" s="47">
        <f t="shared" si="181"/>
        <v>1759.14</v>
      </c>
    </row>
    <row r="1619" spans="1:21" x14ac:dyDescent="0.3">
      <c r="A1619" s="41" t="str">
        <f t="shared" si="175"/>
        <v>PFOROU</v>
      </c>
      <c r="B1619" s="43">
        <v>45819</v>
      </c>
      <c r="C1619" s="10" t="s">
        <v>1661</v>
      </c>
      <c r="D1619" s="10" t="s">
        <v>65</v>
      </c>
      <c r="E1619" s="10" t="s">
        <v>2</v>
      </c>
      <c r="F1619" s="10" t="s">
        <v>23</v>
      </c>
      <c r="G1619" s="10" t="s">
        <v>49</v>
      </c>
      <c r="H1619" s="10" t="s">
        <v>58</v>
      </c>
      <c r="I1619" s="45">
        <v>4285</v>
      </c>
      <c r="J1619" s="11">
        <v>0</v>
      </c>
      <c r="K1619" s="45">
        <f t="shared" si="176"/>
        <v>4285</v>
      </c>
      <c r="L1619" s="10">
        <v>5</v>
      </c>
      <c r="M1619" s="10"/>
      <c r="N1619" s="10" t="b">
        <v>0</v>
      </c>
      <c r="O1619" s="41"/>
      <c r="P1619" s="45">
        <f t="shared" si="177"/>
        <v>1799.7</v>
      </c>
      <c r="Q1619" s="45">
        <f t="shared" si="178"/>
        <v>2485.3000000000002</v>
      </c>
      <c r="R1619" s="45">
        <v>0</v>
      </c>
      <c r="S1619" s="45">
        <f t="shared" si="179"/>
        <v>0</v>
      </c>
      <c r="T1619" s="45">
        <f t="shared" si="180"/>
        <v>0</v>
      </c>
      <c r="U1619" s="47">
        <f t="shared" si="181"/>
        <v>2485.3000000000002</v>
      </c>
    </row>
    <row r="1620" spans="1:21" x14ac:dyDescent="0.3">
      <c r="A1620" s="41" t="str">
        <f t="shared" si="175"/>
        <v>PUNIOU</v>
      </c>
      <c r="B1620" s="43">
        <v>45819</v>
      </c>
      <c r="C1620" s="10" t="s">
        <v>1662</v>
      </c>
      <c r="D1620" s="10" t="s">
        <v>10</v>
      </c>
      <c r="E1620" s="10" t="s">
        <v>2</v>
      </c>
      <c r="F1620" s="10" t="s">
        <v>23</v>
      </c>
      <c r="G1620" s="10" t="s">
        <v>27</v>
      </c>
      <c r="H1620" s="10" t="s">
        <v>16</v>
      </c>
      <c r="I1620" s="45">
        <v>3413</v>
      </c>
      <c r="J1620" s="11">
        <v>0.11900000000000001</v>
      </c>
      <c r="K1620" s="45">
        <f t="shared" si="176"/>
        <v>3006.8530000000001</v>
      </c>
      <c r="L1620" s="10">
        <v>35</v>
      </c>
      <c r="M1620" s="10">
        <v>1.5</v>
      </c>
      <c r="N1620" s="10" t="b">
        <v>0</v>
      </c>
      <c r="O1620" s="41"/>
      <c r="P1620" s="45">
        <f t="shared" si="177"/>
        <v>1262.87826</v>
      </c>
      <c r="Q1620" s="45">
        <f t="shared" si="178"/>
        <v>1743.9747400000001</v>
      </c>
      <c r="R1620" s="45">
        <v>0</v>
      </c>
      <c r="S1620" s="45">
        <f t="shared" si="179"/>
        <v>0</v>
      </c>
      <c r="T1620" s="45">
        <f t="shared" si="180"/>
        <v>0</v>
      </c>
      <c r="U1620" s="47">
        <f t="shared" si="181"/>
        <v>1743.9747400000001</v>
      </c>
    </row>
    <row r="1621" spans="1:21" x14ac:dyDescent="0.3">
      <c r="A1621" s="41" t="str">
        <f t="shared" si="175"/>
        <v>PGAPSH</v>
      </c>
      <c r="B1621" s="43">
        <v>45819</v>
      </c>
      <c r="C1621" s="10" t="s">
        <v>1663</v>
      </c>
      <c r="D1621" s="10" t="s">
        <v>53</v>
      </c>
      <c r="E1621" s="10" t="s">
        <v>18</v>
      </c>
      <c r="F1621" s="10" t="s">
        <v>11</v>
      </c>
      <c r="G1621" s="10" t="s">
        <v>5</v>
      </c>
      <c r="H1621" s="10" t="s">
        <v>47</v>
      </c>
      <c r="I1621" s="45">
        <v>3938</v>
      </c>
      <c r="J1621" s="11">
        <v>0</v>
      </c>
      <c r="K1621" s="45">
        <f t="shared" si="176"/>
        <v>3938</v>
      </c>
      <c r="L1621" s="10">
        <v>7</v>
      </c>
      <c r="M1621" s="10">
        <v>2</v>
      </c>
      <c r="N1621" s="10" t="b">
        <v>0</v>
      </c>
      <c r="O1621" s="41"/>
      <c r="P1621" s="45">
        <f t="shared" si="177"/>
        <v>1653.96</v>
      </c>
      <c r="Q1621" s="45">
        <f t="shared" si="178"/>
        <v>2284.04</v>
      </c>
      <c r="R1621" s="45">
        <v>0</v>
      </c>
      <c r="S1621" s="45">
        <f t="shared" si="179"/>
        <v>0</v>
      </c>
      <c r="T1621" s="45">
        <f t="shared" si="180"/>
        <v>0</v>
      </c>
      <c r="U1621" s="47">
        <f t="shared" si="181"/>
        <v>2284.04</v>
      </c>
    </row>
    <row r="1622" spans="1:21" x14ac:dyDescent="0.3">
      <c r="A1622" s="41" t="str">
        <f t="shared" si="175"/>
        <v>PUNIOU</v>
      </c>
      <c r="B1622" s="43">
        <v>45819</v>
      </c>
      <c r="C1622" s="10" t="s">
        <v>1664</v>
      </c>
      <c r="D1622" s="10" t="s">
        <v>10</v>
      </c>
      <c r="E1622" s="10" t="s">
        <v>2</v>
      </c>
      <c r="F1622" s="10" t="s">
        <v>23</v>
      </c>
      <c r="G1622" s="10" t="s">
        <v>46</v>
      </c>
      <c r="H1622" s="10" t="s">
        <v>43</v>
      </c>
      <c r="I1622" s="45">
        <v>3441</v>
      </c>
      <c r="J1622" s="11">
        <v>0</v>
      </c>
      <c r="K1622" s="45">
        <f t="shared" si="176"/>
        <v>3441</v>
      </c>
      <c r="L1622" s="10">
        <v>38</v>
      </c>
      <c r="M1622" s="10">
        <v>3.5</v>
      </c>
      <c r="N1622" s="10" t="b">
        <v>1</v>
      </c>
      <c r="O1622" s="41" t="s">
        <v>44</v>
      </c>
      <c r="P1622" s="45">
        <f t="shared" si="177"/>
        <v>1445.22</v>
      </c>
      <c r="Q1622" s="45">
        <f t="shared" si="178"/>
        <v>1995.78</v>
      </c>
      <c r="R1622" s="45">
        <v>150</v>
      </c>
      <c r="S1622" s="45">
        <f t="shared" si="179"/>
        <v>344.1</v>
      </c>
      <c r="T1622" s="45">
        <f t="shared" si="180"/>
        <v>3441</v>
      </c>
      <c r="U1622" s="47">
        <f t="shared" si="181"/>
        <v>-1939.3200000000002</v>
      </c>
    </row>
    <row r="1623" spans="1:21" x14ac:dyDescent="0.3">
      <c r="A1623" s="41" t="str">
        <f t="shared" si="175"/>
        <v>PMANOU</v>
      </c>
      <c r="B1623" s="43">
        <v>45820</v>
      </c>
      <c r="C1623" s="10" t="s">
        <v>1665</v>
      </c>
      <c r="D1623" s="10" t="s">
        <v>31</v>
      </c>
      <c r="E1623" s="10" t="s">
        <v>2</v>
      </c>
      <c r="F1623" s="10" t="s">
        <v>4</v>
      </c>
      <c r="G1623" s="10" t="s">
        <v>46</v>
      </c>
      <c r="H1623" s="10" t="s">
        <v>43</v>
      </c>
      <c r="I1623" s="45">
        <v>4096</v>
      </c>
      <c r="J1623" s="11">
        <v>0.28800000000000003</v>
      </c>
      <c r="K1623" s="45">
        <f t="shared" si="176"/>
        <v>2916.3519999999999</v>
      </c>
      <c r="L1623" s="10">
        <v>43</v>
      </c>
      <c r="M1623" s="10">
        <v>1.3</v>
      </c>
      <c r="N1623" s="10" t="b">
        <v>1</v>
      </c>
      <c r="O1623" s="41" t="s">
        <v>33</v>
      </c>
      <c r="P1623" s="45">
        <f t="shared" si="177"/>
        <v>1224.8678399999999</v>
      </c>
      <c r="Q1623" s="45">
        <f t="shared" si="178"/>
        <v>1691.48416</v>
      </c>
      <c r="R1623" s="45">
        <v>150</v>
      </c>
      <c r="S1623" s="45">
        <f t="shared" si="179"/>
        <v>291.6352</v>
      </c>
      <c r="T1623" s="45">
        <f t="shared" si="180"/>
        <v>2916.3519999999999</v>
      </c>
      <c r="U1623" s="47">
        <f t="shared" si="181"/>
        <v>-1666.5030399999998</v>
      </c>
    </row>
    <row r="1624" spans="1:21" x14ac:dyDescent="0.3">
      <c r="A1624" s="41" t="str">
        <f t="shared" si="175"/>
        <v>PUNIDR</v>
      </c>
      <c r="B1624" s="43">
        <v>45820</v>
      </c>
      <c r="C1624" s="10" t="s">
        <v>1666</v>
      </c>
      <c r="D1624" s="10" t="s">
        <v>10</v>
      </c>
      <c r="E1624" s="10" t="s">
        <v>30</v>
      </c>
      <c r="F1624" s="10" t="s">
        <v>4</v>
      </c>
      <c r="G1624" s="10" t="s">
        <v>27</v>
      </c>
      <c r="H1624" s="10" t="s">
        <v>13</v>
      </c>
      <c r="I1624" s="45">
        <v>1961</v>
      </c>
      <c r="J1624" s="11">
        <v>0.53600000000000003</v>
      </c>
      <c r="K1624" s="45">
        <f t="shared" si="176"/>
        <v>909.90399999999988</v>
      </c>
      <c r="L1624" s="10">
        <v>4</v>
      </c>
      <c r="M1624" s="10">
        <v>1.5</v>
      </c>
      <c r="N1624" s="10" t="b">
        <v>1</v>
      </c>
      <c r="O1624" s="41" t="s">
        <v>24</v>
      </c>
      <c r="P1624" s="45">
        <f t="shared" si="177"/>
        <v>382.15967999999992</v>
      </c>
      <c r="Q1624" s="45">
        <f t="shared" si="178"/>
        <v>527.74432000000002</v>
      </c>
      <c r="R1624" s="45">
        <v>150</v>
      </c>
      <c r="S1624" s="45">
        <f t="shared" si="179"/>
        <v>90.990399999999994</v>
      </c>
      <c r="T1624" s="45">
        <f t="shared" si="180"/>
        <v>909.90399999999988</v>
      </c>
      <c r="U1624" s="47">
        <f t="shared" si="181"/>
        <v>-623.15007999999989</v>
      </c>
    </row>
    <row r="1625" spans="1:21" x14ac:dyDescent="0.3">
      <c r="A1625" s="41" t="str">
        <f t="shared" si="175"/>
        <v>PBANAC</v>
      </c>
      <c r="B1625" s="43">
        <v>45820</v>
      </c>
      <c r="C1625" s="10" t="s">
        <v>1667</v>
      </c>
      <c r="D1625" s="10" t="s">
        <v>21</v>
      </c>
      <c r="E1625" s="10" t="s">
        <v>15</v>
      </c>
      <c r="F1625" s="10" t="s">
        <v>4</v>
      </c>
      <c r="G1625" s="10" t="s">
        <v>7</v>
      </c>
      <c r="H1625" s="10" t="s">
        <v>35</v>
      </c>
      <c r="I1625" s="45">
        <v>185</v>
      </c>
      <c r="J1625" s="11">
        <v>0</v>
      </c>
      <c r="K1625" s="45">
        <f t="shared" si="176"/>
        <v>185</v>
      </c>
      <c r="L1625" s="10">
        <v>29</v>
      </c>
      <c r="M1625" s="10">
        <v>3.2</v>
      </c>
      <c r="N1625" s="10" t="b">
        <v>1</v>
      </c>
      <c r="O1625" s="41" t="s">
        <v>19</v>
      </c>
      <c r="P1625" s="45">
        <f t="shared" si="177"/>
        <v>77.7</v>
      </c>
      <c r="Q1625" s="45">
        <f t="shared" si="178"/>
        <v>107.3</v>
      </c>
      <c r="R1625" s="45">
        <v>150</v>
      </c>
      <c r="S1625" s="45">
        <f t="shared" si="179"/>
        <v>18.5</v>
      </c>
      <c r="T1625" s="45">
        <f t="shared" si="180"/>
        <v>185</v>
      </c>
      <c r="U1625" s="47">
        <f t="shared" si="181"/>
        <v>-246.2</v>
      </c>
    </row>
    <row r="1626" spans="1:21" x14ac:dyDescent="0.3">
      <c r="A1626" s="41" t="str">
        <f t="shared" si="175"/>
        <v>PZARTO</v>
      </c>
      <c r="B1626" s="43">
        <v>45820</v>
      </c>
      <c r="C1626" s="10" t="s">
        <v>1668</v>
      </c>
      <c r="D1626" s="10" t="s">
        <v>3</v>
      </c>
      <c r="E1626" s="10" t="s">
        <v>9</v>
      </c>
      <c r="F1626" s="10" t="s">
        <v>23</v>
      </c>
      <c r="G1626" s="10" t="s">
        <v>38</v>
      </c>
      <c r="H1626" s="10" t="s">
        <v>43</v>
      </c>
      <c r="I1626" s="45">
        <v>1247</v>
      </c>
      <c r="J1626" s="11">
        <v>0.40299999999999997</v>
      </c>
      <c r="K1626" s="45">
        <f t="shared" si="176"/>
        <v>744.45899999999995</v>
      </c>
      <c r="L1626" s="10">
        <v>21</v>
      </c>
      <c r="M1626" s="10">
        <v>2.7</v>
      </c>
      <c r="N1626" s="10" t="b">
        <v>1</v>
      </c>
      <c r="O1626" s="41" t="s">
        <v>33</v>
      </c>
      <c r="P1626" s="45">
        <f t="shared" si="177"/>
        <v>312.67277999999999</v>
      </c>
      <c r="Q1626" s="45">
        <f t="shared" si="178"/>
        <v>431.78621999999996</v>
      </c>
      <c r="R1626" s="45">
        <v>150</v>
      </c>
      <c r="S1626" s="45">
        <f t="shared" si="179"/>
        <v>74.445899999999995</v>
      </c>
      <c r="T1626" s="45">
        <f t="shared" si="180"/>
        <v>744.45899999999995</v>
      </c>
      <c r="U1626" s="47">
        <f t="shared" si="181"/>
        <v>-537.11868000000004</v>
      </c>
    </row>
    <row r="1627" spans="1:21" x14ac:dyDescent="0.3">
      <c r="A1627" s="41" t="str">
        <f t="shared" si="175"/>
        <v>PANNSH</v>
      </c>
      <c r="B1627" s="43">
        <v>45820</v>
      </c>
      <c r="C1627" s="10" t="s">
        <v>1669</v>
      </c>
      <c r="D1627" s="10" t="s">
        <v>42</v>
      </c>
      <c r="E1627" s="10" t="s">
        <v>18</v>
      </c>
      <c r="F1627" s="10" t="s">
        <v>23</v>
      </c>
      <c r="G1627" s="10" t="s">
        <v>38</v>
      </c>
      <c r="H1627" s="10" t="s">
        <v>7</v>
      </c>
      <c r="I1627" s="45">
        <v>3032</v>
      </c>
      <c r="J1627" s="11">
        <v>0.27300000000000002</v>
      </c>
      <c r="K1627" s="45">
        <f t="shared" si="176"/>
        <v>2204.2640000000001</v>
      </c>
      <c r="L1627" s="10">
        <v>6</v>
      </c>
      <c r="M1627" s="10">
        <v>2.8</v>
      </c>
      <c r="N1627" s="10" t="b">
        <v>0</v>
      </c>
      <c r="O1627" s="41"/>
      <c r="P1627" s="45">
        <f t="shared" si="177"/>
        <v>925.79088000000002</v>
      </c>
      <c r="Q1627" s="45">
        <f t="shared" si="178"/>
        <v>1278.4731200000001</v>
      </c>
      <c r="R1627" s="45">
        <v>0</v>
      </c>
      <c r="S1627" s="45">
        <f t="shared" si="179"/>
        <v>0</v>
      </c>
      <c r="T1627" s="45">
        <f t="shared" si="180"/>
        <v>0</v>
      </c>
      <c r="U1627" s="47">
        <f t="shared" si="181"/>
        <v>1278.4731200000001</v>
      </c>
    </row>
    <row r="1628" spans="1:21" x14ac:dyDescent="0.3">
      <c r="A1628" s="41" t="str">
        <f t="shared" si="175"/>
        <v>PFOROU</v>
      </c>
      <c r="B1628" s="43">
        <v>45821</v>
      </c>
      <c r="C1628" s="10" t="s">
        <v>1670</v>
      </c>
      <c r="D1628" s="10" t="s">
        <v>65</v>
      </c>
      <c r="E1628" s="10" t="s">
        <v>2</v>
      </c>
      <c r="F1628" s="10" t="s">
        <v>23</v>
      </c>
      <c r="G1628" s="10" t="s">
        <v>49</v>
      </c>
      <c r="H1628" s="10" t="s">
        <v>32</v>
      </c>
      <c r="I1628" s="45">
        <v>3349</v>
      </c>
      <c r="J1628" s="11">
        <v>0.309</v>
      </c>
      <c r="K1628" s="45">
        <f t="shared" si="176"/>
        <v>2314.1590000000001</v>
      </c>
      <c r="L1628" s="10">
        <v>14</v>
      </c>
      <c r="M1628" s="10">
        <v>4.2</v>
      </c>
      <c r="N1628" s="10" t="b">
        <v>0</v>
      </c>
      <c r="O1628" s="41"/>
      <c r="P1628" s="45">
        <f t="shared" si="177"/>
        <v>971.94677999999999</v>
      </c>
      <c r="Q1628" s="45">
        <f t="shared" si="178"/>
        <v>1342.2122200000001</v>
      </c>
      <c r="R1628" s="45">
        <v>0</v>
      </c>
      <c r="S1628" s="45">
        <f t="shared" si="179"/>
        <v>0</v>
      </c>
      <c r="T1628" s="45">
        <f t="shared" si="180"/>
        <v>0</v>
      </c>
      <c r="U1628" s="47">
        <f t="shared" si="181"/>
        <v>1342.2122200000001</v>
      </c>
    </row>
    <row r="1629" spans="1:21" x14ac:dyDescent="0.3">
      <c r="A1629" s="41" t="str">
        <f t="shared" si="175"/>
        <v>PBANTO</v>
      </c>
      <c r="B1629" s="43">
        <v>45821</v>
      </c>
      <c r="C1629" s="10" t="s">
        <v>1671</v>
      </c>
      <c r="D1629" s="10" t="s">
        <v>21</v>
      </c>
      <c r="E1629" s="10" t="s">
        <v>9</v>
      </c>
      <c r="F1629" s="10" t="s">
        <v>11</v>
      </c>
      <c r="G1629" s="10" t="s">
        <v>27</v>
      </c>
      <c r="H1629" s="10" t="s">
        <v>56</v>
      </c>
      <c r="I1629" s="45">
        <v>1535</v>
      </c>
      <c r="J1629" s="11">
        <v>0.309</v>
      </c>
      <c r="K1629" s="45">
        <f t="shared" si="176"/>
        <v>1060.6850000000002</v>
      </c>
      <c r="L1629" s="10">
        <v>17</v>
      </c>
      <c r="M1629" s="10">
        <v>2.5</v>
      </c>
      <c r="N1629" s="10" t="b">
        <v>0</v>
      </c>
      <c r="O1629" s="41"/>
      <c r="P1629" s="45">
        <f t="shared" si="177"/>
        <v>445.48770000000007</v>
      </c>
      <c r="Q1629" s="45">
        <f t="shared" si="178"/>
        <v>615.19730000000004</v>
      </c>
      <c r="R1629" s="45">
        <v>0</v>
      </c>
      <c r="S1629" s="45">
        <f t="shared" si="179"/>
        <v>0</v>
      </c>
      <c r="T1629" s="45">
        <f t="shared" si="180"/>
        <v>0</v>
      </c>
      <c r="U1629" s="47">
        <f t="shared" si="181"/>
        <v>615.19730000000004</v>
      </c>
    </row>
    <row r="1630" spans="1:21" x14ac:dyDescent="0.3">
      <c r="A1630" s="41" t="str">
        <f t="shared" si="175"/>
        <v>PUNIOU</v>
      </c>
      <c r="B1630" s="43">
        <v>45821</v>
      </c>
      <c r="C1630" s="10" t="s">
        <v>1672</v>
      </c>
      <c r="D1630" s="10" t="s">
        <v>10</v>
      </c>
      <c r="E1630" s="10" t="s">
        <v>2</v>
      </c>
      <c r="F1630" s="10" t="s">
        <v>54</v>
      </c>
      <c r="G1630" s="10" t="s">
        <v>49</v>
      </c>
      <c r="H1630" s="10" t="s">
        <v>32</v>
      </c>
      <c r="I1630" s="45">
        <v>4189</v>
      </c>
      <c r="J1630" s="11">
        <v>0.57999999999999996</v>
      </c>
      <c r="K1630" s="45">
        <f t="shared" si="176"/>
        <v>1759.38</v>
      </c>
      <c r="L1630" s="10">
        <v>21</v>
      </c>
      <c r="M1630" s="10">
        <v>2.6</v>
      </c>
      <c r="N1630" s="10" t="b">
        <v>0</v>
      </c>
      <c r="O1630" s="41"/>
      <c r="P1630" s="45">
        <f t="shared" si="177"/>
        <v>738.93960000000004</v>
      </c>
      <c r="Q1630" s="45">
        <f t="shared" si="178"/>
        <v>1020.4404000000001</v>
      </c>
      <c r="R1630" s="45">
        <v>0</v>
      </c>
      <c r="S1630" s="45">
        <f t="shared" si="179"/>
        <v>0</v>
      </c>
      <c r="T1630" s="45">
        <f t="shared" si="180"/>
        <v>0</v>
      </c>
      <c r="U1630" s="47">
        <f t="shared" si="181"/>
        <v>1020.4404000000001</v>
      </c>
    </row>
    <row r="1631" spans="1:21" x14ac:dyDescent="0.3">
      <c r="A1631" s="41" t="str">
        <f t="shared" si="175"/>
        <v>PMANOU</v>
      </c>
      <c r="B1631" s="43">
        <v>45822</v>
      </c>
      <c r="C1631" s="10" t="s">
        <v>1673</v>
      </c>
      <c r="D1631" s="10" t="s">
        <v>31</v>
      </c>
      <c r="E1631" s="10" t="s">
        <v>2</v>
      </c>
      <c r="F1631" s="10" t="s">
        <v>23</v>
      </c>
      <c r="G1631" s="10" t="s">
        <v>49</v>
      </c>
      <c r="H1631" s="10" t="s">
        <v>58</v>
      </c>
      <c r="I1631" s="45">
        <v>4013</v>
      </c>
      <c r="J1631" s="11">
        <v>0</v>
      </c>
      <c r="K1631" s="45">
        <f t="shared" si="176"/>
        <v>4013</v>
      </c>
      <c r="L1631" s="10">
        <v>25</v>
      </c>
      <c r="M1631" s="10">
        <v>2</v>
      </c>
      <c r="N1631" s="10" t="b">
        <v>1</v>
      </c>
      <c r="O1631" s="41" t="s">
        <v>33</v>
      </c>
      <c r="P1631" s="45">
        <f t="shared" si="177"/>
        <v>1685.46</v>
      </c>
      <c r="Q1631" s="45">
        <f t="shared" si="178"/>
        <v>2327.54</v>
      </c>
      <c r="R1631" s="45">
        <v>150</v>
      </c>
      <c r="S1631" s="45">
        <f t="shared" si="179"/>
        <v>401.3</v>
      </c>
      <c r="T1631" s="45">
        <f t="shared" si="180"/>
        <v>4013</v>
      </c>
      <c r="U1631" s="47">
        <f t="shared" si="181"/>
        <v>-2236.7600000000002</v>
      </c>
    </row>
    <row r="1632" spans="1:21" x14ac:dyDescent="0.3">
      <c r="A1632" s="41" t="str">
        <f t="shared" si="175"/>
        <v>PUNIAC</v>
      </c>
      <c r="B1632" s="43">
        <v>45822</v>
      </c>
      <c r="C1632" s="10" t="s">
        <v>1674</v>
      </c>
      <c r="D1632" s="10" t="s">
        <v>10</v>
      </c>
      <c r="E1632" s="10" t="s">
        <v>15</v>
      </c>
      <c r="F1632" s="10" t="s">
        <v>23</v>
      </c>
      <c r="G1632" s="10" t="s">
        <v>7</v>
      </c>
      <c r="H1632" s="10" t="s">
        <v>47</v>
      </c>
      <c r="I1632" s="45">
        <v>164</v>
      </c>
      <c r="J1632" s="11">
        <v>0</v>
      </c>
      <c r="K1632" s="45">
        <f t="shared" si="176"/>
        <v>164</v>
      </c>
      <c r="L1632" s="10">
        <v>28</v>
      </c>
      <c r="M1632" s="10">
        <v>2.8</v>
      </c>
      <c r="N1632" s="10" t="b">
        <v>0</v>
      </c>
      <c r="O1632" s="41"/>
      <c r="P1632" s="45">
        <f t="shared" si="177"/>
        <v>68.88</v>
      </c>
      <c r="Q1632" s="45">
        <f t="shared" si="178"/>
        <v>95.12</v>
      </c>
      <c r="R1632" s="45">
        <v>0</v>
      </c>
      <c r="S1632" s="45">
        <f t="shared" si="179"/>
        <v>0</v>
      </c>
      <c r="T1632" s="45">
        <f t="shared" si="180"/>
        <v>0</v>
      </c>
      <c r="U1632" s="47">
        <f t="shared" si="181"/>
        <v>95.12</v>
      </c>
    </row>
    <row r="1633" spans="1:21" x14ac:dyDescent="0.3">
      <c r="A1633" s="41" t="str">
        <f t="shared" si="175"/>
        <v>PFORTO</v>
      </c>
      <c r="B1633" s="43">
        <v>45822</v>
      </c>
      <c r="C1633" s="10" t="s">
        <v>1675</v>
      </c>
      <c r="D1633" s="10" t="s">
        <v>65</v>
      </c>
      <c r="E1633" s="10" t="s">
        <v>9</v>
      </c>
      <c r="F1633" s="10" t="s">
        <v>23</v>
      </c>
      <c r="G1633" s="10" t="s">
        <v>5</v>
      </c>
      <c r="H1633" s="10" t="s">
        <v>88</v>
      </c>
      <c r="I1633" s="45">
        <v>920</v>
      </c>
      <c r="J1633" s="11">
        <v>0.17800000000000002</v>
      </c>
      <c r="K1633" s="45">
        <f t="shared" si="176"/>
        <v>756.24</v>
      </c>
      <c r="L1633" s="10">
        <v>45</v>
      </c>
      <c r="M1633" s="10">
        <v>2.4</v>
      </c>
      <c r="N1633" s="10" t="b">
        <v>0</v>
      </c>
      <c r="O1633" s="41"/>
      <c r="P1633" s="45">
        <f t="shared" si="177"/>
        <v>317.62079999999997</v>
      </c>
      <c r="Q1633" s="45">
        <f t="shared" si="178"/>
        <v>438.61920000000003</v>
      </c>
      <c r="R1633" s="45">
        <v>0</v>
      </c>
      <c r="S1633" s="45">
        <f t="shared" si="179"/>
        <v>0</v>
      </c>
      <c r="T1633" s="45">
        <f t="shared" si="180"/>
        <v>0</v>
      </c>
      <c r="U1633" s="47">
        <f t="shared" si="181"/>
        <v>438.61920000000003</v>
      </c>
    </row>
    <row r="1634" spans="1:21" x14ac:dyDescent="0.3">
      <c r="A1634" s="41" t="str">
        <f t="shared" si="175"/>
        <v>PZARAC</v>
      </c>
      <c r="B1634" s="43">
        <v>45822</v>
      </c>
      <c r="C1634" s="10" t="s">
        <v>1676</v>
      </c>
      <c r="D1634" s="10" t="s">
        <v>3</v>
      </c>
      <c r="E1634" s="10" t="s">
        <v>15</v>
      </c>
      <c r="F1634" s="10" t="s">
        <v>4</v>
      </c>
      <c r="G1634" s="10" t="s">
        <v>7</v>
      </c>
      <c r="H1634" s="10" t="s">
        <v>6</v>
      </c>
      <c r="I1634" s="45">
        <v>283</v>
      </c>
      <c r="J1634" s="11">
        <v>0</v>
      </c>
      <c r="K1634" s="45">
        <f t="shared" si="176"/>
        <v>283</v>
      </c>
      <c r="L1634" s="10">
        <v>38</v>
      </c>
      <c r="M1634" s="10">
        <v>2.8</v>
      </c>
      <c r="N1634" s="10" t="b">
        <v>0</v>
      </c>
      <c r="O1634" s="41"/>
      <c r="P1634" s="45">
        <f t="shared" si="177"/>
        <v>118.86</v>
      </c>
      <c r="Q1634" s="45">
        <f t="shared" si="178"/>
        <v>164.14</v>
      </c>
      <c r="R1634" s="45">
        <v>0</v>
      </c>
      <c r="S1634" s="45">
        <f t="shared" si="179"/>
        <v>0</v>
      </c>
      <c r="T1634" s="45">
        <f t="shared" si="180"/>
        <v>0</v>
      </c>
      <c r="U1634" s="47">
        <f t="shared" si="181"/>
        <v>164.14</v>
      </c>
    </row>
    <row r="1635" spans="1:21" x14ac:dyDescent="0.3">
      <c r="A1635" s="41" t="str">
        <f t="shared" si="175"/>
        <v>PUNISH</v>
      </c>
      <c r="B1635" s="43">
        <v>45823</v>
      </c>
      <c r="C1635" s="10" t="s">
        <v>1677</v>
      </c>
      <c r="D1635" s="10" t="s">
        <v>10</v>
      </c>
      <c r="E1635" s="10" t="s">
        <v>18</v>
      </c>
      <c r="F1635" s="10" t="s">
        <v>4</v>
      </c>
      <c r="G1635" s="10" t="s">
        <v>27</v>
      </c>
      <c r="H1635" s="10" t="s">
        <v>28</v>
      </c>
      <c r="I1635" s="45">
        <v>3859</v>
      </c>
      <c r="J1635" s="11">
        <v>0.109</v>
      </c>
      <c r="K1635" s="45">
        <f t="shared" si="176"/>
        <v>3438.3690000000001</v>
      </c>
      <c r="L1635" s="10">
        <v>44</v>
      </c>
      <c r="M1635" s="10">
        <v>1.3</v>
      </c>
      <c r="N1635" s="10" t="b">
        <v>0</v>
      </c>
      <c r="O1635" s="41"/>
      <c r="P1635" s="45">
        <f t="shared" si="177"/>
        <v>1444.1149800000001</v>
      </c>
      <c r="Q1635" s="45">
        <f t="shared" si="178"/>
        <v>1994.2540200000001</v>
      </c>
      <c r="R1635" s="45">
        <v>0</v>
      </c>
      <c r="S1635" s="45">
        <f t="shared" si="179"/>
        <v>0</v>
      </c>
      <c r="T1635" s="45">
        <f t="shared" si="180"/>
        <v>0</v>
      </c>
      <c r="U1635" s="47">
        <f t="shared" si="181"/>
        <v>1994.2540200000001</v>
      </c>
    </row>
    <row r="1636" spans="1:21" x14ac:dyDescent="0.3">
      <c r="A1636" s="41" t="str">
        <f t="shared" si="175"/>
        <v>PGAPTO</v>
      </c>
      <c r="B1636" s="43">
        <v>45823</v>
      </c>
      <c r="C1636" s="10" t="s">
        <v>1678</v>
      </c>
      <c r="D1636" s="10" t="s">
        <v>53</v>
      </c>
      <c r="E1636" s="10" t="s">
        <v>9</v>
      </c>
      <c r="F1636" s="10" t="s">
        <v>4</v>
      </c>
      <c r="G1636" s="10" t="s">
        <v>5</v>
      </c>
      <c r="H1636" s="10" t="s">
        <v>28</v>
      </c>
      <c r="I1636" s="45">
        <v>1525</v>
      </c>
      <c r="J1636" s="11">
        <v>0</v>
      </c>
      <c r="K1636" s="45">
        <f t="shared" si="176"/>
        <v>1525</v>
      </c>
      <c r="L1636" s="10">
        <v>20</v>
      </c>
      <c r="M1636" s="10">
        <v>2.2000000000000002</v>
      </c>
      <c r="N1636" s="10" t="b">
        <v>1</v>
      </c>
      <c r="O1636" s="41" t="s">
        <v>24</v>
      </c>
      <c r="P1636" s="45">
        <f t="shared" si="177"/>
        <v>640.5</v>
      </c>
      <c r="Q1636" s="45">
        <f t="shared" si="178"/>
        <v>884.5</v>
      </c>
      <c r="R1636" s="45">
        <v>150</v>
      </c>
      <c r="S1636" s="45">
        <f t="shared" si="179"/>
        <v>152.5</v>
      </c>
      <c r="T1636" s="45">
        <f t="shared" si="180"/>
        <v>1525</v>
      </c>
      <c r="U1636" s="47">
        <f t="shared" si="181"/>
        <v>-943</v>
      </c>
    </row>
    <row r="1637" spans="1:21" x14ac:dyDescent="0.3">
      <c r="A1637" s="41" t="str">
        <f t="shared" si="175"/>
        <v>PUNIOU</v>
      </c>
      <c r="B1637" s="43">
        <v>45823</v>
      </c>
      <c r="C1637" s="10" t="s">
        <v>1679</v>
      </c>
      <c r="D1637" s="10" t="s">
        <v>10</v>
      </c>
      <c r="E1637" s="10" t="s">
        <v>2</v>
      </c>
      <c r="F1637" s="10" t="s">
        <v>54</v>
      </c>
      <c r="G1637" s="10" t="s">
        <v>38</v>
      </c>
      <c r="H1637" s="10" t="s">
        <v>6</v>
      </c>
      <c r="I1637" s="45">
        <v>3856</v>
      </c>
      <c r="J1637" s="11">
        <v>0.441</v>
      </c>
      <c r="K1637" s="45">
        <f t="shared" si="176"/>
        <v>2155.5039999999999</v>
      </c>
      <c r="L1637" s="10">
        <v>44</v>
      </c>
      <c r="M1637" s="10"/>
      <c r="N1637" s="10" t="b">
        <v>0</v>
      </c>
      <c r="O1637" s="41"/>
      <c r="P1637" s="45">
        <f t="shared" si="177"/>
        <v>905.31167999999991</v>
      </c>
      <c r="Q1637" s="45">
        <f t="shared" si="178"/>
        <v>1250.1923200000001</v>
      </c>
      <c r="R1637" s="45">
        <v>0</v>
      </c>
      <c r="S1637" s="45">
        <f t="shared" si="179"/>
        <v>0</v>
      </c>
      <c r="T1637" s="45">
        <f t="shared" si="180"/>
        <v>0</v>
      </c>
      <c r="U1637" s="47">
        <f t="shared" si="181"/>
        <v>1250.1923200000001</v>
      </c>
    </row>
    <row r="1638" spans="1:21" x14ac:dyDescent="0.3">
      <c r="A1638" s="41" t="str">
        <f t="shared" si="175"/>
        <v>PBANTO</v>
      </c>
      <c r="B1638" s="43">
        <v>45823</v>
      </c>
      <c r="C1638" s="10" t="s">
        <v>1680</v>
      </c>
      <c r="D1638" s="10" t="s">
        <v>21</v>
      </c>
      <c r="E1638" s="10" t="s">
        <v>9</v>
      </c>
      <c r="F1638" s="10" t="s">
        <v>4</v>
      </c>
      <c r="G1638" s="10" t="s">
        <v>38</v>
      </c>
      <c r="H1638" s="10" t="s">
        <v>6</v>
      </c>
      <c r="I1638" s="45">
        <v>1212</v>
      </c>
      <c r="J1638" s="11">
        <v>0.45899999999999996</v>
      </c>
      <c r="K1638" s="45">
        <f t="shared" si="176"/>
        <v>655.69200000000001</v>
      </c>
      <c r="L1638" s="10">
        <v>47</v>
      </c>
      <c r="M1638" s="10">
        <v>3.7</v>
      </c>
      <c r="N1638" s="10" t="b">
        <v>0</v>
      </c>
      <c r="O1638" s="41"/>
      <c r="P1638" s="45">
        <f t="shared" si="177"/>
        <v>275.39064000000002</v>
      </c>
      <c r="Q1638" s="45">
        <f t="shared" si="178"/>
        <v>380.30135999999999</v>
      </c>
      <c r="R1638" s="45">
        <v>0</v>
      </c>
      <c r="S1638" s="45">
        <f t="shared" si="179"/>
        <v>0</v>
      </c>
      <c r="T1638" s="45">
        <f t="shared" si="180"/>
        <v>0</v>
      </c>
      <c r="U1638" s="47">
        <f t="shared" si="181"/>
        <v>380.30135999999999</v>
      </c>
    </row>
    <row r="1639" spans="1:21" x14ac:dyDescent="0.3">
      <c r="A1639" s="41" t="str">
        <f t="shared" si="175"/>
        <v>PANNAC</v>
      </c>
      <c r="B1639" s="43">
        <v>45824</v>
      </c>
      <c r="C1639" s="10" t="s">
        <v>1681</v>
      </c>
      <c r="D1639" s="10" t="s">
        <v>42</v>
      </c>
      <c r="E1639" s="10" t="s">
        <v>15</v>
      </c>
      <c r="F1639" s="10" t="s">
        <v>23</v>
      </c>
      <c r="G1639" s="10" t="s">
        <v>7</v>
      </c>
      <c r="H1639" s="10" t="s">
        <v>16</v>
      </c>
      <c r="I1639" s="45">
        <v>271</v>
      </c>
      <c r="J1639" s="11">
        <v>0.45500000000000002</v>
      </c>
      <c r="K1639" s="45">
        <f t="shared" si="176"/>
        <v>147.69499999999999</v>
      </c>
      <c r="L1639" s="10">
        <v>50</v>
      </c>
      <c r="M1639" s="10">
        <v>2.2000000000000002</v>
      </c>
      <c r="N1639" s="10" t="b">
        <v>0</v>
      </c>
      <c r="O1639" s="41"/>
      <c r="P1639" s="45">
        <f t="shared" si="177"/>
        <v>62.031899999999993</v>
      </c>
      <c r="Q1639" s="45">
        <f t="shared" si="178"/>
        <v>85.6631</v>
      </c>
      <c r="R1639" s="45">
        <v>0</v>
      </c>
      <c r="S1639" s="45">
        <f t="shared" si="179"/>
        <v>0</v>
      </c>
      <c r="T1639" s="45">
        <f t="shared" si="180"/>
        <v>0</v>
      </c>
      <c r="U1639" s="47">
        <f t="shared" si="181"/>
        <v>85.6631</v>
      </c>
    </row>
    <row r="1640" spans="1:21" x14ac:dyDescent="0.3">
      <c r="A1640" s="41" t="str">
        <f t="shared" si="175"/>
        <v>PH&amp;MOU</v>
      </c>
      <c r="B1640" s="43">
        <v>45824</v>
      </c>
      <c r="C1640" s="10" t="s">
        <v>1682</v>
      </c>
      <c r="D1640" s="10" t="s">
        <v>37</v>
      </c>
      <c r="E1640" s="10" t="s">
        <v>2</v>
      </c>
      <c r="F1640" s="10" t="s">
        <v>23</v>
      </c>
      <c r="G1640" s="10" t="s">
        <v>49</v>
      </c>
      <c r="H1640" s="10" t="s">
        <v>47</v>
      </c>
      <c r="I1640" s="45">
        <v>3382</v>
      </c>
      <c r="J1640" s="11">
        <v>3.6000000000000004E-2</v>
      </c>
      <c r="K1640" s="45">
        <f t="shared" si="176"/>
        <v>3260.248</v>
      </c>
      <c r="L1640" s="10">
        <v>18</v>
      </c>
      <c r="M1640" s="10">
        <v>4.0999999999999996</v>
      </c>
      <c r="N1640" s="10" t="b">
        <v>1</v>
      </c>
      <c r="O1640" s="41" t="s">
        <v>44</v>
      </c>
      <c r="P1640" s="45">
        <f t="shared" si="177"/>
        <v>1369.3041599999999</v>
      </c>
      <c r="Q1640" s="45">
        <f t="shared" si="178"/>
        <v>1890.9438400000001</v>
      </c>
      <c r="R1640" s="45">
        <v>150</v>
      </c>
      <c r="S1640" s="45">
        <f t="shared" si="179"/>
        <v>326.02480000000003</v>
      </c>
      <c r="T1640" s="45">
        <f t="shared" si="180"/>
        <v>3260.248</v>
      </c>
      <c r="U1640" s="47">
        <f t="shared" si="181"/>
        <v>-1845.3289599999998</v>
      </c>
    </row>
    <row r="1641" spans="1:21" x14ac:dyDescent="0.3">
      <c r="A1641" s="41" t="str">
        <f t="shared" si="175"/>
        <v>PMANAC</v>
      </c>
      <c r="B1641" s="43">
        <v>45824</v>
      </c>
      <c r="C1641" s="10" t="s">
        <v>1683</v>
      </c>
      <c r="D1641" s="10" t="s">
        <v>31</v>
      </c>
      <c r="E1641" s="10" t="s">
        <v>15</v>
      </c>
      <c r="F1641" s="10" t="s">
        <v>11</v>
      </c>
      <c r="G1641" s="10" t="s">
        <v>7</v>
      </c>
      <c r="H1641" s="10" t="s">
        <v>88</v>
      </c>
      <c r="I1641" s="45">
        <v>181</v>
      </c>
      <c r="J1641" s="11">
        <v>0</v>
      </c>
      <c r="K1641" s="45">
        <f t="shared" si="176"/>
        <v>181</v>
      </c>
      <c r="L1641" s="10">
        <v>0</v>
      </c>
      <c r="M1641" s="10">
        <v>1.6</v>
      </c>
      <c r="N1641" s="10" t="b">
        <v>1</v>
      </c>
      <c r="O1641" s="41" t="s">
        <v>24</v>
      </c>
      <c r="P1641" s="45">
        <f t="shared" si="177"/>
        <v>76.02</v>
      </c>
      <c r="Q1641" s="45">
        <f t="shared" si="178"/>
        <v>104.98</v>
      </c>
      <c r="R1641" s="45">
        <v>150</v>
      </c>
      <c r="S1641" s="45">
        <f t="shared" si="179"/>
        <v>18.100000000000001</v>
      </c>
      <c r="T1641" s="45">
        <f t="shared" si="180"/>
        <v>181</v>
      </c>
      <c r="U1641" s="47">
        <f t="shared" si="181"/>
        <v>-244.12</v>
      </c>
    </row>
    <row r="1642" spans="1:21" x14ac:dyDescent="0.3">
      <c r="A1642" s="41" t="str">
        <f t="shared" si="175"/>
        <v>PANNOU</v>
      </c>
      <c r="B1642" s="43">
        <v>45825</v>
      </c>
      <c r="C1642" s="10" t="s">
        <v>1684</v>
      </c>
      <c r="D1642" s="10" t="s">
        <v>42</v>
      </c>
      <c r="E1642" s="10" t="s">
        <v>2</v>
      </c>
      <c r="F1642" s="10" t="s">
        <v>4</v>
      </c>
      <c r="G1642" s="10" t="s">
        <v>38</v>
      </c>
      <c r="H1642" s="10" t="s">
        <v>47</v>
      </c>
      <c r="I1642" s="45">
        <v>3424</v>
      </c>
      <c r="J1642" s="11">
        <v>0</v>
      </c>
      <c r="K1642" s="45">
        <f t="shared" si="176"/>
        <v>3424</v>
      </c>
      <c r="L1642" s="10">
        <v>13</v>
      </c>
      <c r="M1642" s="10">
        <v>1.2</v>
      </c>
      <c r="N1642" s="10" t="b">
        <v>1</v>
      </c>
      <c r="O1642" s="41" t="s">
        <v>44</v>
      </c>
      <c r="P1642" s="45">
        <f t="shared" si="177"/>
        <v>1438.08</v>
      </c>
      <c r="Q1642" s="45">
        <f t="shared" si="178"/>
        <v>1985.92</v>
      </c>
      <c r="R1642" s="45">
        <v>150</v>
      </c>
      <c r="S1642" s="45">
        <f t="shared" si="179"/>
        <v>342.40000000000003</v>
      </c>
      <c r="T1642" s="45">
        <f t="shared" si="180"/>
        <v>3424</v>
      </c>
      <c r="U1642" s="47">
        <f t="shared" si="181"/>
        <v>-1930.48</v>
      </c>
    </row>
    <row r="1643" spans="1:21" x14ac:dyDescent="0.3">
      <c r="A1643" s="41" t="str">
        <f t="shared" si="175"/>
        <v>PUNIAC</v>
      </c>
      <c r="B1643" s="43">
        <v>45825</v>
      </c>
      <c r="C1643" s="10" t="s">
        <v>1685</v>
      </c>
      <c r="D1643" s="10" t="s">
        <v>10</v>
      </c>
      <c r="E1643" s="10" t="s">
        <v>15</v>
      </c>
      <c r="F1643" s="10" t="s">
        <v>54</v>
      </c>
      <c r="G1643" s="10" t="s">
        <v>7</v>
      </c>
      <c r="H1643" s="10" t="s">
        <v>13</v>
      </c>
      <c r="I1643" s="45">
        <v>158</v>
      </c>
      <c r="J1643" s="11">
        <v>0</v>
      </c>
      <c r="K1643" s="45">
        <f t="shared" si="176"/>
        <v>158</v>
      </c>
      <c r="L1643" s="10">
        <v>32</v>
      </c>
      <c r="M1643" s="10">
        <v>3.1</v>
      </c>
      <c r="N1643" s="10" t="b">
        <v>0</v>
      </c>
      <c r="O1643" s="41"/>
      <c r="P1643" s="45">
        <f t="shared" si="177"/>
        <v>66.36</v>
      </c>
      <c r="Q1643" s="45">
        <f t="shared" si="178"/>
        <v>91.64</v>
      </c>
      <c r="R1643" s="45">
        <v>0</v>
      </c>
      <c r="S1643" s="45">
        <f t="shared" si="179"/>
        <v>0</v>
      </c>
      <c r="T1643" s="45">
        <f t="shared" si="180"/>
        <v>0</v>
      </c>
      <c r="U1643" s="47">
        <f t="shared" si="181"/>
        <v>91.64</v>
      </c>
    </row>
    <row r="1644" spans="1:21" x14ac:dyDescent="0.3">
      <c r="A1644" s="41" t="str">
        <f t="shared" si="175"/>
        <v>PH&amp;MDR</v>
      </c>
      <c r="B1644" s="43">
        <v>45825</v>
      </c>
      <c r="C1644" s="10" t="s">
        <v>1686</v>
      </c>
      <c r="D1644" s="10" t="s">
        <v>37</v>
      </c>
      <c r="E1644" s="10" t="s">
        <v>30</v>
      </c>
      <c r="F1644" s="10" t="s">
        <v>54</v>
      </c>
      <c r="G1644" s="10" t="s">
        <v>49</v>
      </c>
      <c r="H1644" s="10" t="s">
        <v>28</v>
      </c>
      <c r="I1644" s="45">
        <v>2042</v>
      </c>
      <c r="J1644" s="11">
        <v>0</v>
      </c>
      <c r="K1644" s="45">
        <f t="shared" si="176"/>
        <v>2042</v>
      </c>
      <c r="L1644" s="10">
        <v>43</v>
      </c>
      <c r="M1644" s="10">
        <v>3.8</v>
      </c>
      <c r="N1644" s="10" t="b">
        <v>0</v>
      </c>
      <c r="O1644" s="41"/>
      <c r="P1644" s="45">
        <f t="shared" si="177"/>
        <v>857.64</v>
      </c>
      <c r="Q1644" s="45">
        <f t="shared" si="178"/>
        <v>1184.3600000000001</v>
      </c>
      <c r="R1644" s="45">
        <v>0</v>
      </c>
      <c r="S1644" s="45">
        <f t="shared" si="179"/>
        <v>0</v>
      </c>
      <c r="T1644" s="45">
        <f t="shared" si="180"/>
        <v>0</v>
      </c>
      <c r="U1644" s="47">
        <f t="shared" si="181"/>
        <v>1184.3600000000001</v>
      </c>
    </row>
    <row r="1645" spans="1:21" x14ac:dyDescent="0.3">
      <c r="A1645" s="41" t="str">
        <f t="shared" si="175"/>
        <v>PUNITO</v>
      </c>
      <c r="B1645" s="43">
        <v>45825</v>
      </c>
      <c r="C1645" s="10" t="s">
        <v>1687</v>
      </c>
      <c r="D1645" s="10" t="s">
        <v>10</v>
      </c>
      <c r="E1645" s="10" t="s">
        <v>9</v>
      </c>
      <c r="F1645" s="10" t="s">
        <v>4</v>
      </c>
      <c r="G1645" s="10" t="s">
        <v>38</v>
      </c>
      <c r="H1645" s="10" t="s">
        <v>58</v>
      </c>
      <c r="I1645" s="45">
        <v>1271</v>
      </c>
      <c r="J1645" s="11">
        <v>0.10099999999999999</v>
      </c>
      <c r="K1645" s="45">
        <f t="shared" si="176"/>
        <v>1142.6290000000001</v>
      </c>
      <c r="L1645" s="10">
        <v>5</v>
      </c>
      <c r="M1645" s="10">
        <v>3.8</v>
      </c>
      <c r="N1645" s="10" t="b">
        <v>0</v>
      </c>
      <c r="O1645" s="41"/>
      <c r="P1645" s="45">
        <f t="shared" si="177"/>
        <v>479.90418000000005</v>
      </c>
      <c r="Q1645" s="45">
        <f t="shared" si="178"/>
        <v>662.72482000000014</v>
      </c>
      <c r="R1645" s="45">
        <v>0</v>
      </c>
      <c r="S1645" s="45">
        <f t="shared" si="179"/>
        <v>0</v>
      </c>
      <c r="T1645" s="45">
        <f t="shared" si="180"/>
        <v>0</v>
      </c>
      <c r="U1645" s="47">
        <f t="shared" si="181"/>
        <v>662.72482000000014</v>
      </c>
    </row>
    <row r="1646" spans="1:21" x14ac:dyDescent="0.3">
      <c r="A1646" s="41" t="str">
        <f t="shared" si="175"/>
        <v>PH&amp;MTO</v>
      </c>
      <c r="B1646" s="43">
        <v>45826</v>
      </c>
      <c r="C1646" s="10" t="s">
        <v>1688</v>
      </c>
      <c r="D1646" s="10" t="s">
        <v>37</v>
      </c>
      <c r="E1646" s="10" t="s">
        <v>9</v>
      </c>
      <c r="F1646" s="10" t="s">
        <v>54</v>
      </c>
      <c r="G1646" s="10" t="s">
        <v>49</v>
      </c>
      <c r="H1646" s="10" t="s">
        <v>16</v>
      </c>
      <c r="I1646" s="45">
        <v>1132</v>
      </c>
      <c r="J1646" s="11">
        <v>0.28999999999999998</v>
      </c>
      <c r="K1646" s="45">
        <f t="shared" si="176"/>
        <v>803.71999999999991</v>
      </c>
      <c r="L1646" s="10">
        <v>19</v>
      </c>
      <c r="M1646" s="10">
        <v>1</v>
      </c>
      <c r="N1646" s="10" t="b">
        <v>0</v>
      </c>
      <c r="O1646" s="41"/>
      <c r="P1646" s="45">
        <f t="shared" si="177"/>
        <v>337.56239999999997</v>
      </c>
      <c r="Q1646" s="45">
        <f t="shared" si="178"/>
        <v>466.15759999999995</v>
      </c>
      <c r="R1646" s="45">
        <v>0</v>
      </c>
      <c r="S1646" s="45">
        <f t="shared" si="179"/>
        <v>0</v>
      </c>
      <c r="T1646" s="45">
        <f t="shared" si="180"/>
        <v>0</v>
      </c>
      <c r="U1646" s="47">
        <f t="shared" si="181"/>
        <v>466.15759999999995</v>
      </c>
    </row>
    <row r="1647" spans="1:21" x14ac:dyDescent="0.3">
      <c r="A1647" s="41" t="str">
        <f t="shared" si="175"/>
        <v>PMANOU</v>
      </c>
      <c r="B1647" s="43">
        <v>45826</v>
      </c>
      <c r="C1647" s="10" t="s">
        <v>1689</v>
      </c>
      <c r="D1647" s="10" t="s">
        <v>31</v>
      </c>
      <c r="E1647" s="10" t="s">
        <v>2</v>
      </c>
      <c r="F1647" s="10" t="s">
        <v>4</v>
      </c>
      <c r="G1647" s="10" t="s">
        <v>49</v>
      </c>
      <c r="H1647" s="10" t="s">
        <v>56</v>
      </c>
      <c r="I1647" s="45">
        <v>3850</v>
      </c>
      <c r="J1647" s="11">
        <v>0</v>
      </c>
      <c r="K1647" s="45">
        <f t="shared" si="176"/>
        <v>3850</v>
      </c>
      <c r="L1647" s="10">
        <v>25</v>
      </c>
      <c r="M1647" s="10">
        <v>1.8</v>
      </c>
      <c r="N1647" s="10" t="b">
        <v>1</v>
      </c>
      <c r="O1647" s="41" t="s">
        <v>33</v>
      </c>
      <c r="P1647" s="45">
        <f t="shared" si="177"/>
        <v>1617</v>
      </c>
      <c r="Q1647" s="45">
        <f t="shared" si="178"/>
        <v>2233</v>
      </c>
      <c r="R1647" s="45">
        <v>150</v>
      </c>
      <c r="S1647" s="45">
        <f t="shared" si="179"/>
        <v>385</v>
      </c>
      <c r="T1647" s="45">
        <f t="shared" si="180"/>
        <v>3850</v>
      </c>
      <c r="U1647" s="47">
        <f t="shared" si="181"/>
        <v>-2152</v>
      </c>
    </row>
    <row r="1648" spans="1:21" x14ac:dyDescent="0.3">
      <c r="A1648" s="41" t="str">
        <f t="shared" si="175"/>
        <v>PH&amp;MOU</v>
      </c>
      <c r="B1648" s="43">
        <v>45826</v>
      </c>
      <c r="C1648" s="10" t="s">
        <v>1690</v>
      </c>
      <c r="D1648" s="10" t="s">
        <v>37</v>
      </c>
      <c r="E1648" s="10" t="s">
        <v>2</v>
      </c>
      <c r="F1648" s="10" t="s">
        <v>11</v>
      </c>
      <c r="G1648" s="10" t="s">
        <v>38</v>
      </c>
      <c r="H1648" s="10" t="s">
        <v>16</v>
      </c>
      <c r="I1648" s="45">
        <v>4159</v>
      </c>
      <c r="J1648" s="11">
        <v>0.34600000000000003</v>
      </c>
      <c r="K1648" s="45">
        <f t="shared" si="176"/>
        <v>2719.9859999999994</v>
      </c>
      <c r="L1648" s="10">
        <v>26</v>
      </c>
      <c r="M1648" s="10"/>
      <c r="N1648" s="10" t="b">
        <v>0</v>
      </c>
      <c r="O1648" s="41"/>
      <c r="P1648" s="45">
        <f t="shared" si="177"/>
        <v>1142.3941199999997</v>
      </c>
      <c r="Q1648" s="45">
        <f t="shared" si="178"/>
        <v>1577.5918799999997</v>
      </c>
      <c r="R1648" s="45">
        <v>0</v>
      </c>
      <c r="S1648" s="45">
        <f t="shared" si="179"/>
        <v>0</v>
      </c>
      <c r="T1648" s="45">
        <f t="shared" si="180"/>
        <v>0</v>
      </c>
      <c r="U1648" s="47">
        <f t="shared" si="181"/>
        <v>1577.5918799999997</v>
      </c>
    </row>
    <row r="1649" spans="1:21" x14ac:dyDescent="0.3">
      <c r="A1649" s="41" t="str">
        <f t="shared" si="175"/>
        <v>PBANSH</v>
      </c>
      <c r="B1649" s="43">
        <v>45826</v>
      </c>
      <c r="C1649" s="10" t="s">
        <v>1691</v>
      </c>
      <c r="D1649" s="10" t="s">
        <v>21</v>
      </c>
      <c r="E1649" s="10" t="s">
        <v>18</v>
      </c>
      <c r="F1649" s="10" t="s">
        <v>4</v>
      </c>
      <c r="G1649" s="10" t="s">
        <v>49</v>
      </c>
      <c r="H1649" s="10" t="s">
        <v>16</v>
      </c>
      <c r="I1649" s="45">
        <v>3276</v>
      </c>
      <c r="J1649" s="11">
        <v>0.40200000000000002</v>
      </c>
      <c r="K1649" s="45">
        <f t="shared" si="176"/>
        <v>1959.048</v>
      </c>
      <c r="L1649" s="10">
        <v>23</v>
      </c>
      <c r="M1649" s="10">
        <v>3.1</v>
      </c>
      <c r="N1649" s="10" t="b">
        <v>0</v>
      </c>
      <c r="O1649" s="41"/>
      <c r="P1649" s="45">
        <f t="shared" si="177"/>
        <v>822.80016000000001</v>
      </c>
      <c r="Q1649" s="45">
        <f t="shared" si="178"/>
        <v>1136.24784</v>
      </c>
      <c r="R1649" s="45">
        <v>0</v>
      </c>
      <c r="S1649" s="45">
        <f t="shared" si="179"/>
        <v>0</v>
      </c>
      <c r="T1649" s="45">
        <f t="shared" si="180"/>
        <v>0</v>
      </c>
      <c r="U1649" s="47">
        <f t="shared" si="181"/>
        <v>1136.24784</v>
      </c>
    </row>
    <row r="1650" spans="1:21" x14ac:dyDescent="0.3">
      <c r="A1650" s="41" t="str">
        <f t="shared" si="175"/>
        <v>PZARSH</v>
      </c>
      <c r="B1650" s="43">
        <v>45827</v>
      </c>
      <c r="C1650" s="10" t="s">
        <v>1692</v>
      </c>
      <c r="D1650" s="10" t="s">
        <v>3</v>
      </c>
      <c r="E1650" s="10" t="s">
        <v>18</v>
      </c>
      <c r="F1650" s="10" t="s">
        <v>11</v>
      </c>
      <c r="G1650" s="10" t="s">
        <v>12</v>
      </c>
      <c r="H1650" s="10" t="s">
        <v>16</v>
      </c>
      <c r="I1650" s="45">
        <v>3939</v>
      </c>
      <c r="J1650" s="11">
        <v>7.8E-2</v>
      </c>
      <c r="K1650" s="45">
        <f t="shared" si="176"/>
        <v>3631.7580000000003</v>
      </c>
      <c r="L1650" s="10">
        <v>20</v>
      </c>
      <c r="M1650" s="10">
        <v>3.1</v>
      </c>
      <c r="N1650" s="10" t="b">
        <v>0</v>
      </c>
      <c r="O1650" s="41"/>
      <c r="P1650" s="45">
        <f t="shared" si="177"/>
        <v>1525.33836</v>
      </c>
      <c r="Q1650" s="45">
        <f t="shared" si="178"/>
        <v>2106.4196400000001</v>
      </c>
      <c r="R1650" s="45">
        <v>0</v>
      </c>
      <c r="S1650" s="45">
        <f t="shared" si="179"/>
        <v>0</v>
      </c>
      <c r="T1650" s="45">
        <f t="shared" si="180"/>
        <v>0</v>
      </c>
      <c r="U1650" s="47">
        <f t="shared" si="181"/>
        <v>2106.4196400000001</v>
      </c>
    </row>
    <row r="1651" spans="1:21" x14ac:dyDescent="0.3">
      <c r="A1651" s="41" t="str">
        <f t="shared" si="175"/>
        <v>PFORDR</v>
      </c>
      <c r="B1651" s="43">
        <v>45827</v>
      </c>
      <c r="C1651" s="10" t="s">
        <v>1693</v>
      </c>
      <c r="D1651" s="10" t="s">
        <v>65</v>
      </c>
      <c r="E1651" s="10" t="s">
        <v>30</v>
      </c>
      <c r="F1651" s="10" t="s">
        <v>11</v>
      </c>
      <c r="G1651" s="10" t="s">
        <v>49</v>
      </c>
      <c r="H1651" s="10" t="s">
        <v>43</v>
      </c>
      <c r="I1651" s="45">
        <v>2310</v>
      </c>
      <c r="J1651" s="11">
        <v>4.8000000000000001E-2</v>
      </c>
      <c r="K1651" s="45">
        <f t="shared" si="176"/>
        <v>2199.12</v>
      </c>
      <c r="L1651" s="10">
        <v>24</v>
      </c>
      <c r="M1651" s="10">
        <v>1.7</v>
      </c>
      <c r="N1651" s="10" t="b">
        <v>1</v>
      </c>
      <c r="O1651" s="41" t="s">
        <v>33</v>
      </c>
      <c r="P1651" s="45">
        <f t="shared" si="177"/>
        <v>923.6303999999999</v>
      </c>
      <c r="Q1651" s="45">
        <f t="shared" si="178"/>
        <v>1275.4895999999999</v>
      </c>
      <c r="R1651" s="45">
        <v>150</v>
      </c>
      <c r="S1651" s="45">
        <f t="shared" si="179"/>
        <v>219.91200000000001</v>
      </c>
      <c r="T1651" s="45">
        <f t="shared" si="180"/>
        <v>2199.12</v>
      </c>
      <c r="U1651" s="47">
        <f t="shared" si="181"/>
        <v>-1293.5424</v>
      </c>
    </row>
    <row r="1652" spans="1:21" x14ac:dyDescent="0.3">
      <c r="A1652" s="41" t="str">
        <f t="shared" si="175"/>
        <v>PUNIDR</v>
      </c>
      <c r="B1652" s="43">
        <v>45827</v>
      </c>
      <c r="C1652" s="10" t="s">
        <v>1694</v>
      </c>
      <c r="D1652" s="10" t="s">
        <v>10</v>
      </c>
      <c r="E1652" s="10" t="s">
        <v>30</v>
      </c>
      <c r="F1652" s="10" t="s">
        <v>54</v>
      </c>
      <c r="G1652" s="10" t="s">
        <v>12</v>
      </c>
      <c r="H1652" s="10" t="s">
        <v>32</v>
      </c>
      <c r="I1652" s="45">
        <v>2667</v>
      </c>
      <c r="J1652" s="11">
        <v>0</v>
      </c>
      <c r="K1652" s="45">
        <f t="shared" si="176"/>
        <v>2667</v>
      </c>
      <c r="L1652" s="10">
        <v>26</v>
      </c>
      <c r="M1652" s="10">
        <v>1.1000000000000001</v>
      </c>
      <c r="N1652" s="10" t="b">
        <v>1</v>
      </c>
      <c r="O1652" s="41" t="s">
        <v>33</v>
      </c>
      <c r="P1652" s="45">
        <f t="shared" si="177"/>
        <v>1120.1399999999999</v>
      </c>
      <c r="Q1652" s="45">
        <f t="shared" si="178"/>
        <v>1546.8600000000001</v>
      </c>
      <c r="R1652" s="45">
        <v>150</v>
      </c>
      <c r="S1652" s="45">
        <f t="shared" si="179"/>
        <v>266.7</v>
      </c>
      <c r="T1652" s="45">
        <f t="shared" si="180"/>
        <v>2667</v>
      </c>
      <c r="U1652" s="47">
        <f t="shared" si="181"/>
        <v>-1536.84</v>
      </c>
    </row>
    <row r="1653" spans="1:21" x14ac:dyDescent="0.3">
      <c r="A1653" s="41" t="str">
        <f t="shared" si="175"/>
        <v>PBANTO</v>
      </c>
      <c r="B1653" s="43">
        <v>45828</v>
      </c>
      <c r="C1653" s="10" t="s">
        <v>1695</v>
      </c>
      <c r="D1653" s="10" t="s">
        <v>21</v>
      </c>
      <c r="E1653" s="10" t="s">
        <v>9</v>
      </c>
      <c r="F1653" s="10" t="s">
        <v>11</v>
      </c>
      <c r="G1653" s="10" t="s">
        <v>7</v>
      </c>
      <c r="H1653" s="10" t="s">
        <v>13</v>
      </c>
      <c r="I1653" s="45">
        <v>1511</v>
      </c>
      <c r="J1653" s="11">
        <v>0.47700000000000004</v>
      </c>
      <c r="K1653" s="45">
        <f t="shared" si="176"/>
        <v>790.25299999999982</v>
      </c>
      <c r="L1653" s="10">
        <v>11</v>
      </c>
      <c r="M1653" s="10">
        <v>2.8</v>
      </c>
      <c r="N1653" s="10" t="b">
        <v>1</v>
      </c>
      <c r="O1653" s="41" t="s">
        <v>33</v>
      </c>
      <c r="P1653" s="45">
        <f t="shared" si="177"/>
        <v>331.90625999999992</v>
      </c>
      <c r="Q1653" s="45">
        <f t="shared" si="178"/>
        <v>458.3467399999999</v>
      </c>
      <c r="R1653" s="45">
        <v>150</v>
      </c>
      <c r="S1653" s="45">
        <f t="shared" si="179"/>
        <v>79.025299999999987</v>
      </c>
      <c r="T1653" s="45">
        <f t="shared" si="180"/>
        <v>790.25299999999982</v>
      </c>
      <c r="U1653" s="47">
        <f t="shared" si="181"/>
        <v>-560.93155999999988</v>
      </c>
    </row>
    <row r="1654" spans="1:21" x14ac:dyDescent="0.3">
      <c r="A1654" s="41" t="str">
        <f t="shared" si="175"/>
        <v>PH&amp;MAC</v>
      </c>
      <c r="B1654" s="43">
        <v>45828</v>
      </c>
      <c r="C1654" s="10" t="s">
        <v>1696</v>
      </c>
      <c r="D1654" s="10" t="s">
        <v>37</v>
      </c>
      <c r="E1654" s="10" t="s">
        <v>15</v>
      </c>
      <c r="F1654" s="10" t="s">
        <v>4</v>
      </c>
      <c r="G1654" s="10" t="s">
        <v>7</v>
      </c>
      <c r="H1654" s="10" t="s">
        <v>56</v>
      </c>
      <c r="I1654" s="45">
        <v>162</v>
      </c>
      <c r="J1654" s="11">
        <v>0</v>
      </c>
      <c r="K1654" s="45">
        <f t="shared" si="176"/>
        <v>162</v>
      </c>
      <c r="L1654" s="10">
        <v>27</v>
      </c>
      <c r="M1654" s="10">
        <v>2.4</v>
      </c>
      <c r="N1654" s="10" t="b">
        <v>0</v>
      </c>
      <c r="O1654" s="41"/>
      <c r="P1654" s="45">
        <f t="shared" si="177"/>
        <v>68.039999999999992</v>
      </c>
      <c r="Q1654" s="45">
        <f t="shared" si="178"/>
        <v>93.960000000000008</v>
      </c>
      <c r="R1654" s="45">
        <v>0</v>
      </c>
      <c r="S1654" s="45">
        <f t="shared" si="179"/>
        <v>0</v>
      </c>
      <c r="T1654" s="45">
        <f t="shared" si="180"/>
        <v>0</v>
      </c>
      <c r="U1654" s="47">
        <f t="shared" si="181"/>
        <v>93.960000000000008</v>
      </c>
    </row>
    <row r="1655" spans="1:21" x14ac:dyDescent="0.3">
      <c r="A1655" s="41" t="str">
        <f t="shared" si="175"/>
        <v>PGAPDR</v>
      </c>
      <c r="B1655" s="43">
        <v>45828</v>
      </c>
      <c r="C1655" s="10" t="s">
        <v>1697</v>
      </c>
      <c r="D1655" s="10" t="s">
        <v>53</v>
      </c>
      <c r="E1655" s="10" t="s">
        <v>30</v>
      </c>
      <c r="F1655" s="10" t="s">
        <v>4</v>
      </c>
      <c r="G1655" s="10" t="s">
        <v>46</v>
      </c>
      <c r="H1655" s="10" t="s">
        <v>32</v>
      </c>
      <c r="I1655" s="45">
        <v>1819</v>
      </c>
      <c r="J1655" s="11">
        <v>0.59499999999999997</v>
      </c>
      <c r="K1655" s="45">
        <f t="shared" si="176"/>
        <v>736.69500000000005</v>
      </c>
      <c r="L1655" s="10">
        <v>21</v>
      </c>
      <c r="M1655" s="10"/>
      <c r="N1655" s="10" t="b">
        <v>0</v>
      </c>
      <c r="O1655" s="41"/>
      <c r="P1655" s="45">
        <f t="shared" si="177"/>
        <v>309.4119</v>
      </c>
      <c r="Q1655" s="45">
        <f t="shared" si="178"/>
        <v>427.28310000000005</v>
      </c>
      <c r="R1655" s="45">
        <v>0</v>
      </c>
      <c r="S1655" s="45">
        <f t="shared" si="179"/>
        <v>0</v>
      </c>
      <c r="T1655" s="45">
        <f t="shared" si="180"/>
        <v>0</v>
      </c>
      <c r="U1655" s="47">
        <f t="shared" si="181"/>
        <v>427.28310000000005</v>
      </c>
    </row>
    <row r="1656" spans="1:21" x14ac:dyDescent="0.3">
      <c r="A1656" s="41" t="str">
        <f t="shared" si="175"/>
        <v>PUNITO</v>
      </c>
      <c r="B1656" s="43">
        <v>45828</v>
      </c>
      <c r="C1656" s="10" t="s">
        <v>1698</v>
      </c>
      <c r="D1656" s="10" t="s">
        <v>10</v>
      </c>
      <c r="E1656" s="10" t="s">
        <v>9</v>
      </c>
      <c r="F1656" s="10" t="s">
        <v>54</v>
      </c>
      <c r="G1656" s="10" t="s">
        <v>27</v>
      </c>
      <c r="H1656" s="10" t="s">
        <v>6</v>
      </c>
      <c r="I1656" s="45">
        <v>1570</v>
      </c>
      <c r="J1656" s="11">
        <v>0</v>
      </c>
      <c r="K1656" s="45">
        <f t="shared" si="176"/>
        <v>1570</v>
      </c>
      <c r="L1656" s="10">
        <v>30</v>
      </c>
      <c r="M1656" s="10">
        <v>4.0999999999999996</v>
      </c>
      <c r="N1656" s="10" t="b">
        <v>0</v>
      </c>
      <c r="O1656" s="41"/>
      <c r="P1656" s="45">
        <f t="shared" si="177"/>
        <v>659.4</v>
      </c>
      <c r="Q1656" s="45">
        <f t="shared" si="178"/>
        <v>910.6</v>
      </c>
      <c r="R1656" s="45">
        <v>0</v>
      </c>
      <c r="S1656" s="45">
        <f t="shared" si="179"/>
        <v>0</v>
      </c>
      <c r="T1656" s="45">
        <f t="shared" si="180"/>
        <v>0</v>
      </c>
      <c r="U1656" s="47">
        <f t="shared" si="181"/>
        <v>910.6</v>
      </c>
    </row>
    <row r="1657" spans="1:21" x14ac:dyDescent="0.3">
      <c r="A1657" s="41" t="str">
        <f t="shared" si="175"/>
        <v>PMANSH</v>
      </c>
      <c r="B1657" s="43">
        <v>45829</v>
      </c>
      <c r="C1657" s="10" t="s">
        <v>1699</v>
      </c>
      <c r="D1657" s="10" t="s">
        <v>31</v>
      </c>
      <c r="E1657" s="10" t="s">
        <v>18</v>
      </c>
      <c r="F1657" s="10" t="s">
        <v>54</v>
      </c>
      <c r="G1657" s="10" t="s">
        <v>46</v>
      </c>
      <c r="H1657" s="10" t="s">
        <v>43</v>
      </c>
      <c r="I1657" s="45">
        <v>4341</v>
      </c>
      <c r="J1657" s="11">
        <v>0</v>
      </c>
      <c r="K1657" s="45">
        <f t="shared" si="176"/>
        <v>4341</v>
      </c>
      <c r="L1657" s="10">
        <v>29</v>
      </c>
      <c r="M1657" s="10">
        <v>1.3</v>
      </c>
      <c r="N1657" s="10" t="b">
        <v>0</v>
      </c>
      <c r="O1657" s="41"/>
      <c r="P1657" s="45">
        <f t="shared" si="177"/>
        <v>1823.22</v>
      </c>
      <c r="Q1657" s="45">
        <f t="shared" si="178"/>
        <v>2517.7799999999997</v>
      </c>
      <c r="R1657" s="45">
        <v>0</v>
      </c>
      <c r="S1657" s="45">
        <f t="shared" si="179"/>
        <v>0</v>
      </c>
      <c r="T1657" s="45">
        <f t="shared" si="180"/>
        <v>0</v>
      </c>
      <c r="U1657" s="47">
        <f t="shared" si="181"/>
        <v>2517.7799999999997</v>
      </c>
    </row>
    <row r="1658" spans="1:21" x14ac:dyDescent="0.3">
      <c r="A1658" s="41" t="str">
        <f t="shared" si="175"/>
        <v>PUNITO</v>
      </c>
      <c r="B1658" s="43">
        <v>45829</v>
      </c>
      <c r="C1658" s="10" t="s">
        <v>1700</v>
      </c>
      <c r="D1658" s="10" t="s">
        <v>10</v>
      </c>
      <c r="E1658" s="10" t="s">
        <v>9</v>
      </c>
      <c r="F1658" s="10" t="s">
        <v>54</v>
      </c>
      <c r="G1658" s="10" t="s">
        <v>27</v>
      </c>
      <c r="H1658" s="10" t="s">
        <v>28</v>
      </c>
      <c r="I1658" s="45">
        <v>1304</v>
      </c>
      <c r="J1658" s="11">
        <v>0</v>
      </c>
      <c r="K1658" s="45">
        <f t="shared" si="176"/>
        <v>1304</v>
      </c>
      <c r="L1658" s="10">
        <v>32</v>
      </c>
      <c r="M1658" s="10">
        <v>4.5</v>
      </c>
      <c r="N1658" s="10" t="b">
        <v>0</v>
      </c>
      <c r="O1658" s="41"/>
      <c r="P1658" s="45">
        <f t="shared" si="177"/>
        <v>547.67999999999995</v>
      </c>
      <c r="Q1658" s="45">
        <f t="shared" si="178"/>
        <v>756.32</v>
      </c>
      <c r="R1658" s="45">
        <v>0</v>
      </c>
      <c r="S1658" s="45">
        <f t="shared" si="179"/>
        <v>0</v>
      </c>
      <c r="T1658" s="45">
        <f t="shared" si="180"/>
        <v>0</v>
      </c>
      <c r="U1658" s="47">
        <f t="shared" si="181"/>
        <v>756.32</v>
      </c>
    </row>
    <row r="1659" spans="1:21" x14ac:dyDescent="0.3">
      <c r="A1659" s="41" t="str">
        <f t="shared" si="175"/>
        <v>PMANAC</v>
      </c>
      <c r="B1659" s="43">
        <v>45829</v>
      </c>
      <c r="C1659" s="10" t="s">
        <v>1701</v>
      </c>
      <c r="D1659" s="10" t="s">
        <v>31</v>
      </c>
      <c r="E1659" s="10" t="s">
        <v>15</v>
      </c>
      <c r="F1659" s="10" t="s">
        <v>23</v>
      </c>
      <c r="G1659" s="10" t="s">
        <v>7</v>
      </c>
      <c r="H1659" s="10" t="s">
        <v>58</v>
      </c>
      <c r="I1659" s="45">
        <v>239</v>
      </c>
      <c r="J1659" s="11">
        <v>0.27100000000000002</v>
      </c>
      <c r="K1659" s="45">
        <f t="shared" si="176"/>
        <v>174.23099999999999</v>
      </c>
      <c r="L1659" s="10">
        <v>15</v>
      </c>
      <c r="M1659" s="10"/>
      <c r="N1659" s="10" t="b">
        <v>0</v>
      </c>
      <c r="O1659" s="41"/>
      <c r="P1659" s="45">
        <f t="shared" si="177"/>
        <v>73.177019999999999</v>
      </c>
      <c r="Q1659" s="45">
        <f t="shared" si="178"/>
        <v>101.05398</v>
      </c>
      <c r="R1659" s="45">
        <v>0</v>
      </c>
      <c r="S1659" s="45">
        <f t="shared" si="179"/>
        <v>0</v>
      </c>
      <c r="T1659" s="45">
        <f t="shared" si="180"/>
        <v>0</v>
      </c>
      <c r="U1659" s="47">
        <f t="shared" si="181"/>
        <v>101.05398</v>
      </c>
    </row>
    <row r="1660" spans="1:21" x14ac:dyDescent="0.3">
      <c r="A1660" s="41" t="str">
        <f t="shared" si="175"/>
        <v>PBANTO</v>
      </c>
      <c r="B1660" s="43">
        <v>45829</v>
      </c>
      <c r="C1660" s="10" t="s">
        <v>1702</v>
      </c>
      <c r="D1660" s="10" t="s">
        <v>21</v>
      </c>
      <c r="E1660" s="10" t="s">
        <v>9</v>
      </c>
      <c r="F1660" s="10" t="s">
        <v>11</v>
      </c>
      <c r="G1660" s="10" t="s">
        <v>12</v>
      </c>
      <c r="H1660" s="10" t="s">
        <v>47</v>
      </c>
      <c r="I1660" s="45">
        <v>1155</v>
      </c>
      <c r="J1660" s="11">
        <v>0.59099999999999997</v>
      </c>
      <c r="K1660" s="45">
        <f t="shared" si="176"/>
        <v>472.39500000000004</v>
      </c>
      <c r="L1660" s="10">
        <v>42</v>
      </c>
      <c r="M1660" s="10"/>
      <c r="N1660" s="10" t="b">
        <v>1</v>
      </c>
      <c r="O1660" s="41" t="s">
        <v>50</v>
      </c>
      <c r="P1660" s="45">
        <f t="shared" si="177"/>
        <v>198.4059</v>
      </c>
      <c r="Q1660" s="45">
        <f t="shared" si="178"/>
        <v>273.98910000000001</v>
      </c>
      <c r="R1660" s="45">
        <v>150</v>
      </c>
      <c r="S1660" s="45">
        <f t="shared" si="179"/>
        <v>47.239500000000007</v>
      </c>
      <c r="T1660" s="45">
        <f t="shared" si="180"/>
        <v>472.39500000000004</v>
      </c>
      <c r="U1660" s="47">
        <f t="shared" si="181"/>
        <v>-395.64540000000005</v>
      </c>
    </row>
    <row r="1661" spans="1:21" x14ac:dyDescent="0.3">
      <c r="A1661" s="41" t="str">
        <f t="shared" si="175"/>
        <v>PFORTO</v>
      </c>
      <c r="B1661" s="43">
        <v>45830</v>
      </c>
      <c r="C1661" s="10" t="s">
        <v>1703</v>
      </c>
      <c r="D1661" s="10" t="s">
        <v>65</v>
      </c>
      <c r="E1661" s="10" t="s">
        <v>9</v>
      </c>
      <c r="F1661" s="10" t="s">
        <v>23</v>
      </c>
      <c r="G1661" s="10" t="s">
        <v>46</v>
      </c>
      <c r="H1661" s="10" t="s">
        <v>43</v>
      </c>
      <c r="I1661" s="45">
        <v>1360</v>
      </c>
      <c r="J1661" s="11">
        <v>0</v>
      </c>
      <c r="K1661" s="45">
        <f t="shared" si="176"/>
        <v>1360</v>
      </c>
      <c r="L1661" s="10">
        <v>3</v>
      </c>
      <c r="M1661" s="10">
        <v>1.5</v>
      </c>
      <c r="N1661" s="10" t="b">
        <v>1</v>
      </c>
      <c r="O1661" s="41" t="s">
        <v>33</v>
      </c>
      <c r="P1661" s="45">
        <f t="shared" si="177"/>
        <v>571.19999999999993</v>
      </c>
      <c r="Q1661" s="45">
        <f t="shared" si="178"/>
        <v>788.80000000000007</v>
      </c>
      <c r="R1661" s="45">
        <v>150</v>
      </c>
      <c r="S1661" s="45">
        <f t="shared" si="179"/>
        <v>136</v>
      </c>
      <c r="T1661" s="45">
        <f t="shared" si="180"/>
        <v>1360</v>
      </c>
      <c r="U1661" s="47">
        <f t="shared" si="181"/>
        <v>-857.19999999999993</v>
      </c>
    </row>
    <row r="1662" spans="1:21" x14ac:dyDescent="0.3">
      <c r="A1662" s="41" t="str">
        <f t="shared" si="175"/>
        <v>PH&amp;MTO</v>
      </c>
      <c r="B1662" s="43">
        <v>45830</v>
      </c>
      <c r="C1662" s="10" t="s">
        <v>1704</v>
      </c>
      <c r="D1662" s="10" t="s">
        <v>37</v>
      </c>
      <c r="E1662" s="10" t="s">
        <v>9</v>
      </c>
      <c r="F1662" s="10" t="s">
        <v>54</v>
      </c>
      <c r="G1662" s="10" t="s">
        <v>5</v>
      </c>
      <c r="H1662" s="10" t="s">
        <v>56</v>
      </c>
      <c r="I1662" s="45">
        <v>1758</v>
      </c>
      <c r="J1662" s="11">
        <v>0</v>
      </c>
      <c r="K1662" s="45">
        <f t="shared" si="176"/>
        <v>1758</v>
      </c>
      <c r="L1662" s="10">
        <v>41</v>
      </c>
      <c r="M1662" s="10">
        <v>1.1000000000000001</v>
      </c>
      <c r="N1662" s="10" t="b">
        <v>0</v>
      </c>
      <c r="O1662" s="41"/>
      <c r="P1662" s="45">
        <f t="shared" si="177"/>
        <v>738.36</v>
      </c>
      <c r="Q1662" s="45">
        <f t="shared" si="178"/>
        <v>1019.64</v>
      </c>
      <c r="R1662" s="45">
        <v>0</v>
      </c>
      <c r="S1662" s="45">
        <f t="shared" si="179"/>
        <v>0</v>
      </c>
      <c r="T1662" s="45">
        <f t="shared" si="180"/>
        <v>0</v>
      </c>
      <c r="U1662" s="47">
        <f t="shared" si="181"/>
        <v>1019.64</v>
      </c>
    </row>
    <row r="1663" spans="1:21" x14ac:dyDescent="0.3">
      <c r="A1663" s="41" t="str">
        <f t="shared" si="175"/>
        <v>PANNOU</v>
      </c>
      <c r="B1663" s="43">
        <v>45830</v>
      </c>
      <c r="C1663" s="10" t="s">
        <v>1705</v>
      </c>
      <c r="D1663" s="10" t="s">
        <v>42</v>
      </c>
      <c r="E1663" s="10" t="s">
        <v>2</v>
      </c>
      <c r="F1663" s="10" t="s">
        <v>54</v>
      </c>
      <c r="G1663" s="10" t="s">
        <v>5</v>
      </c>
      <c r="H1663" s="10" t="s">
        <v>16</v>
      </c>
      <c r="I1663" s="45">
        <v>3320</v>
      </c>
      <c r="J1663" s="11">
        <v>0</v>
      </c>
      <c r="K1663" s="45">
        <f t="shared" si="176"/>
        <v>3320</v>
      </c>
      <c r="L1663" s="10">
        <v>36</v>
      </c>
      <c r="M1663" s="10">
        <v>1.8</v>
      </c>
      <c r="N1663" s="10" t="b">
        <v>0</v>
      </c>
      <c r="O1663" s="41"/>
      <c r="P1663" s="45">
        <f t="shared" si="177"/>
        <v>1394.3999999999999</v>
      </c>
      <c r="Q1663" s="45">
        <f t="shared" si="178"/>
        <v>1925.6000000000001</v>
      </c>
      <c r="R1663" s="45">
        <v>0</v>
      </c>
      <c r="S1663" s="45">
        <f t="shared" si="179"/>
        <v>0</v>
      </c>
      <c r="T1663" s="45">
        <f t="shared" si="180"/>
        <v>0</v>
      </c>
      <c r="U1663" s="47">
        <f t="shared" si="181"/>
        <v>1925.6000000000001</v>
      </c>
    </row>
    <row r="1664" spans="1:21" x14ac:dyDescent="0.3">
      <c r="A1664" s="41" t="str">
        <f t="shared" si="175"/>
        <v>PANNBO</v>
      </c>
      <c r="B1664" s="43">
        <v>45831</v>
      </c>
      <c r="C1664" s="10" t="s">
        <v>1706</v>
      </c>
      <c r="D1664" s="10" t="s">
        <v>42</v>
      </c>
      <c r="E1664" s="10" t="s">
        <v>26</v>
      </c>
      <c r="F1664" s="10" t="s">
        <v>54</v>
      </c>
      <c r="G1664" s="10" t="s">
        <v>38</v>
      </c>
      <c r="H1664" s="10" t="s">
        <v>16</v>
      </c>
      <c r="I1664" s="45">
        <v>2893</v>
      </c>
      <c r="J1664" s="11">
        <v>0</v>
      </c>
      <c r="K1664" s="45">
        <f t="shared" si="176"/>
        <v>2893</v>
      </c>
      <c r="L1664" s="10">
        <v>18</v>
      </c>
      <c r="M1664" s="10">
        <v>3.2</v>
      </c>
      <c r="N1664" s="10" t="b">
        <v>0</v>
      </c>
      <c r="O1664" s="41"/>
      <c r="P1664" s="45">
        <f t="shared" si="177"/>
        <v>1215.06</v>
      </c>
      <c r="Q1664" s="45">
        <f t="shared" si="178"/>
        <v>1677.94</v>
      </c>
      <c r="R1664" s="45">
        <v>0</v>
      </c>
      <c r="S1664" s="45">
        <f t="shared" si="179"/>
        <v>0</v>
      </c>
      <c r="T1664" s="45">
        <f t="shared" si="180"/>
        <v>0</v>
      </c>
      <c r="U1664" s="47">
        <f t="shared" si="181"/>
        <v>1677.94</v>
      </c>
    </row>
    <row r="1665" spans="1:21" x14ac:dyDescent="0.3">
      <c r="A1665" s="41" t="str">
        <f t="shared" si="175"/>
        <v>PBANDR</v>
      </c>
      <c r="B1665" s="43">
        <v>45831</v>
      </c>
      <c r="C1665" s="10" t="s">
        <v>1707</v>
      </c>
      <c r="D1665" s="10" t="s">
        <v>21</v>
      </c>
      <c r="E1665" s="10" t="s">
        <v>30</v>
      </c>
      <c r="F1665" s="10" t="s">
        <v>23</v>
      </c>
      <c r="G1665" s="10" t="s">
        <v>27</v>
      </c>
      <c r="H1665" s="10" t="s">
        <v>35</v>
      </c>
      <c r="I1665" s="45">
        <v>2746</v>
      </c>
      <c r="J1665" s="11">
        <v>0</v>
      </c>
      <c r="K1665" s="45">
        <f t="shared" si="176"/>
        <v>2746</v>
      </c>
      <c r="L1665" s="10">
        <v>13</v>
      </c>
      <c r="M1665" s="10"/>
      <c r="N1665" s="10" t="b">
        <v>1</v>
      </c>
      <c r="O1665" s="41" t="s">
        <v>44</v>
      </c>
      <c r="P1665" s="45">
        <f t="shared" si="177"/>
        <v>1153.32</v>
      </c>
      <c r="Q1665" s="45">
        <f t="shared" si="178"/>
        <v>1592.68</v>
      </c>
      <c r="R1665" s="45">
        <v>150</v>
      </c>
      <c r="S1665" s="45">
        <f t="shared" si="179"/>
        <v>274.60000000000002</v>
      </c>
      <c r="T1665" s="45">
        <f t="shared" si="180"/>
        <v>2746</v>
      </c>
      <c r="U1665" s="47">
        <f t="shared" si="181"/>
        <v>-1577.92</v>
      </c>
    </row>
    <row r="1666" spans="1:21" x14ac:dyDescent="0.3">
      <c r="A1666" s="41" t="str">
        <f t="shared" ref="A1666:A1729" si="182">UPPER("P"&amp;LEFT(D1666,3)&amp;LEFT(E1666,2))</f>
        <v>PGAPTO</v>
      </c>
      <c r="B1666" s="43">
        <v>45831</v>
      </c>
      <c r="C1666" s="10" t="s">
        <v>1708</v>
      </c>
      <c r="D1666" s="10" t="s">
        <v>53</v>
      </c>
      <c r="E1666" s="10" t="s">
        <v>9</v>
      </c>
      <c r="F1666" s="10" t="s">
        <v>54</v>
      </c>
      <c r="G1666" s="10" t="s">
        <v>12</v>
      </c>
      <c r="H1666" s="10" t="s">
        <v>16</v>
      </c>
      <c r="I1666" s="45">
        <v>1472</v>
      </c>
      <c r="J1666" s="11">
        <v>8.900000000000001E-2</v>
      </c>
      <c r="K1666" s="45">
        <f t="shared" si="176"/>
        <v>1340.992</v>
      </c>
      <c r="L1666" s="10">
        <v>13</v>
      </c>
      <c r="M1666" s="10">
        <v>2.5</v>
      </c>
      <c r="N1666" s="10" t="b">
        <v>1</v>
      </c>
      <c r="O1666" s="41" t="s">
        <v>33</v>
      </c>
      <c r="P1666" s="45">
        <f t="shared" si="177"/>
        <v>563.21663999999998</v>
      </c>
      <c r="Q1666" s="45">
        <f t="shared" si="178"/>
        <v>777.77535999999998</v>
      </c>
      <c r="R1666" s="45">
        <v>150</v>
      </c>
      <c r="S1666" s="45">
        <f t="shared" si="179"/>
        <v>134.0992</v>
      </c>
      <c r="T1666" s="45">
        <f t="shared" si="180"/>
        <v>1340.992</v>
      </c>
      <c r="U1666" s="47">
        <f t="shared" si="181"/>
        <v>-847.31583999999998</v>
      </c>
    </row>
    <row r="1667" spans="1:21" x14ac:dyDescent="0.3">
      <c r="A1667" s="41" t="str">
        <f t="shared" si="182"/>
        <v>PFORBO</v>
      </c>
      <c r="B1667" s="43">
        <v>45831</v>
      </c>
      <c r="C1667" s="10" t="s">
        <v>1709</v>
      </c>
      <c r="D1667" s="10" t="s">
        <v>65</v>
      </c>
      <c r="E1667" s="10" t="s">
        <v>26</v>
      </c>
      <c r="F1667" s="10" t="s">
        <v>54</v>
      </c>
      <c r="G1667" s="10" t="s">
        <v>12</v>
      </c>
      <c r="H1667" s="10" t="s">
        <v>13</v>
      </c>
      <c r="I1667" s="45">
        <v>2458</v>
      </c>
      <c r="J1667" s="11">
        <v>0</v>
      </c>
      <c r="K1667" s="45">
        <f t="shared" ref="K1667:K1730" si="183">I1667*(1-J1667)</f>
        <v>2458</v>
      </c>
      <c r="L1667" s="10">
        <v>7</v>
      </c>
      <c r="M1667" s="10">
        <v>4.5999999999999996</v>
      </c>
      <c r="N1667" s="10" t="b">
        <v>0</v>
      </c>
      <c r="O1667" s="41"/>
      <c r="P1667" s="45">
        <f t="shared" ref="P1667:P1730" si="184">K1667*0.42</f>
        <v>1032.3599999999999</v>
      </c>
      <c r="Q1667" s="45">
        <f t="shared" ref="Q1667:Q1730" si="185">K1667-P1667</f>
        <v>1425.64</v>
      </c>
      <c r="R1667" s="45">
        <v>0</v>
      </c>
      <c r="S1667" s="45">
        <f t="shared" ref="S1667:S1730" si="186">IF(N1667=TRUE,K1667*0.1,0)</f>
        <v>0</v>
      </c>
      <c r="T1667" s="45">
        <f t="shared" ref="T1667:T1730" si="187">IF(N1667=TRUE,K1667,0)</f>
        <v>0</v>
      </c>
      <c r="U1667" s="47">
        <f t="shared" ref="U1667:U1730" si="188">Q1667-R1667-S1667-T1667</f>
        <v>1425.64</v>
      </c>
    </row>
    <row r="1668" spans="1:21" x14ac:dyDescent="0.3">
      <c r="A1668" s="41" t="str">
        <f t="shared" si="182"/>
        <v>PFORBO</v>
      </c>
      <c r="B1668" s="43">
        <v>45832</v>
      </c>
      <c r="C1668" s="10" t="s">
        <v>1710</v>
      </c>
      <c r="D1668" s="10" t="s">
        <v>65</v>
      </c>
      <c r="E1668" s="10" t="s">
        <v>26</v>
      </c>
      <c r="F1668" s="10" t="s">
        <v>11</v>
      </c>
      <c r="G1668" s="10" t="s">
        <v>46</v>
      </c>
      <c r="H1668" s="10" t="s">
        <v>6</v>
      </c>
      <c r="I1668" s="45">
        <v>2724</v>
      </c>
      <c r="J1668" s="11">
        <v>0</v>
      </c>
      <c r="K1668" s="45">
        <f t="shared" si="183"/>
        <v>2724</v>
      </c>
      <c r="L1668" s="10">
        <v>17</v>
      </c>
      <c r="M1668" s="10">
        <v>1.7</v>
      </c>
      <c r="N1668" s="10" t="b">
        <v>0</v>
      </c>
      <c r="O1668" s="41"/>
      <c r="P1668" s="45">
        <f t="shared" si="184"/>
        <v>1144.08</v>
      </c>
      <c r="Q1668" s="45">
        <f t="shared" si="185"/>
        <v>1579.92</v>
      </c>
      <c r="R1668" s="45">
        <v>0</v>
      </c>
      <c r="S1668" s="45">
        <f t="shared" si="186"/>
        <v>0</v>
      </c>
      <c r="T1668" s="45">
        <f t="shared" si="187"/>
        <v>0</v>
      </c>
      <c r="U1668" s="47">
        <f t="shared" si="188"/>
        <v>1579.92</v>
      </c>
    </row>
    <row r="1669" spans="1:21" x14ac:dyDescent="0.3">
      <c r="A1669" s="41" t="str">
        <f t="shared" si="182"/>
        <v>PH&amp;MSH</v>
      </c>
      <c r="B1669" s="43">
        <v>45832</v>
      </c>
      <c r="C1669" s="10" t="s">
        <v>1711</v>
      </c>
      <c r="D1669" s="10" t="s">
        <v>37</v>
      </c>
      <c r="E1669" s="10" t="s">
        <v>18</v>
      </c>
      <c r="F1669" s="10" t="s">
        <v>4</v>
      </c>
      <c r="G1669" s="10" t="s">
        <v>38</v>
      </c>
      <c r="H1669" s="10" t="s">
        <v>58</v>
      </c>
      <c r="I1669" s="45">
        <v>4499</v>
      </c>
      <c r="J1669" s="11">
        <v>0.24100000000000002</v>
      </c>
      <c r="K1669" s="45">
        <f t="shared" si="183"/>
        <v>3414.741</v>
      </c>
      <c r="L1669" s="10">
        <v>0</v>
      </c>
      <c r="M1669" s="10">
        <v>3.1</v>
      </c>
      <c r="N1669" s="10" t="b">
        <v>0</v>
      </c>
      <c r="O1669" s="41"/>
      <c r="P1669" s="45">
        <f t="shared" si="184"/>
        <v>1434.1912199999999</v>
      </c>
      <c r="Q1669" s="45">
        <f t="shared" si="185"/>
        <v>1980.5497800000001</v>
      </c>
      <c r="R1669" s="45">
        <v>0</v>
      </c>
      <c r="S1669" s="45">
        <f t="shared" si="186"/>
        <v>0</v>
      </c>
      <c r="T1669" s="45">
        <f t="shared" si="187"/>
        <v>0</v>
      </c>
      <c r="U1669" s="47">
        <f t="shared" si="188"/>
        <v>1980.5497800000001</v>
      </c>
    </row>
    <row r="1670" spans="1:21" x14ac:dyDescent="0.3">
      <c r="A1670" s="41" t="str">
        <f t="shared" si="182"/>
        <v>PZARTO</v>
      </c>
      <c r="B1670" s="43">
        <v>45832</v>
      </c>
      <c r="C1670" s="10" t="s">
        <v>1712</v>
      </c>
      <c r="D1670" s="10" t="s">
        <v>3</v>
      </c>
      <c r="E1670" s="10" t="s">
        <v>9</v>
      </c>
      <c r="F1670" s="10" t="s">
        <v>4</v>
      </c>
      <c r="G1670" s="10" t="s">
        <v>38</v>
      </c>
      <c r="H1670" s="10" t="s">
        <v>35</v>
      </c>
      <c r="I1670" s="45">
        <v>1460</v>
      </c>
      <c r="J1670" s="11">
        <v>0</v>
      </c>
      <c r="K1670" s="45">
        <f t="shared" si="183"/>
        <v>1460</v>
      </c>
      <c r="L1670" s="10">
        <v>44</v>
      </c>
      <c r="M1670" s="10">
        <v>1.9</v>
      </c>
      <c r="N1670" s="10" t="b">
        <v>1</v>
      </c>
      <c r="O1670" s="41" t="s">
        <v>44</v>
      </c>
      <c r="P1670" s="45">
        <f t="shared" si="184"/>
        <v>613.19999999999993</v>
      </c>
      <c r="Q1670" s="45">
        <f t="shared" si="185"/>
        <v>846.80000000000007</v>
      </c>
      <c r="R1670" s="45">
        <v>150</v>
      </c>
      <c r="S1670" s="45">
        <f t="shared" si="186"/>
        <v>146</v>
      </c>
      <c r="T1670" s="45">
        <f t="shared" si="187"/>
        <v>1460</v>
      </c>
      <c r="U1670" s="47">
        <f t="shared" si="188"/>
        <v>-909.19999999999993</v>
      </c>
    </row>
    <row r="1671" spans="1:21" x14ac:dyDescent="0.3">
      <c r="A1671" s="41" t="str">
        <f t="shared" si="182"/>
        <v>PMANOU</v>
      </c>
      <c r="B1671" s="43">
        <v>45832</v>
      </c>
      <c r="C1671" s="10" t="s">
        <v>1713</v>
      </c>
      <c r="D1671" s="10" t="s">
        <v>31</v>
      </c>
      <c r="E1671" s="10" t="s">
        <v>2</v>
      </c>
      <c r="F1671" s="10" t="s">
        <v>11</v>
      </c>
      <c r="G1671" s="10" t="s">
        <v>5</v>
      </c>
      <c r="H1671" s="10" t="s">
        <v>56</v>
      </c>
      <c r="I1671" s="45">
        <v>4077</v>
      </c>
      <c r="J1671" s="11">
        <v>0</v>
      </c>
      <c r="K1671" s="45">
        <f t="shared" si="183"/>
        <v>4077</v>
      </c>
      <c r="L1671" s="10">
        <v>43</v>
      </c>
      <c r="M1671" s="10">
        <v>3.8</v>
      </c>
      <c r="N1671" s="10" t="b">
        <v>0</v>
      </c>
      <c r="O1671" s="41"/>
      <c r="P1671" s="45">
        <f t="shared" si="184"/>
        <v>1712.34</v>
      </c>
      <c r="Q1671" s="45">
        <f t="shared" si="185"/>
        <v>2364.66</v>
      </c>
      <c r="R1671" s="45">
        <v>0</v>
      </c>
      <c r="S1671" s="45">
        <f t="shared" si="186"/>
        <v>0</v>
      </c>
      <c r="T1671" s="45">
        <f t="shared" si="187"/>
        <v>0</v>
      </c>
      <c r="U1671" s="47">
        <f t="shared" si="188"/>
        <v>2364.66</v>
      </c>
    </row>
    <row r="1672" spans="1:21" x14ac:dyDescent="0.3">
      <c r="A1672" s="41" t="str">
        <f t="shared" si="182"/>
        <v>PGAPDR</v>
      </c>
      <c r="B1672" s="43">
        <v>45833</v>
      </c>
      <c r="C1672" s="10" t="s">
        <v>1714</v>
      </c>
      <c r="D1672" s="10" t="s">
        <v>53</v>
      </c>
      <c r="E1672" s="10" t="s">
        <v>30</v>
      </c>
      <c r="F1672" s="10" t="s">
        <v>54</v>
      </c>
      <c r="G1672" s="10" t="s">
        <v>38</v>
      </c>
      <c r="H1672" s="10" t="s">
        <v>16</v>
      </c>
      <c r="I1672" s="45">
        <v>2096</v>
      </c>
      <c r="J1672" s="11">
        <v>0</v>
      </c>
      <c r="K1672" s="45">
        <f t="shared" si="183"/>
        <v>2096</v>
      </c>
      <c r="L1672" s="10">
        <v>15</v>
      </c>
      <c r="M1672" s="10"/>
      <c r="N1672" s="10" t="b">
        <v>0</v>
      </c>
      <c r="O1672" s="41"/>
      <c r="P1672" s="45">
        <f t="shared" si="184"/>
        <v>880.31999999999994</v>
      </c>
      <c r="Q1672" s="45">
        <f t="shared" si="185"/>
        <v>1215.68</v>
      </c>
      <c r="R1672" s="45">
        <v>0</v>
      </c>
      <c r="S1672" s="45">
        <f t="shared" si="186"/>
        <v>0</v>
      </c>
      <c r="T1672" s="45">
        <f t="shared" si="187"/>
        <v>0</v>
      </c>
      <c r="U1672" s="47">
        <f t="shared" si="188"/>
        <v>1215.68</v>
      </c>
    </row>
    <row r="1673" spans="1:21" x14ac:dyDescent="0.3">
      <c r="A1673" s="41" t="str">
        <f t="shared" si="182"/>
        <v>PGAPSH</v>
      </c>
      <c r="B1673" s="43">
        <v>45833</v>
      </c>
      <c r="C1673" s="10" t="s">
        <v>1715</v>
      </c>
      <c r="D1673" s="10" t="s">
        <v>53</v>
      </c>
      <c r="E1673" s="10" t="s">
        <v>18</v>
      </c>
      <c r="F1673" s="10" t="s">
        <v>54</v>
      </c>
      <c r="G1673" s="10" t="s">
        <v>12</v>
      </c>
      <c r="H1673" s="10" t="s">
        <v>35</v>
      </c>
      <c r="I1673" s="45">
        <v>3920</v>
      </c>
      <c r="J1673" s="11">
        <v>0.59699999999999998</v>
      </c>
      <c r="K1673" s="45">
        <f t="shared" si="183"/>
        <v>1579.76</v>
      </c>
      <c r="L1673" s="10">
        <v>16</v>
      </c>
      <c r="M1673" s="10">
        <v>1.8</v>
      </c>
      <c r="N1673" s="10" t="b">
        <v>0</v>
      </c>
      <c r="O1673" s="41"/>
      <c r="P1673" s="45">
        <f t="shared" si="184"/>
        <v>663.49919999999997</v>
      </c>
      <c r="Q1673" s="45">
        <f t="shared" si="185"/>
        <v>916.26080000000002</v>
      </c>
      <c r="R1673" s="45">
        <v>0</v>
      </c>
      <c r="S1673" s="45">
        <f t="shared" si="186"/>
        <v>0</v>
      </c>
      <c r="T1673" s="45">
        <f t="shared" si="187"/>
        <v>0</v>
      </c>
      <c r="U1673" s="47">
        <f t="shared" si="188"/>
        <v>916.26080000000002</v>
      </c>
    </row>
    <row r="1674" spans="1:21" x14ac:dyDescent="0.3">
      <c r="A1674" s="41" t="str">
        <f t="shared" si="182"/>
        <v>PH&amp;MTO</v>
      </c>
      <c r="B1674" s="43">
        <v>45833</v>
      </c>
      <c r="C1674" s="10" t="s">
        <v>1716</v>
      </c>
      <c r="D1674" s="10" t="s">
        <v>37</v>
      </c>
      <c r="E1674" s="10" t="s">
        <v>9</v>
      </c>
      <c r="F1674" s="10" t="s">
        <v>23</v>
      </c>
      <c r="G1674" s="10" t="s">
        <v>46</v>
      </c>
      <c r="H1674" s="10" t="s">
        <v>43</v>
      </c>
      <c r="I1674" s="45">
        <v>1062</v>
      </c>
      <c r="J1674" s="11">
        <v>0</v>
      </c>
      <c r="K1674" s="45">
        <f t="shared" si="183"/>
        <v>1062</v>
      </c>
      <c r="L1674" s="10">
        <v>42</v>
      </c>
      <c r="M1674" s="10"/>
      <c r="N1674" s="10" t="b">
        <v>0</v>
      </c>
      <c r="O1674" s="41"/>
      <c r="P1674" s="45">
        <f t="shared" si="184"/>
        <v>446.03999999999996</v>
      </c>
      <c r="Q1674" s="45">
        <f t="shared" si="185"/>
        <v>615.96</v>
      </c>
      <c r="R1674" s="45">
        <v>0</v>
      </c>
      <c r="S1674" s="45">
        <f t="shared" si="186"/>
        <v>0</v>
      </c>
      <c r="T1674" s="45">
        <f t="shared" si="187"/>
        <v>0</v>
      </c>
      <c r="U1674" s="47">
        <f t="shared" si="188"/>
        <v>615.96</v>
      </c>
    </row>
    <row r="1675" spans="1:21" x14ac:dyDescent="0.3">
      <c r="A1675" s="41" t="str">
        <f t="shared" si="182"/>
        <v>PANNBO</v>
      </c>
      <c r="B1675" s="43">
        <v>45833</v>
      </c>
      <c r="C1675" s="10" t="s">
        <v>1717</v>
      </c>
      <c r="D1675" s="10" t="s">
        <v>42</v>
      </c>
      <c r="E1675" s="10" t="s">
        <v>26</v>
      </c>
      <c r="F1675" s="10" t="s">
        <v>23</v>
      </c>
      <c r="G1675" s="10" t="s">
        <v>7</v>
      </c>
      <c r="H1675" s="10" t="s">
        <v>13</v>
      </c>
      <c r="I1675" s="45">
        <v>2998</v>
      </c>
      <c r="J1675" s="11">
        <v>0</v>
      </c>
      <c r="K1675" s="45">
        <f t="shared" si="183"/>
        <v>2998</v>
      </c>
      <c r="L1675" s="10">
        <v>12</v>
      </c>
      <c r="M1675" s="10">
        <v>4.4000000000000004</v>
      </c>
      <c r="N1675" s="10" t="b">
        <v>1</v>
      </c>
      <c r="O1675" s="41" t="s">
        <v>33</v>
      </c>
      <c r="P1675" s="45">
        <f t="shared" si="184"/>
        <v>1259.1599999999999</v>
      </c>
      <c r="Q1675" s="45">
        <f t="shared" si="185"/>
        <v>1738.8400000000001</v>
      </c>
      <c r="R1675" s="45">
        <v>150</v>
      </c>
      <c r="S1675" s="45">
        <f t="shared" si="186"/>
        <v>299.8</v>
      </c>
      <c r="T1675" s="45">
        <f t="shared" si="187"/>
        <v>2998</v>
      </c>
      <c r="U1675" s="47">
        <f t="shared" si="188"/>
        <v>-1708.9599999999998</v>
      </c>
    </row>
    <row r="1676" spans="1:21" x14ac:dyDescent="0.3">
      <c r="A1676" s="41" t="str">
        <f t="shared" si="182"/>
        <v>PFORAC</v>
      </c>
      <c r="B1676" s="43">
        <v>45834</v>
      </c>
      <c r="C1676" s="10" t="s">
        <v>1718</v>
      </c>
      <c r="D1676" s="10" t="s">
        <v>65</v>
      </c>
      <c r="E1676" s="10" t="s">
        <v>15</v>
      </c>
      <c r="F1676" s="10" t="s">
        <v>23</v>
      </c>
      <c r="G1676" s="10" t="s">
        <v>7</v>
      </c>
      <c r="H1676" s="10" t="s">
        <v>16</v>
      </c>
      <c r="I1676" s="45">
        <v>478</v>
      </c>
      <c r="J1676" s="11">
        <v>0</v>
      </c>
      <c r="K1676" s="45">
        <f t="shared" si="183"/>
        <v>478</v>
      </c>
      <c r="L1676" s="10">
        <v>36</v>
      </c>
      <c r="M1676" s="10">
        <v>1.1000000000000001</v>
      </c>
      <c r="N1676" s="10" t="b">
        <v>0</v>
      </c>
      <c r="O1676" s="41"/>
      <c r="P1676" s="45">
        <f t="shared" si="184"/>
        <v>200.76</v>
      </c>
      <c r="Q1676" s="45">
        <f t="shared" si="185"/>
        <v>277.24</v>
      </c>
      <c r="R1676" s="45">
        <v>0</v>
      </c>
      <c r="S1676" s="45">
        <f t="shared" si="186"/>
        <v>0</v>
      </c>
      <c r="T1676" s="45">
        <f t="shared" si="187"/>
        <v>0</v>
      </c>
      <c r="U1676" s="47">
        <f t="shared" si="188"/>
        <v>277.24</v>
      </c>
    </row>
    <row r="1677" spans="1:21" x14ac:dyDescent="0.3">
      <c r="A1677" s="41" t="str">
        <f t="shared" si="182"/>
        <v>PBANDR</v>
      </c>
      <c r="B1677" s="43">
        <v>45834</v>
      </c>
      <c r="C1677" s="10" t="s">
        <v>1719</v>
      </c>
      <c r="D1677" s="10" t="s">
        <v>21</v>
      </c>
      <c r="E1677" s="10" t="s">
        <v>30</v>
      </c>
      <c r="F1677" s="10" t="s">
        <v>23</v>
      </c>
      <c r="G1677" s="10" t="s">
        <v>7</v>
      </c>
      <c r="H1677" s="10" t="s">
        <v>88</v>
      </c>
      <c r="I1677" s="45">
        <v>2091</v>
      </c>
      <c r="J1677" s="11">
        <v>0</v>
      </c>
      <c r="K1677" s="45">
        <f t="shared" si="183"/>
        <v>2091</v>
      </c>
      <c r="L1677" s="10">
        <v>16</v>
      </c>
      <c r="M1677" s="10">
        <v>3.5</v>
      </c>
      <c r="N1677" s="10" t="b">
        <v>1</v>
      </c>
      <c r="O1677" s="41" t="s">
        <v>33</v>
      </c>
      <c r="P1677" s="45">
        <f t="shared" si="184"/>
        <v>878.21999999999991</v>
      </c>
      <c r="Q1677" s="45">
        <f t="shared" si="185"/>
        <v>1212.7800000000002</v>
      </c>
      <c r="R1677" s="45">
        <v>150</v>
      </c>
      <c r="S1677" s="45">
        <f t="shared" si="186"/>
        <v>209.10000000000002</v>
      </c>
      <c r="T1677" s="45">
        <f t="shared" si="187"/>
        <v>2091</v>
      </c>
      <c r="U1677" s="47">
        <f t="shared" si="188"/>
        <v>-1237.3199999999997</v>
      </c>
    </row>
    <row r="1678" spans="1:21" x14ac:dyDescent="0.3">
      <c r="A1678" s="41" t="str">
        <f t="shared" si="182"/>
        <v>PBANAC</v>
      </c>
      <c r="B1678" s="43">
        <v>45834</v>
      </c>
      <c r="C1678" s="10" t="s">
        <v>1720</v>
      </c>
      <c r="D1678" s="10" t="s">
        <v>21</v>
      </c>
      <c r="E1678" s="10" t="s">
        <v>15</v>
      </c>
      <c r="F1678" s="10" t="s">
        <v>54</v>
      </c>
      <c r="G1678" s="10" t="s">
        <v>7</v>
      </c>
      <c r="H1678" s="10" t="s">
        <v>47</v>
      </c>
      <c r="I1678" s="45">
        <v>495</v>
      </c>
      <c r="J1678" s="11">
        <v>0</v>
      </c>
      <c r="K1678" s="45">
        <f t="shared" si="183"/>
        <v>495</v>
      </c>
      <c r="L1678" s="10">
        <v>31</v>
      </c>
      <c r="M1678" s="10">
        <v>2.5</v>
      </c>
      <c r="N1678" s="10" t="b">
        <v>0</v>
      </c>
      <c r="O1678" s="41"/>
      <c r="P1678" s="45">
        <f t="shared" si="184"/>
        <v>207.9</v>
      </c>
      <c r="Q1678" s="45">
        <f t="shared" si="185"/>
        <v>287.10000000000002</v>
      </c>
      <c r="R1678" s="45">
        <v>0</v>
      </c>
      <c r="S1678" s="45">
        <f t="shared" si="186"/>
        <v>0</v>
      </c>
      <c r="T1678" s="45">
        <f t="shared" si="187"/>
        <v>0</v>
      </c>
      <c r="U1678" s="47">
        <f t="shared" si="188"/>
        <v>287.10000000000002</v>
      </c>
    </row>
    <row r="1679" spans="1:21" x14ac:dyDescent="0.3">
      <c r="A1679" s="41" t="str">
        <f t="shared" si="182"/>
        <v>PBANSH</v>
      </c>
      <c r="B1679" s="43">
        <v>45834</v>
      </c>
      <c r="C1679" s="10" t="s">
        <v>1721</v>
      </c>
      <c r="D1679" s="10" t="s">
        <v>21</v>
      </c>
      <c r="E1679" s="10" t="s">
        <v>18</v>
      </c>
      <c r="F1679" s="10" t="s">
        <v>23</v>
      </c>
      <c r="G1679" s="10" t="s">
        <v>27</v>
      </c>
      <c r="H1679" s="10" t="s">
        <v>47</v>
      </c>
      <c r="I1679" s="45">
        <v>3026</v>
      </c>
      <c r="J1679" s="11">
        <v>0</v>
      </c>
      <c r="K1679" s="45">
        <f t="shared" si="183"/>
        <v>3026</v>
      </c>
      <c r="L1679" s="10">
        <v>24</v>
      </c>
      <c r="M1679" s="10">
        <v>1.4</v>
      </c>
      <c r="N1679" s="10" t="b">
        <v>0</v>
      </c>
      <c r="O1679" s="41"/>
      <c r="P1679" s="45">
        <f t="shared" si="184"/>
        <v>1270.9199999999998</v>
      </c>
      <c r="Q1679" s="45">
        <f t="shared" si="185"/>
        <v>1755.0800000000002</v>
      </c>
      <c r="R1679" s="45">
        <v>0</v>
      </c>
      <c r="S1679" s="45">
        <f t="shared" si="186"/>
        <v>0</v>
      </c>
      <c r="T1679" s="45">
        <f t="shared" si="187"/>
        <v>0</v>
      </c>
      <c r="U1679" s="47">
        <f t="shared" si="188"/>
        <v>1755.0800000000002</v>
      </c>
    </row>
    <row r="1680" spans="1:21" x14ac:dyDescent="0.3">
      <c r="A1680" s="41" t="str">
        <f t="shared" si="182"/>
        <v>PZARSH</v>
      </c>
      <c r="B1680" s="43">
        <v>45835</v>
      </c>
      <c r="C1680" s="10" t="s">
        <v>1722</v>
      </c>
      <c r="D1680" s="10" t="s">
        <v>3</v>
      </c>
      <c r="E1680" s="10" t="s">
        <v>18</v>
      </c>
      <c r="F1680" s="10" t="s">
        <v>23</v>
      </c>
      <c r="G1680" s="10" t="s">
        <v>49</v>
      </c>
      <c r="H1680" s="10" t="s">
        <v>6</v>
      </c>
      <c r="I1680" s="45">
        <v>3398</v>
      </c>
      <c r="J1680" s="11">
        <v>0</v>
      </c>
      <c r="K1680" s="45">
        <f t="shared" si="183"/>
        <v>3398</v>
      </c>
      <c r="L1680" s="10">
        <v>39</v>
      </c>
      <c r="M1680" s="10">
        <v>4</v>
      </c>
      <c r="N1680" s="10" t="b">
        <v>0</v>
      </c>
      <c r="O1680" s="41"/>
      <c r="P1680" s="45">
        <f t="shared" si="184"/>
        <v>1427.1599999999999</v>
      </c>
      <c r="Q1680" s="45">
        <f t="shared" si="185"/>
        <v>1970.8400000000001</v>
      </c>
      <c r="R1680" s="45">
        <v>0</v>
      </c>
      <c r="S1680" s="45">
        <f t="shared" si="186"/>
        <v>0</v>
      </c>
      <c r="T1680" s="45">
        <f t="shared" si="187"/>
        <v>0</v>
      </c>
      <c r="U1680" s="47">
        <f t="shared" si="188"/>
        <v>1970.8400000000001</v>
      </c>
    </row>
    <row r="1681" spans="1:21" x14ac:dyDescent="0.3">
      <c r="A1681" s="41" t="str">
        <f t="shared" si="182"/>
        <v>PGAPAC</v>
      </c>
      <c r="B1681" s="43">
        <v>45835</v>
      </c>
      <c r="C1681" s="10" t="s">
        <v>1723</v>
      </c>
      <c r="D1681" s="10" t="s">
        <v>53</v>
      </c>
      <c r="E1681" s="10" t="s">
        <v>15</v>
      </c>
      <c r="F1681" s="10" t="s">
        <v>4</v>
      </c>
      <c r="G1681" s="10" t="s">
        <v>7</v>
      </c>
      <c r="H1681" s="10" t="s">
        <v>56</v>
      </c>
      <c r="I1681" s="45">
        <v>268</v>
      </c>
      <c r="J1681" s="11">
        <v>0</v>
      </c>
      <c r="K1681" s="45">
        <f t="shared" si="183"/>
        <v>268</v>
      </c>
      <c r="L1681" s="10">
        <v>44</v>
      </c>
      <c r="M1681" s="10"/>
      <c r="N1681" s="10" t="b">
        <v>0</v>
      </c>
      <c r="O1681" s="41"/>
      <c r="P1681" s="45">
        <f t="shared" si="184"/>
        <v>112.56</v>
      </c>
      <c r="Q1681" s="45">
        <f t="shared" si="185"/>
        <v>155.44</v>
      </c>
      <c r="R1681" s="45">
        <v>0</v>
      </c>
      <c r="S1681" s="45">
        <f t="shared" si="186"/>
        <v>0</v>
      </c>
      <c r="T1681" s="45">
        <f t="shared" si="187"/>
        <v>0</v>
      </c>
      <c r="U1681" s="47">
        <f t="shared" si="188"/>
        <v>155.44</v>
      </c>
    </row>
    <row r="1682" spans="1:21" x14ac:dyDescent="0.3">
      <c r="A1682" s="41" t="str">
        <f t="shared" si="182"/>
        <v>PMANSH</v>
      </c>
      <c r="B1682" s="43">
        <v>45835</v>
      </c>
      <c r="C1682" s="10" t="s">
        <v>1724</v>
      </c>
      <c r="D1682" s="10" t="s">
        <v>31</v>
      </c>
      <c r="E1682" s="10" t="s">
        <v>18</v>
      </c>
      <c r="F1682" s="10" t="s">
        <v>54</v>
      </c>
      <c r="G1682" s="10" t="s">
        <v>49</v>
      </c>
      <c r="H1682" s="10" t="s">
        <v>56</v>
      </c>
      <c r="I1682" s="45">
        <v>4483</v>
      </c>
      <c r="J1682" s="11">
        <v>0</v>
      </c>
      <c r="K1682" s="45">
        <f t="shared" si="183"/>
        <v>4483</v>
      </c>
      <c r="L1682" s="10">
        <v>35</v>
      </c>
      <c r="M1682" s="10">
        <v>1.3</v>
      </c>
      <c r="N1682" s="10" t="b">
        <v>0</v>
      </c>
      <c r="O1682" s="41"/>
      <c r="P1682" s="45">
        <f t="shared" si="184"/>
        <v>1882.86</v>
      </c>
      <c r="Q1682" s="45">
        <f t="shared" si="185"/>
        <v>2600.1400000000003</v>
      </c>
      <c r="R1682" s="45">
        <v>0</v>
      </c>
      <c r="S1682" s="45">
        <f t="shared" si="186"/>
        <v>0</v>
      </c>
      <c r="T1682" s="45">
        <f t="shared" si="187"/>
        <v>0</v>
      </c>
      <c r="U1682" s="47">
        <f t="shared" si="188"/>
        <v>2600.1400000000003</v>
      </c>
    </row>
    <row r="1683" spans="1:21" x14ac:dyDescent="0.3">
      <c r="A1683" s="41" t="str">
        <f t="shared" si="182"/>
        <v>PGAPDR</v>
      </c>
      <c r="B1683" s="43">
        <v>45835</v>
      </c>
      <c r="C1683" s="10" t="s">
        <v>1725</v>
      </c>
      <c r="D1683" s="10" t="s">
        <v>53</v>
      </c>
      <c r="E1683" s="10" t="s">
        <v>30</v>
      </c>
      <c r="F1683" s="10" t="s">
        <v>23</v>
      </c>
      <c r="G1683" s="10" t="s">
        <v>49</v>
      </c>
      <c r="H1683" s="10" t="s">
        <v>6</v>
      </c>
      <c r="I1683" s="45">
        <v>2032</v>
      </c>
      <c r="J1683" s="11">
        <v>0</v>
      </c>
      <c r="K1683" s="45">
        <f t="shared" si="183"/>
        <v>2032</v>
      </c>
      <c r="L1683" s="10">
        <v>47</v>
      </c>
      <c r="M1683" s="10">
        <v>2</v>
      </c>
      <c r="N1683" s="10" t="b">
        <v>0</v>
      </c>
      <c r="O1683" s="41"/>
      <c r="P1683" s="45">
        <f t="shared" si="184"/>
        <v>853.43999999999994</v>
      </c>
      <c r="Q1683" s="45">
        <f t="shared" si="185"/>
        <v>1178.56</v>
      </c>
      <c r="R1683" s="45">
        <v>0</v>
      </c>
      <c r="S1683" s="45">
        <f t="shared" si="186"/>
        <v>0</v>
      </c>
      <c r="T1683" s="45">
        <f t="shared" si="187"/>
        <v>0</v>
      </c>
      <c r="U1683" s="47">
        <f t="shared" si="188"/>
        <v>1178.56</v>
      </c>
    </row>
    <row r="1684" spans="1:21" x14ac:dyDescent="0.3">
      <c r="A1684" s="41" t="str">
        <f t="shared" si="182"/>
        <v>PBANTO</v>
      </c>
      <c r="B1684" s="43">
        <v>45836</v>
      </c>
      <c r="C1684" s="10" t="s">
        <v>1726</v>
      </c>
      <c r="D1684" s="10" t="s">
        <v>21</v>
      </c>
      <c r="E1684" s="10" t="s">
        <v>9</v>
      </c>
      <c r="F1684" s="10" t="s">
        <v>54</v>
      </c>
      <c r="G1684" s="10" t="s">
        <v>12</v>
      </c>
      <c r="H1684" s="10" t="s">
        <v>88</v>
      </c>
      <c r="I1684" s="45">
        <v>1157</v>
      </c>
      <c r="J1684" s="11">
        <v>0.34700000000000003</v>
      </c>
      <c r="K1684" s="45">
        <f t="shared" si="183"/>
        <v>755.52100000000007</v>
      </c>
      <c r="L1684" s="10">
        <v>2</v>
      </c>
      <c r="M1684" s="10">
        <v>2.5</v>
      </c>
      <c r="N1684" s="10" t="b">
        <v>0</v>
      </c>
      <c r="O1684" s="41"/>
      <c r="P1684" s="45">
        <f t="shared" si="184"/>
        <v>317.31882000000002</v>
      </c>
      <c r="Q1684" s="45">
        <f t="shared" si="185"/>
        <v>438.20218000000006</v>
      </c>
      <c r="R1684" s="45">
        <v>0</v>
      </c>
      <c r="S1684" s="45">
        <f t="shared" si="186"/>
        <v>0</v>
      </c>
      <c r="T1684" s="45">
        <f t="shared" si="187"/>
        <v>0</v>
      </c>
      <c r="U1684" s="47">
        <f t="shared" si="188"/>
        <v>438.20218000000006</v>
      </c>
    </row>
    <row r="1685" spans="1:21" x14ac:dyDescent="0.3">
      <c r="A1685" s="41" t="str">
        <f t="shared" si="182"/>
        <v>PUNITO</v>
      </c>
      <c r="B1685" s="43">
        <v>45836</v>
      </c>
      <c r="C1685" s="10" t="s">
        <v>1727</v>
      </c>
      <c r="D1685" s="10" t="s">
        <v>10</v>
      </c>
      <c r="E1685" s="10" t="s">
        <v>9</v>
      </c>
      <c r="F1685" s="10" t="s">
        <v>54</v>
      </c>
      <c r="G1685" s="10" t="s">
        <v>38</v>
      </c>
      <c r="H1685" s="10" t="s">
        <v>43</v>
      </c>
      <c r="I1685" s="45">
        <v>1699</v>
      </c>
      <c r="J1685" s="11">
        <v>0</v>
      </c>
      <c r="K1685" s="45">
        <f t="shared" si="183"/>
        <v>1699</v>
      </c>
      <c r="L1685" s="10">
        <v>4</v>
      </c>
      <c r="M1685" s="10">
        <v>5</v>
      </c>
      <c r="N1685" s="10" t="b">
        <v>0</v>
      </c>
      <c r="O1685" s="41"/>
      <c r="P1685" s="45">
        <f t="shared" si="184"/>
        <v>713.57999999999993</v>
      </c>
      <c r="Q1685" s="45">
        <f t="shared" si="185"/>
        <v>985.42000000000007</v>
      </c>
      <c r="R1685" s="45">
        <v>0</v>
      </c>
      <c r="S1685" s="45">
        <f t="shared" si="186"/>
        <v>0</v>
      </c>
      <c r="T1685" s="45">
        <f t="shared" si="187"/>
        <v>0</v>
      </c>
      <c r="U1685" s="47">
        <f t="shared" si="188"/>
        <v>985.42000000000007</v>
      </c>
    </row>
    <row r="1686" spans="1:21" x14ac:dyDescent="0.3">
      <c r="A1686" s="41" t="str">
        <f t="shared" si="182"/>
        <v>PFORSH</v>
      </c>
      <c r="B1686" s="43">
        <v>45836</v>
      </c>
      <c r="C1686" s="10" t="s">
        <v>1728</v>
      </c>
      <c r="D1686" s="10" t="s">
        <v>65</v>
      </c>
      <c r="E1686" s="10" t="s">
        <v>18</v>
      </c>
      <c r="F1686" s="10" t="s">
        <v>4</v>
      </c>
      <c r="G1686" s="10" t="s">
        <v>5</v>
      </c>
      <c r="H1686" s="10" t="s">
        <v>28</v>
      </c>
      <c r="I1686" s="45">
        <v>3482</v>
      </c>
      <c r="J1686" s="11">
        <v>0.51500000000000001</v>
      </c>
      <c r="K1686" s="45">
        <f t="shared" si="183"/>
        <v>1688.77</v>
      </c>
      <c r="L1686" s="10">
        <v>27</v>
      </c>
      <c r="M1686" s="10">
        <v>3.4</v>
      </c>
      <c r="N1686" s="10" t="b">
        <v>1</v>
      </c>
      <c r="O1686" s="41" t="s">
        <v>33</v>
      </c>
      <c r="P1686" s="45">
        <f t="shared" si="184"/>
        <v>709.28339999999992</v>
      </c>
      <c r="Q1686" s="45">
        <f t="shared" si="185"/>
        <v>979.48660000000007</v>
      </c>
      <c r="R1686" s="45">
        <v>150</v>
      </c>
      <c r="S1686" s="45">
        <f t="shared" si="186"/>
        <v>168.87700000000001</v>
      </c>
      <c r="T1686" s="45">
        <f t="shared" si="187"/>
        <v>1688.77</v>
      </c>
      <c r="U1686" s="47">
        <f t="shared" si="188"/>
        <v>-1028.1604</v>
      </c>
    </row>
    <row r="1687" spans="1:21" x14ac:dyDescent="0.3">
      <c r="A1687" s="41" t="str">
        <f t="shared" si="182"/>
        <v>PBANBO</v>
      </c>
      <c r="B1687" s="43">
        <v>45836</v>
      </c>
      <c r="C1687" s="10" t="s">
        <v>1729</v>
      </c>
      <c r="D1687" s="10" t="s">
        <v>21</v>
      </c>
      <c r="E1687" s="10" t="s">
        <v>26</v>
      </c>
      <c r="F1687" s="10" t="s">
        <v>11</v>
      </c>
      <c r="G1687" s="10" t="s">
        <v>12</v>
      </c>
      <c r="H1687" s="10" t="s">
        <v>43</v>
      </c>
      <c r="I1687" s="45">
        <v>2618</v>
      </c>
      <c r="J1687" s="11">
        <v>0.49399999999999999</v>
      </c>
      <c r="K1687" s="45">
        <f t="shared" si="183"/>
        <v>1324.7080000000001</v>
      </c>
      <c r="L1687" s="10">
        <v>37</v>
      </c>
      <c r="M1687" s="10">
        <v>3.5</v>
      </c>
      <c r="N1687" s="10" t="b">
        <v>0</v>
      </c>
      <c r="O1687" s="41"/>
      <c r="P1687" s="45">
        <f t="shared" si="184"/>
        <v>556.37736000000007</v>
      </c>
      <c r="Q1687" s="45">
        <f t="shared" si="185"/>
        <v>768.33064000000002</v>
      </c>
      <c r="R1687" s="45">
        <v>0</v>
      </c>
      <c r="S1687" s="45">
        <f t="shared" si="186"/>
        <v>0</v>
      </c>
      <c r="T1687" s="45">
        <f t="shared" si="187"/>
        <v>0</v>
      </c>
      <c r="U1687" s="47">
        <f t="shared" si="188"/>
        <v>768.33064000000002</v>
      </c>
    </row>
    <row r="1688" spans="1:21" x14ac:dyDescent="0.3">
      <c r="A1688" s="41" t="str">
        <f t="shared" si="182"/>
        <v>PANNDR</v>
      </c>
      <c r="B1688" s="43">
        <v>45837</v>
      </c>
      <c r="C1688" s="10" t="s">
        <v>1730</v>
      </c>
      <c r="D1688" s="10" t="s">
        <v>42</v>
      </c>
      <c r="E1688" s="10" t="s">
        <v>30</v>
      </c>
      <c r="F1688" s="10" t="s">
        <v>11</v>
      </c>
      <c r="G1688" s="10" t="s">
        <v>38</v>
      </c>
      <c r="H1688" s="10" t="s">
        <v>28</v>
      </c>
      <c r="I1688" s="45">
        <v>2799</v>
      </c>
      <c r="J1688" s="11">
        <v>0.42899999999999999</v>
      </c>
      <c r="K1688" s="45">
        <f t="shared" si="183"/>
        <v>1598.2289999999998</v>
      </c>
      <c r="L1688" s="10">
        <v>48</v>
      </c>
      <c r="M1688" s="10"/>
      <c r="N1688" s="10" t="b">
        <v>0</v>
      </c>
      <c r="O1688" s="41"/>
      <c r="P1688" s="45">
        <f t="shared" si="184"/>
        <v>671.25617999999986</v>
      </c>
      <c r="Q1688" s="45">
        <f t="shared" si="185"/>
        <v>926.97281999999996</v>
      </c>
      <c r="R1688" s="45">
        <v>0</v>
      </c>
      <c r="S1688" s="45">
        <f t="shared" si="186"/>
        <v>0</v>
      </c>
      <c r="T1688" s="45">
        <f t="shared" si="187"/>
        <v>0</v>
      </c>
      <c r="U1688" s="47">
        <f t="shared" si="188"/>
        <v>926.97281999999996</v>
      </c>
    </row>
    <row r="1689" spans="1:21" x14ac:dyDescent="0.3">
      <c r="A1689" s="41" t="str">
        <f t="shared" si="182"/>
        <v>PANNTO</v>
      </c>
      <c r="B1689" s="43">
        <v>45837</v>
      </c>
      <c r="C1689" s="10" t="s">
        <v>1731</v>
      </c>
      <c r="D1689" s="10" t="s">
        <v>42</v>
      </c>
      <c r="E1689" s="10" t="s">
        <v>9</v>
      </c>
      <c r="F1689" s="10" t="s">
        <v>4</v>
      </c>
      <c r="G1689" s="10" t="s">
        <v>46</v>
      </c>
      <c r="H1689" s="10" t="s">
        <v>47</v>
      </c>
      <c r="I1689" s="45">
        <v>1696</v>
      </c>
      <c r="J1689" s="11">
        <v>0.27500000000000002</v>
      </c>
      <c r="K1689" s="45">
        <f t="shared" si="183"/>
        <v>1229.5999999999999</v>
      </c>
      <c r="L1689" s="10">
        <v>43</v>
      </c>
      <c r="M1689" s="10">
        <v>1.8</v>
      </c>
      <c r="N1689" s="10" t="b">
        <v>0</v>
      </c>
      <c r="O1689" s="41"/>
      <c r="P1689" s="45">
        <f t="shared" si="184"/>
        <v>516.4319999999999</v>
      </c>
      <c r="Q1689" s="45">
        <f t="shared" si="185"/>
        <v>713.16800000000001</v>
      </c>
      <c r="R1689" s="45">
        <v>0</v>
      </c>
      <c r="S1689" s="45">
        <f t="shared" si="186"/>
        <v>0</v>
      </c>
      <c r="T1689" s="45">
        <f t="shared" si="187"/>
        <v>0</v>
      </c>
      <c r="U1689" s="47">
        <f t="shared" si="188"/>
        <v>713.16800000000001</v>
      </c>
    </row>
    <row r="1690" spans="1:21" x14ac:dyDescent="0.3">
      <c r="A1690" s="41" t="str">
        <f t="shared" si="182"/>
        <v>PANNDR</v>
      </c>
      <c r="B1690" s="43">
        <v>45837</v>
      </c>
      <c r="C1690" s="10" t="s">
        <v>1732</v>
      </c>
      <c r="D1690" s="10" t="s">
        <v>42</v>
      </c>
      <c r="E1690" s="10" t="s">
        <v>30</v>
      </c>
      <c r="F1690" s="10" t="s">
        <v>11</v>
      </c>
      <c r="G1690" s="10" t="s">
        <v>12</v>
      </c>
      <c r="H1690" s="10" t="s">
        <v>16</v>
      </c>
      <c r="I1690" s="45">
        <v>2747</v>
      </c>
      <c r="J1690" s="11">
        <v>0</v>
      </c>
      <c r="K1690" s="45">
        <f t="shared" si="183"/>
        <v>2747</v>
      </c>
      <c r="L1690" s="10">
        <v>41</v>
      </c>
      <c r="M1690" s="10">
        <v>3.1</v>
      </c>
      <c r="N1690" s="10" t="b">
        <v>0</v>
      </c>
      <c r="O1690" s="41"/>
      <c r="P1690" s="45">
        <f t="shared" si="184"/>
        <v>1153.74</v>
      </c>
      <c r="Q1690" s="45">
        <f t="shared" si="185"/>
        <v>1593.26</v>
      </c>
      <c r="R1690" s="45">
        <v>0</v>
      </c>
      <c r="S1690" s="45">
        <f t="shared" si="186"/>
        <v>0</v>
      </c>
      <c r="T1690" s="45">
        <f t="shared" si="187"/>
        <v>0</v>
      </c>
      <c r="U1690" s="47">
        <f t="shared" si="188"/>
        <v>1593.26</v>
      </c>
    </row>
    <row r="1691" spans="1:21" x14ac:dyDescent="0.3">
      <c r="A1691" s="41" t="str">
        <f t="shared" si="182"/>
        <v>PMANOU</v>
      </c>
      <c r="B1691" s="43">
        <v>45837</v>
      </c>
      <c r="C1691" s="10" t="s">
        <v>1733</v>
      </c>
      <c r="D1691" s="10" t="s">
        <v>31</v>
      </c>
      <c r="E1691" s="10" t="s">
        <v>2</v>
      </c>
      <c r="F1691" s="10" t="s">
        <v>23</v>
      </c>
      <c r="G1691" s="10" t="s">
        <v>7</v>
      </c>
      <c r="H1691" s="10" t="s">
        <v>13</v>
      </c>
      <c r="I1691" s="45">
        <v>3953</v>
      </c>
      <c r="J1691" s="11">
        <v>0</v>
      </c>
      <c r="K1691" s="45">
        <f t="shared" si="183"/>
        <v>3953</v>
      </c>
      <c r="L1691" s="10">
        <v>27</v>
      </c>
      <c r="M1691" s="10">
        <v>1.7</v>
      </c>
      <c r="N1691" s="10" t="b">
        <v>0</v>
      </c>
      <c r="O1691" s="41"/>
      <c r="P1691" s="45">
        <f t="shared" si="184"/>
        <v>1660.26</v>
      </c>
      <c r="Q1691" s="45">
        <f t="shared" si="185"/>
        <v>2292.7399999999998</v>
      </c>
      <c r="R1691" s="45">
        <v>0</v>
      </c>
      <c r="S1691" s="45">
        <f t="shared" si="186"/>
        <v>0</v>
      </c>
      <c r="T1691" s="45">
        <f t="shared" si="187"/>
        <v>0</v>
      </c>
      <c r="U1691" s="47">
        <f t="shared" si="188"/>
        <v>2292.7399999999998</v>
      </c>
    </row>
    <row r="1692" spans="1:21" x14ac:dyDescent="0.3">
      <c r="A1692" s="41" t="str">
        <f t="shared" si="182"/>
        <v>PZARAC</v>
      </c>
      <c r="B1692" s="43">
        <v>45838</v>
      </c>
      <c r="C1692" s="10" t="s">
        <v>1734</v>
      </c>
      <c r="D1692" s="10" t="s">
        <v>3</v>
      </c>
      <c r="E1692" s="10" t="s">
        <v>15</v>
      </c>
      <c r="F1692" s="10" t="s">
        <v>4</v>
      </c>
      <c r="G1692" s="10" t="s">
        <v>7</v>
      </c>
      <c r="H1692" s="10" t="s">
        <v>88</v>
      </c>
      <c r="I1692" s="45">
        <v>398</v>
      </c>
      <c r="J1692" s="11">
        <v>0</v>
      </c>
      <c r="K1692" s="45">
        <f t="shared" si="183"/>
        <v>398</v>
      </c>
      <c r="L1692" s="10">
        <v>44</v>
      </c>
      <c r="M1692" s="10">
        <v>3.1</v>
      </c>
      <c r="N1692" s="10" t="b">
        <v>0</v>
      </c>
      <c r="O1692" s="41"/>
      <c r="P1692" s="45">
        <f t="shared" si="184"/>
        <v>167.16</v>
      </c>
      <c r="Q1692" s="45">
        <f t="shared" si="185"/>
        <v>230.84</v>
      </c>
      <c r="R1692" s="45">
        <v>0</v>
      </c>
      <c r="S1692" s="45">
        <f t="shared" si="186"/>
        <v>0</v>
      </c>
      <c r="T1692" s="45">
        <f t="shared" si="187"/>
        <v>0</v>
      </c>
      <c r="U1692" s="47">
        <f t="shared" si="188"/>
        <v>230.84</v>
      </c>
    </row>
    <row r="1693" spans="1:21" x14ac:dyDescent="0.3">
      <c r="A1693" s="41" t="str">
        <f t="shared" si="182"/>
        <v>PUNIAC</v>
      </c>
      <c r="B1693" s="43">
        <v>45838</v>
      </c>
      <c r="C1693" s="10" t="s">
        <v>1735</v>
      </c>
      <c r="D1693" s="10" t="s">
        <v>10</v>
      </c>
      <c r="E1693" s="10" t="s">
        <v>15</v>
      </c>
      <c r="F1693" s="10" t="s">
        <v>4</v>
      </c>
      <c r="G1693" s="10" t="s">
        <v>7</v>
      </c>
      <c r="H1693" s="10" t="s">
        <v>58</v>
      </c>
      <c r="I1693" s="45">
        <v>433</v>
      </c>
      <c r="J1693" s="11">
        <v>0.192</v>
      </c>
      <c r="K1693" s="45">
        <f t="shared" si="183"/>
        <v>349.86400000000003</v>
      </c>
      <c r="L1693" s="10">
        <v>8</v>
      </c>
      <c r="M1693" s="10">
        <v>4.3</v>
      </c>
      <c r="N1693" s="10" t="b">
        <v>1</v>
      </c>
      <c r="O1693" s="41" t="s">
        <v>44</v>
      </c>
      <c r="P1693" s="45">
        <f t="shared" si="184"/>
        <v>146.94288</v>
      </c>
      <c r="Q1693" s="45">
        <f t="shared" si="185"/>
        <v>202.92112000000003</v>
      </c>
      <c r="R1693" s="45">
        <v>150</v>
      </c>
      <c r="S1693" s="45">
        <f t="shared" si="186"/>
        <v>34.986400000000003</v>
      </c>
      <c r="T1693" s="45">
        <f t="shared" si="187"/>
        <v>349.86400000000003</v>
      </c>
      <c r="U1693" s="47">
        <f t="shared" si="188"/>
        <v>-331.92928000000001</v>
      </c>
    </row>
    <row r="1694" spans="1:21" x14ac:dyDescent="0.3">
      <c r="A1694" s="41" t="str">
        <f t="shared" si="182"/>
        <v>PMANAC</v>
      </c>
      <c r="B1694" s="43">
        <v>45838</v>
      </c>
      <c r="C1694" s="10" t="s">
        <v>1736</v>
      </c>
      <c r="D1694" s="10" t="s">
        <v>31</v>
      </c>
      <c r="E1694" s="10" t="s">
        <v>15</v>
      </c>
      <c r="F1694" s="10" t="s">
        <v>23</v>
      </c>
      <c r="G1694" s="10" t="s">
        <v>7</v>
      </c>
      <c r="H1694" s="10" t="s">
        <v>88</v>
      </c>
      <c r="I1694" s="45">
        <v>309</v>
      </c>
      <c r="J1694" s="11">
        <v>0.29100000000000004</v>
      </c>
      <c r="K1694" s="45">
        <f t="shared" si="183"/>
        <v>219.08099999999999</v>
      </c>
      <c r="L1694" s="10">
        <v>37</v>
      </c>
      <c r="M1694" s="10">
        <v>1.3</v>
      </c>
      <c r="N1694" s="10" t="b">
        <v>0</v>
      </c>
      <c r="O1694" s="41"/>
      <c r="P1694" s="45">
        <f t="shared" si="184"/>
        <v>92.014019999999988</v>
      </c>
      <c r="Q1694" s="45">
        <f t="shared" si="185"/>
        <v>127.06698</v>
      </c>
      <c r="R1694" s="45">
        <v>0</v>
      </c>
      <c r="S1694" s="45">
        <f t="shared" si="186"/>
        <v>0</v>
      </c>
      <c r="T1694" s="45">
        <f t="shared" si="187"/>
        <v>0</v>
      </c>
      <c r="U1694" s="47">
        <f t="shared" si="188"/>
        <v>127.06698</v>
      </c>
    </row>
    <row r="1695" spans="1:21" x14ac:dyDescent="0.3">
      <c r="A1695" s="41" t="str">
        <f t="shared" si="182"/>
        <v>PMANAC</v>
      </c>
      <c r="B1695" s="43">
        <v>45838</v>
      </c>
      <c r="C1695" s="10" t="s">
        <v>1737</v>
      </c>
      <c r="D1695" s="10" t="s">
        <v>31</v>
      </c>
      <c r="E1695" s="10" t="s">
        <v>15</v>
      </c>
      <c r="F1695" s="10" t="s">
        <v>11</v>
      </c>
      <c r="G1695" s="10" t="s">
        <v>7</v>
      </c>
      <c r="H1695" s="10" t="s">
        <v>32</v>
      </c>
      <c r="I1695" s="45">
        <v>186</v>
      </c>
      <c r="J1695" s="11">
        <v>0.502</v>
      </c>
      <c r="K1695" s="45">
        <f t="shared" si="183"/>
        <v>92.628</v>
      </c>
      <c r="L1695" s="10">
        <v>46</v>
      </c>
      <c r="M1695" s="10"/>
      <c r="N1695" s="10" t="b">
        <v>0</v>
      </c>
      <c r="O1695" s="41"/>
      <c r="P1695" s="45">
        <f t="shared" si="184"/>
        <v>38.903759999999998</v>
      </c>
      <c r="Q1695" s="45">
        <f t="shared" si="185"/>
        <v>53.724240000000002</v>
      </c>
      <c r="R1695" s="45">
        <v>0</v>
      </c>
      <c r="S1695" s="45">
        <f t="shared" si="186"/>
        <v>0</v>
      </c>
      <c r="T1695" s="45">
        <f t="shared" si="187"/>
        <v>0</v>
      </c>
      <c r="U1695" s="47">
        <f t="shared" si="188"/>
        <v>53.724240000000002</v>
      </c>
    </row>
    <row r="1696" spans="1:21" x14ac:dyDescent="0.3">
      <c r="A1696" s="41" t="str">
        <f t="shared" si="182"/>
        <v>PH&amp;MAC</v>
      </c>
      <c r="B1696" s="43">
        <v>45839</v>
      </c>
      <c r="C1696" s="10" t="s">
        <v>1738</v>
      </c>
      <c r="D1696" s="10" t="s">
        <v>37</v>
      </c>
      <c r="E1696" s="10" t="s">
        <v>15</v>
      </c>
      <c r="F1696" s="10" t="s">
        <v>23</v>
      </c>
      <c r="G1696" s="10" t="s">
        <v>7</v>
      </c>
      <c r="H1696" s="10" t="s">
        <v>7</v>
      </c>
      <c r="I1696" s="45">
        <v>343</v>
      </c>
      <c r="J1696" s="11">
        <v>0.192</v>
      </c>
      <c r="K1696" s="45">
        <f t="shared" si="183"/>
        <v>277.14400000000001</v>
      </c>
      <c r="L1696" s="10">
        <v>19</v>
      </c>
      <c r="M1696" s="10">
        <v>1.8</v>
      </c>
      <c r="N1696" s="10" t="b">
        <v>0</v>
      </c>
      <c r="O1696" s="41"/>
      <c r="P1696" s="45">
        <f t="shared" si="184"/>
        <v>116.40048</v>
      </c>
      <c r="Q1696" s="45">
        <f t="shared" si="185"/>
        <v>160.74351999999999</v>
      </c>
      <c r="R1696" s="45">
        <v>0</v>
      </c>
      <c r="S1696" s="45">
        <f t="shared" si="186"/>
        <v>0</v>
      </c>
      <c r="T1696" s="45">
        <f t="shared" si="187"/>
        <v>0</v>
      </c>
      <c r="U1696" s="47">
        <f t="shared" si="188"/>
        <v>160.74351999999999</v>
      </c>
    </row>
    <row r="1697" spans="1:21" x14ac:dyDescent="0.3">
      <c r="A1697" s="41" t="str">
        <f t="shared" si="182"/>
        <v>PBANAC</v>
      </c>
      <c r="B1697" s="43">
        <v>45839</v>
      </c>
      <c r="C1697" s="10" t="s">
        <v>1739</v>
      </c>
      <c r="D1697" s="10" t="s">
        <v>21</v>
      </c>
      <c r="E1697" s="10" t="s">
        <v>15</v>
      </c>
      <c r="F1697" s="10" t="s">
        <v>54</v>
      </c>
      <c r="G1697" s="10" t="s">
        <v>7</v>
      </c>
      <c r="H1697" s="10" t="s">
        <v>56</v>
      </c>
      <c r="I1697" s="45">
        <v>347</v>
      </c>
      <c r="J1697" s="11">
        <v>0</v>
      </c>
      <c r="K1697" s="45">
        <f t="shared" si="183"/>
        <v>347</v>
      </c>
      <c r="L1697" s="10">
        <v>29</v>
      </c>
      <c r="M1697" s="10">
        <v>1.5</v>
      </c>
      <c r="N1697" s="10" t="b">
        <v>0</v>
      </c>
      <c r="O1697" s="41"/>
      <c r="P1697" s="45">
        <f t="shared" si="184"/>
        <v>145.73999999999998</v>
      </c>
      <c r="Q1697" s="45">
        <f t="shared" si="185"/>
        <v>201.26000000000002</v>
      </c>
      <c r="R1697" s="45">
        <v>0</v>
      </c>
      <c r="S1697" s="45">
        <f t="shared" si="186"/>
        <v>0</v>
      </c>
      <c r="T1697" s="45">
        <f t="shared" si="187"/>
        <v>0</v>
      </c>
      <c r="U1697" s="47">
        <f t="shared" si="188"/>
        <v>201.26000000000002</v>
      </c>
    </row>
    <row r="1698" spans="1:21" x14ac:dyDescent="0.3">
      <c r="A1698" s="41" t="str">
        <f t="shared" si="182"/>
        <v>PZARTO</v>
      </c>
      <c r="B1698" s="43">
        <v>45839</v>
      </c>
      <c r="C1698" s="10" t="s">
        <v>1740</v>
      </c>
      <c r="D1698" s="10" t="s">
        <v>3</v>
      </c>
      <c r="E1698" s="10" t="s">
        <v>9</v>
      </c>
      <c r="F1698" s="10" t="s">
        <v>4</v>
      </c>
      <c r="G1698" s="10" t="s">
        <v>46</v>
      </c>
      <c r="H1698" s="10" t="s">
        <v>28</v>
      </c>
      <c r="I1698" s="45">
        <v>1346</v>
      </c>
      <c r="J1698" s="11">
        <v>0.24299999999999999</v>
      </c>
      <c r="K1698" s="45">
        <f t="shared" si="183"/>
        <v>1018.922</v>
      </c>
      <c r="L1698" s="10">
        <v>47</v>
      </c>
      <c r="M1698" s="10">
        <v>5</v>
      </c>
      <c r="N1698" s="10" t="b">
        <v>0</v>
      </c>
      <c r="O1698" s="41"/>
      <c r="P1698" s="45">
        <f t="shared" si="184"/>
        <v>427.94724000000002</v>
      </c>
      <c r="Q1698" s="45">
        <f t="shared" si="185"/>
        <v>590.97476000000006</v>
      </c>
      <c r="R1698" s="45">
        <v>0</v>
      </c>
      <c r="S1698" s="45">
        <f t="shared" si="186"/>
        <v>0</v>
      </c>
      <c r="T1698" s="45">
        <f t="shared" si="187"/>
        <v>0</v>
      </c>
      <c r="U1698" s="47">
        <f t="shared" si="188"/>
        <v>590.97476000000006</v>
      </c>
    </row>
    <row r="1699" spans="1:21" x14ac:dyDescent="0.3">
      <c r="A1699" s="41" t="str">
        <f t="shared" si="182"/>
        <v>PBANAC</v>
      </c>
      <c r="B1699" s="43">
        <v>45840</v>
      </c>
      <c r="C1699" s="10" t="s">
        <v>1741</v>
      </c>
      <c r="D1699" s="10" t="s">
        <v>21</v>
      </c>
      <c r="E1699" s="10" t="s">
        <v>15</v>
      </c>
      <c r="F1699" s="10" t="s">
        <v>54</v>
      </c>
      <c r="G1699" s="10" t="s">
        <v>7</v>
      </c>
      <c r="H1699" s="10" t="s">
        <v>35</v>
      </c>
      <c r="I1699" s="45">
        <v>228</v>
      </c>
      <c r="J1699" s="11">
        <v>0.19600000000000001</v>
      </c>
      <c r="K1699" s="45">
        <f t="shared" si="183"/>
        <v>183.31200000000001</v>
      </c>
      <c r="L1699" s="10">
        <v>47</v>
      </c>
      <c r="M1699" s="10">
        <v>2.9</v>
      </c>
      <c r="N1699" s="10" t="b">
        <v>0</v>
      </c>
      <c r="O1699" s="41"/>
      <c r="P1699" s="45">
        <f t="shared" si="184"/>
        <v>76.991039999999998</v>
      </c>
      <c r="Q1699" s="45">
        <f t="shared" si="185"/>
        <v>106.32096000000001</v>
      </c>
      <c r="R1699" s="45">
        <v>0</v>
      </c>
      <c r="S1699" s="45">
        <f t="shared" si="186"/>
        <v>0</v>
      </c>
      <c r="T1699" s="45">
        <f t="shared" si="187"/>
        <v>0</v>
      </c>
      <c r="U1699" s="47">
        <f t="shared" si="188"/>
        <v>106.32096000000001</v>
      </c>
    </row>
    <row r="1700" spans="1:21" x14ac:dyDescent="0.3">
      <c r="A1700" s="41" t="str">
        <f t="shared" si="182"/>
        <v>PMANBO</v>
      </c>
      <c r="B1700" s="43">
        <v>45840</v>
      </c>
      <c r="C1700" s="10" t="s">
        <v>1742</v>
      </c>
      <c r="D1700" s="10" t="s">
        <v>31</v>
      </c>
      <c r="E1700" s="10" t="s">
        <v>26</v>
      </c>
      <c r="F1700" s="10" t="s">
        <v>54</v>
      </c>
      <c r="G1700" s="10" t="s">
        <v>27</v>
      </c>
      <c r="H1700" s="10" t="s">
        <v>88</v>
      </c>
      <c r="I1700" s="45">
        <v>2639</v>
      </c>
      <c r="J1700" s="11">
        <v>0.19600000000000001</v>
      </c>
      <c r="K1700" s="45">
        <f t="shared" si="183"/>
        <v>2121.7560000000003</v>
      </c>
      <c r="L1700" s="10">
        <v>39</v>
      </c>
      <c r="M1700" s="10">
        <v>4.3</v>
      </c>
      <c r="N1700" s="10" t="b">
        <v>0</v>
      </c>
      <c r="O1700" s="41"/>
      <c r="P1700" s="45">
        <f t="shared" si="184"/>
        <v>891.13752000000011</v>
      </c>
      <c r="Q1700" s="45">
        <f t="shared" si="185"/>
        <v>1230.6184800000001</v>
      </c>
      <c r="R1700" s="45">
        <v>0</v>
      </c>
      <c r="S1700" s="45">
        <f t="shared" si="186"/>
        <v>0</v>
      </c>
      <c r="T1700" s="45">
        <f t="shared" si="187"/>
        <v>0</v>
      </c>
      <c r="U1700" s="47">
        <f t="shared" si="188"/>
        <v>1230.6184800000001</v>
      </c>
    </row>
    <row r="1701" spans="1:21" x14ac:dyDescent="0.3">
      <c r="A1701" s="41" t="str">
        <f t="shared" si="182"/>
        <v>PANNDR</v>
      </c>
      <c r="B1701" s="43">
        <v>45840</v>
      </c>
      <c r="C1701" s="10" t="s">
        <v>1743</v>
      </c>
      <c r="D1701" s="10" t="s">
        <v>42</v>
      </c>
      <c r="E1701" s="10" t="s">
        <v>30</v>
      </c>
      <c r="F1701" s="10" t="s">
        <v>11</v>
      </c>
      <c r="G1701" s="10" t="s">
        <v>46</v>
      </c>
      <c r="H1701" s="10" t="s">
        <v>35</v>
      </c>
      <c r="I1701" s="45">
        <v>2836</v>
      </c>
      <c r="J1701" s="11">
        <v>0</v>
      </c>
      <c r="K1701" s="45">
        <f t="shared" si="183"/>
        <v>2836</v>
      </c>
      <c r="L1701" s="10">
        <v>15</v>
      </c>
      <c r="M1701" s="10">
        <v>5</v>
      </c>
      <c r="N1701" s="10" t="b">
        <v>0</v>
      </c>
      <c r="O1701" s="41"/>
      <c r="P1701" s="45">
        <f t="shared" si="184"/>
        <v>1191.1199999999999</v>
      </c>
      <c r="Q1701" s="45">
        <f t="shared" si="185"/>
        <v>1644.88</v>
      </c>
      <c r="R1701" s="45">
        <v>0</v>
      </c>
      <c r="S1701" s="45">
        <f t="shared" si="186"/>
        <v>0</v>
      </c>
      <c r="T1701" s="45">
        <f t="shared" si="187"/>
        <v>0</v>
      </c>
      <c r="U1701" s="47">
        <f t="shared" si="188"/>
        <v>1644.88</v>
      </c>
    </row>
    <row r="1702" spans="1:21" x14ac:dyDescent="0.3">
      <c r="A1702" s="41" t="str">
        <f t="shared" si="182"/>
        <v>PMANSH</v>
      </c>
      <c r="B1702" s="43">
        <v>45840</v>
      </c>
      <c r="C1702" s="10" t="s">
        <v>1744</v>
      </c>
      <c r="D1702" s="10" t="s">
        <v>31</v>
      </c>
      <c r="E1702" s="10" t="s">
        <v>18</v>
      </c>
      <c r="F1702" s="10" t="s">
        <v>11</v>
      </c>
      <c r="G1702" s="10" t="s">
        <v>46</v>
      </c>
      <c r="H1702" s="10" t="s">
        <v>88</v>
      </c>
      <c r="I1702" s="45">
        <v>3969</v>
      </c>
      <c r="J1702" s="11">
        <v>5.7000000000000002E-2</v>
      </c>
      <c r="K1702" s="45">
        <f t="shared" si="183"/>
        <v>3742.7669999999998</v>
      </c>
      <c r="L1702" s="10">
        <v>39</v>
      </c>
      <c r="M1702" s="10">
        <v>1.4</v>
      </c>
      <c r="N1702" s="10" t="b">
        <v>0</v>
      </c>
      <c r="O1702" s="41"/>
      <c r="P1702" s="45">
        <f t="shared" si="184"/>
        <v>1571.9621399999999</v>
      </c>
      <c r="Q1702" s="45">
        <f t="shared" si="185"/>
        <v>2170.8048600000002</v>
      </c>
      <c r="R1702" s="45">
        <v>0</v>
      </c>
      <c r="S1702" s="45">
        <f t="shared" si="186"/>
        <v>0</v>
      </c>
      <c r="T1702" s="45">
        <f t="shared" si="187"/>
        <v>0</v>
      </c>
      <c r="U1702" s="47">
        <f t="shared" si="188"/>
        <v>2170.8048600000002</v>
      </c>
    </row>
    <row r="1703" spans="1:21" x14ac:dyDescent="0.3">
      <c r="A1703" s="41" t="str">
        <f t="shared" si="182"/>
        <v>PH&amp;MTO</v>
      </c>
      <c r="B1703" s="43">
        <v>45841</v>
      </c>
      <c r="C1703" s="10" t="s">
        <v>1745</v>
      </c>
      <c r="D1703" s="10" t="s">
        <v>37</v>
      </c>
      <c r="E1703" s="10" t="s">
        <v>9</v>
      </c>
      <c r="F1703" s="10" t="s">
        <v>4</v>
      </c>
      <c r="G1703" s="10" t="s">
        <v>49</v>
      </c>
      <c r="H1703" s="10" t="s">
        <v>47</v>
      </c>
      <c r="I1703" s="45">
        <v>1404</v>
      </c>
      <c r="J1703" s="11">
        <v>7.0999999999999994E-2</v>
      </c>
      <c r="K1703" s="45">
        <f t="shared" si="183"/>
        <v>1304.316</v>
      </c>
      <c r="L1703" s="10">
        <v>13</v>
      </c>
      <c r="M1703" s="10">
        <v>3.3</v>
      </c>
      <c r="N1703" s="10" t="b">
        <v>0</v>
      </c>
      <c r="O1703" s="41"/>
      <c r="P1703" s="45">
        <f t="shared" si="184"/>
        <v>547.81272000000001</v>
      </c>
      <c r="Q1703" s="45">
        <f t="shared" si="185"/>
        <v>756.50328000000002</v>
      </c>
      <c r="R1703" s="45">
        <v>0</v>
      </c>
      <c r="S1703" s="45">
        <f t="shared" si="186"/>
        <v>0</v>
      </c>
      <c r="T1703" s="45">
        <f t="shared" si="187"/>
        <v>0</v>
      </c>
      <c r="U1703" s="47">
        <f t="shared" si="188"/>
        <v>756.50328000000002</v>
      </c>
    </row>
    <row r="1704" spans="1:21" x14ac:dyDescent="0.3">
      <c r="A1704" s="41" t="str">
        <f t="shared" si="182"/>
        <v>PFORAC</v>
      </c>
      <c r="B1704" s="43">
        <v>45841</v>
      </c>
      <c r="C1704" s="10" t="s">
        <v>1746</v>
      </c>
      <c r="D1704" s="10" t="s">
        <v>65</v>
      </c>
      <c r="E1704" s="10" t="s">
        <v>15</v>
      </c>
      <c r="F1704" s="10" t="s">
        <v>54</v>
      </c>
      <c r="G1704" s="10" t="s">
        <v>7</v>
      </c>
      <c r="H1704" s="10" t="s">
        <v>13</v>
      </c>
      <c r="I1704" s="45">
        <v>282</v>
      </c>
      <c r="J1704" s="11">
        <v>0</v>
      </c>
      <c r="K1704" s="45">
        <f t="shared" si="183"/>
        <v>282</v>
      </c>
      <c r="L1704" s="10">
        <v>41</v>
      </c>
      <c r="M1704" s="10">
        <v>1.8</v>
      </c>
      <c r="N1704" s="10" t="b">
        <v>0</v>
      </c>
      <c r="O1704" s="41"/>
      <c r="P1704" s="45">
        <f t="shared" si="184"/>
        <v>118.44</v>
      </c>
      <c r="Q1704" s="45">
        <f t="shared" si="185"/>
        <v>163.56</v>
      </c>
      <c r="R1704" s="45">
        <v>0</v>
      </c>
      <c r="S1704" s="45">
        <f t="shared" si="186"/>
        <v>0</v>
      </c>
      <c r="T1704" s="45">
        <f t="shared" si="187"/>
        <v>0</v>
      </c>
      <c r="U1704" s="47">
        <f t="shared" si="188"/>
        <v>163.56</v>
      </c>
    </row>
    <row r="1705" spans="1:21" x14ac:dyDescent="0.3">
      <c r="A1705" s="41" t="str">
        <f t="shared" si="182"/>
        <v>PGAPTO</v>
      </c>
      <c r="B1705" s="43">
        <v>45841</v>
      </c>
      <c r="C1705" s="10" t="s">
        <v>1747</v>
      </c>
      <c r="D1705" s="10" t="s">
        <v>53</v>
      </c>
      <c r="E1705" s="10" t="s">
        <v>9</v>
      </c>
      <c r="F1705" s="10" t="s">
        <v>23</v>
      </c>
      <c r="G1705" s="10" t="s">
        <v>49</v>
      </c>
      <c r="H1705" s="10" t="s">
        <v>16</v>
      </c>
      <c r="I1705" s="45">
        <v>1255</v>
      </c>
      <c r="J1705" s="11">
        <v>0.318</v>
      </c>
      <c r="K1705" s="45">
        <f t="shared" si="183"/>
        <v>855.91</v>
      </c>
      <c r="L1705" s="10">
        <v>2</v>
      </c>
      <c r="M1705" s="10">
        <v>3.7</v>
      </c>
      <c r="N1705" s="10" t="b">
        <v>0</v>
      </c>
      <c r="O1705" s="41"/>
      <c r="P1705" s="45">
        <f t="shared" si="184"/>
        <v>359.48219999999998</v>
      </c>
      <c r="Q1705" s="45">
        <f t="shared" si="185"/>
        <v>496.42779999999999</v>
      </c>
      <c r="R1705" s="45">
        <v>0</v>
      </c>
      <c r="S1705" s="45">
        <f t="shared" si="186"/>
        <v>0</v>
      </c>
      <c r="T1705" s="45">
        <f t="shared" si="187"/>
        <v>0</v>
      </c>
      <c r="U1705" s="47">
        <f t="shared" si="188"/>
        <v>496.42779999999999</v>
      </c>
    </row>
    <row r="1706" spans="1:21" x14ac:dyDescent="0.3">
      <c r="A1706" s="41" t="str">
        <f t="shared" si="182"/>
        <v>PBANBO</v>
      </c>
      <c r="B1706" s="43">
        <v>45841</v>
      </c>
      <c r="C1706" s="10" t="s">
        <v>1748</v>
      </c>
      <c r="D1706" s="10" t="s">
        <v>21</v>
      </c>
      <c r="E1706" s="10" t="s">
        <v>26</v>
      </c>
      <c r="F1706" s="10" t="s">
        <v>4</v>
      </c>
      <c r="G1706" s="10" t="s">
        <v>49</v>
      </c>
      <c r="H1706" s="10" t="s">
        <v>58</v>
      </c>
      <c r="I1706" s="45">
        <v>2142</v>
      </c>
      <c r="J1706" s="11">
        <v>0</v>
      </c>
      <c r="K1706" s="45">
        <f t="shared" si="183"/>
        <v>2142</v>
      </c>
      <c r="L1706" s="10">
        <v>45</v>
      </c>
      <c r="M1706" s="10">
        <v>1.3</v>
      </c>
      <c r="N1706" s="10" t="b">
        <v>0</v>
      </c>
      <c r="O1706" s="41"/>
      <c r="P1706" s="45">
        <f t="shared" si="184"/>
        <v>899.64</v>
      </c>
      <c r="Q1706" s="45">
        <f t="shared" si="185"/>
        <v>1242.3600000000001</v>
      </c>
      <c r="R1706" s="45">
        <v>0</v>
      </c>
      <c r="S1706" s="45">
        <f t="shared" si="186"/>
        <v>0</v>
      </c>
      <c r="T1706" s="45">
        <f t="shared" si="187"/>
        <v>0</v>
      </c>
      <c r="U1706" s="47">
        <f t="shared" si="188"/>
        <v>1242.3600000000001</v>
      </c>
    </row>
    <row r="1707" spans="1:21" x14ac:dyDescent="0.3">
      <c r="A1707" s="41" t="str">
        <f t="shared" si="182"/>
        <v>PZARBO</v>
      </c>
      <c r="B1707" s="43">
        <v>45842</v>
      </c>
      <c r="C1707" s="10" t="s">
        <v>1749</v>
      </c>
      <c r="D1707" s="10" t="s">
        <v>3</v>
      </c>
      <c r="E1707" s="10" t="s">
        <v>26</v>
      </c>
      <c r="F1707" s="10" t="s">
        <v>54</v>
      </c>
      <c r="G1707" s="10" t="s">
        <v>38</v>
      </c>
      <c r="H1707" s="10" t="s">
        <v>47</v>
      </c>
      <c r="I1707" s="45">
        <v>2443</v>
      </c>
      <c r="J1707" s="11">
        <v>0.39100000000000001</v>
      </c>
      <c r="K1707" s="45">
        <f t="shared" si="183"/>
        <v>1487.787</v>
      </c>
      <c r="L1707" s="10">
        <v>19</v>
      </c>
      <c r="M1707" s="10">
        <v>2.6</v>
      </c>
      <c r="N1707" s="10" t="b">
        <v>0</v>
      </c>
      <c r="O1707" s="41"/>
      <c r="P1707" s="45">
        <f t="shared" si="184"/>
        <v>624.87054000000001</v>
      </c>
      <c r="Q1707" s="45">
        <f t="shared" si="185"/>
        <v>862.91646000000003</v>
      </c>
      <c r="R1707" s="45">
        <v>0</v>
      </c>
      <c r="S1707" s="45">
        <f t="shared" si="186"/>
        <v>0</v>
      </c>
      <c r="T1707" s="45">
        <f t="shared" si="187"/>
        <v>0</v>
      </c>
      <c r="U1707" s="47">
        <f t="shared" si="188"/>
        <v>862.91646000000003</v>
      </c>
    </row>
    <row r="1708" spans="1:21" x14ac:dyDescent="0.3">
      <c r="A1708" s="41" t="str">
        <f t="shared" si="182"/>
        <v>PH&amp;MDR</v>
      </c>
      <c r="B1708" s="43">
        <v>45842</v>
      </c>
      <c r="C1708" s="10" t="s">
        <v>1750</v>
      </c>
      <c r="D1708" s="10" t="s">
        <v>37</v>
      </c>
      <c r="E1708" s="10" t="s">
        <v>30</v>
      </c>
      <c r="F1708" s="10" t="s">
        <v>11</v>
      </c>
      <c r="G1708" s="10" t="s">
        <v>5</v>
      </c>
      <c r="H1708" s="10" t="s">
        <v>13</v>
      </c>
      <c r="I1708" s="45">
        <v>1875</v>
      </c>
      <c r="J1708" s="11">
        <v>0</v>
      </c>
      <c r="K1708" s="45">
        <f t="shared" si="183"/>
        <v>1875</v>
      </c>
      <c r="L1708" s="10">
        <v>10</v>
      </c>
      <c r="M1708" s="10">
        <v>1</v>
      </c>
      <c r="N1708" s="10" t="b">
        <v>1</v>
      </c>
      <c r="O1708" s="41" t="s">
        <v>33</v>
      </c>
      <c r="P1708" s="45">
        <f t="shared" si="184"/>
        <v>787.5</v>
      </c>
      <c r="Q1708" s="45">
        <f t="shared" si="185"/>
        <v>1087.5</v>
      </c>
      <c r="R1708" s="45">
        <v>150</v>
      </c>
      <c r="S1708" s="45">
        <f t="shared" si="186"/>
        <v>187.5</v>
      </c>
      <c r="T1708" s="45">
        <f t="shared" si="187"/>
        <v>1875</v>
      </c>
      <c r="U1708" s="47">
        <f t="shared" si="188"/>
        <v>-1125</v>
      </c>
    </row>
    <row r="1709" spans="1:21" x14ac:dyDescent="0.3">
      <c r="A1709" s="41" t="str">
        <f t="shared" si="182"/>
        <v>PZAROU</v>
      </c>
      <c r="B1709" s="43">
        <v>45842</v>
      </c>
      <c r="C1709" s="10" t="s">
        <v>1751</v>
      </c>
      <c r="D1709" s="10" t="s">
        <v>3</v>
      </c>
      <c r="E1709" s="10" t="s">
        <v>2</v>
      </c>
      <c r="F1709" s="10" t="s">
        <v>23</v>
      </c>
      <c r="G1709" s="10" t="s">
        <v>49</v>
      </c>
      <c r="H1709" s="10" t="s">
        <v>13</v>
      </c>
      <c r="I1709" s="45">
        <v>3139</v>
      </c>
      <c r="J1709" s="11">
        <v>0</v>
      </c>
      <c r="K1709" s="45">
        <f t="shared" si="183"/>
        <v>3139</v>
      </c>
      <c r="L1709" s="10">
        <v>44</v>
      </c>
      <c r="M1709" s="10">
        <v>2.4</v>
      </c>
      <c r="N1709" s="10" t="b">
        <v>0</v>
      </c>
      <c r="O1709" s="41"/>
      <c r="P1709" s="45">
        <f t="shared" si="184"/>
        <v>1318.3799999999999</v>
      </c>
      <c r="Q1709" s="45">
        <f t="shared" si="185"/>
        <v>1820.6200000000001</v>
      </c>
      <c r="R1709" s="45">
        <v>0</v>
      </c>
      <c r="S1709" s="45">
        <f t="shared" si="186"/>
        <v>0</v>
      </c>
      <c r="T1709" s="45">
        <f t="shared" si="187"/>
        <v>0</v>
      </c>
      <c r="U1709" s="47">
        <f t="shared" si="188"/>
        <v>1820.6200000000001</v>
      </c>
    </row>
    <row r="1710" spans="1:21" x14ac:dyDescent="0.3">
      <c r="A1710" s="41" t="str">
        <f t="shared" si="182"/>
        <v>PFORTO</v>
      </c>
      <c r="B1710" s="43">
        <v>45842</v>
      </c>
      <c r="C1710" s="10" t="s">
        <v>1752</v>
      </c>
      <c r="D1710" s="10" t="s">
        <v>65</v>
      </c>
      <c r="E1710" s="10" t="s">
        <v>9</v>
      </c>
      <c r="F1710" s="10" t="s">
        <v>11</v>
      </c>
      <c r="G1710" s="10" t="s">
        <v>38</v>
      </c>
      <c r="H1710" s="10" t="s">
        <v>16</v>
      </c>
      <c r="I1710" s="45">
        <v>1684</v>
      </c>
      <c r="J1710" s="11">
        <v>0</v>
      </c>
      <c r="K1710" s="45">
        <f t="shared" si="183"/>
        <v>1684</v>
      </c>
      <c r="L1710" s="10">
        <v>20</v>
      </c>
      <c r="M1710" s="10">
        <v>3.7</v>
      </c>
      <c r="N1710" s="10" t="b">
        <v>1</v>
      </c>
      <c r="O1710" s="41" t="s">
        <v>24</v>
      </c>
      <c r="P1710" s="45">
        <f t="shared" si="184"/>
        <v>707.28</v>
      </c>
      <c r="Q1710" s="45">
        <f t="shared" si="185"/>
        <v>976.72</v>
      </c>
      <c r="R1710" s="45">
        <v>150</v>
      </c>
      <c r="S1710" s="45">
        <f t="shared" si="186"/>
        <v>168.4</v>
      </c>
      <c r="T1710" s="45">
        <f t="shared" si="187"/>
        <v>1684</v>
      </c>
      <c r="U1710" s="47">
        <f t="shared" si="188"/>
        <v>-1025.6799999999998</v>
      </c>
    </row>
    <row r="1711" spans="1:21" x14ac:dyDescent="0.3">
      <c r="A1711" s="41" t="str">
        <f t="shared" si="182"/>
        <v>PMANBO</v>
      </c>
      <c r="B1711" s="43">
        <v>45842</v>
      </c>
      <c r="C1711" s="10" t="s">
        <v>1753</v>
      </c>
      <c r="D1711" s="10" t="s">
        <v>31</v>
      </c>
      <c r="E1711" s="10" t="s">
        <v>26</v>
      </c>
      <c r="F1711" s="10" t="s">
        <v>4</v>
      </c>
      <c r="G1711" s="10" t="s">
        <v>12</v>
      </c>
      <c r="H1711" s="10" t="s">
        <v>13</v>
      </c>
      <c r="I1711" s="45">
        <v>2836</v>
      </c>
      <c r="J1711" s="11">
        <v>0</v>
      </c>
      <c r="K1711" s="45">
        <f t="shared" si="183"/>
        <v>2836</v>
      </c>
      <c r="L1711" s="10">
        <v>16</v>
      </c>
      <c r="M1711" s="10">
        <v>1</v>
      </c>
      <c r="N1711" s="10" t="b">
        <v>1</v>
      </c>
      <c r="O1711" s="41" t="s">
        <v>33</v>
      </c>
      <c r="P1711" s="45">
        <f t="shared" si="184"/>
        <v>1191.1199999999999</v>
      </c>
      <c r="Q1711" s="45">
        <f t="shared" si="185"/>
        <v>1644.88</v>
      </c>
      <c r="R1711" s="45">
        <v>150</v>
      </c>
      <c r="S1711" s="45">
        <f t="shared" si="186"/>
        <v>283.60000000000002</v>
      </c>
      <c r="T1711" s="45">
        <f t="shared" si="187"/>
        <v>2836</v>
      </c>
      <c r="U1711" s="47">
        <f t="shared" si="188"/>
        <v>-1624.7199999999998</v>
      </c>
    </row>
    <row r="1712" spans="1:21" x14ac:dyDescent="0.3">
      <c r="A1712" s="41" t="str">
        <f t="shared" si="182"/>
        <v>PUNIAC</v>
      </c>
      <c r="B1712" s="43">
        <v>45843</v>
      </c>
      <c r="C1712" s="10" t="s">
        <v>1754</v>
      </c>
      <c r="D1712" s="10" t="s">
        <v>10</v>
      </c>
      <c r="E1712" s="10" t="s">
        <v>15</v>
      </c>
      <c r="F1712" s="10" t="s">
        <v>4</v>
      </c>
      <c r="G1712" s="10" t="s">
        <v>7</v>
      </c>
      <c r="H1712" s="10" t="s">
        <v>28</v>
      </c>
      <c r="I1712" s="45">
        <v>361</v>
      </c>
      <c r="J1712" s="11">
        <v>0</v>
      </c>
      <c r="K1712" s="45">
        <f t="shared" si="183"/>
        <v>361</v>
      </c>
      <c r="L1712" s="10">
        <v>36</v>
      </c>
      <c r="M1712" s="10"/>
      <c r="N1712" s="10" t="b">
        <v>0</v>
      </c>
      <c r="O1712" s="41"/>
      <c r="P1712" s="45">
        <f t="shared" si="184"/>
        <v>151.62</v>
      </c>
      <c r="Q1712" s="45">
        <f t="shared" si="185"/>
        <v>209.38</v>
      </c>
      <c r="R1712" s="45">
        <v>0</v>
      </c>
      <c r="S1712" s="45">
        <f t="shared" si="186"/>
        <v>0</v>
      </c>
      <c r="T1712" s="45">
        <f t="shared" si="187"/>
        <v>0</v>
      </c>
      <c r="U1712" s="47">
        <f t="shared" si="188"/>
        <v>209.38</v>
      </c>
    </row>
    <row r="1713" spans="1:21" x14ac:dyDescent="0.3">
      <c r="A1713" s="41" t="str">
        <f t="shared" si="182"/>
        <v>PGAPTO</v>
      </c>
      <c r="B1713" s="43">
        <v>45843</v>
      </c>
      <c r="C1713" s="10" t="s">
        <v>1755</v>
      </c>
      <c r="D1713" s="10" t="s">
        <v>53</v>
      </c>
      <c r="E1713" s="10" t="s">
        <v>9</v>
      </c>
      <c r="F1713" s="10" t="s">
        <v>4</v>
      </c>
      <c r="G1713" s="10" t="s">
        <v>27</v>
      </c>
      <c r="H1713" s="10" t="s">
        <v>13</v>
      </c>
      <c r="I1713" s="45">
        <v>1577</v>
      </c>
      <c r="J1713" s="11">
        <v>0</v>
      </c>
      <c r="K1713" s="45">
        <f t="shared" si="183"/>
        <v>1577</v>
      </c>
      <c r="L1713" s="10">
        <v>30</v>
      </c>
      <c r="M1713" s="10">
        <v>2.2999999999999998</v>
      </c>
      <c r="N1713" s="10" t="b">
        <v>0</v>
      </c>
      <c r="O1713" s="41"/>
      <c r="P1713" s="45">
        <f t="shared" si="184"/>
        <v>662.34</v>
      </c>
      <c r="Q1713" s="45">
        <f t="shared" si="185"/>
        <v>914.66</v>
      </c>
      <c r="R1713" s="45">
        <v>0</v>
      </c>
      <c r="S1713" s="45">
        <f t="shared" si="186"/>
        <v>0</v>
      </c>
      <c r="T1713" s="45">
        <f t="shared" si="187"/>
        <v>0</v>
      </c>
      <c r="U1713" s="47">
        <f t="shared" si="188"/>
        <v>914.66</v>
      </c>
    </row>
    <row r="1714" spans="1:21" x14ac:dyDescent="0.3">
      <c r="A1714" s="41" t="str">
        <f t="shared" si="182"/>
        <v>PUNIDR</v>
      </c>
      <c r="B1714" s="43">
        <v>45843</v>
      </c>
      <c r="C1714" s="10" t="s">
        <v>1756</v>
      </c>
      <c r="D1714" s="10" t="s">
        <v>10</v>
      </c>
      <c r="E1714" s="10" t="s">
        <v>30</v>
      </c>
      <c r="F1714" s="10" t="s">
        <v>23</v>
      </c>
      <c r="G1714" s="10" t="s">
        <v>5</v>
      </c>
      <c r="H1714" s="10" t="s">
        <v>28</v>
      </c>
      <c r="I1714" s="45">
        <v>2535</v>
      </c>
      <c r="J1714" s="11">
        <v>0.53900000000000003</v>
      </c>
      <c r="K1714" s="45">
        <f t="shared" si="183"/>
        <v>1168.635</v>
      </c>
      <c r="L1714" s="10">
        <v>41</v>
      </c>
      <c r="M1714" s="10">
        <v>2.2000000000000002</v>
      </c>
      <c r="N1714" s="10" t="b">
        <v>1</v>
      </c>
      <c r="O1714" s="41" t="s">
        <v>50</v>
      </c>
      <c r="P1714" s="45">
        <f t="shared" si="184"/>
        <v>490.82669999999996</v>
      </c>
      <c r="Q1714" s="45">
        <f t="shared" si="185"/>
        <v>677.80830000000003</v>
      </c>
      <c r="R1714" s="45">
        <v>150</v>
      </c>
      <c r="S1714" s="45">
        <f t="shared" si="186"/>
        <v>116.8635</v>
      </c>
      <c r="T1714" s="45">
        <f t="shared" si="187"/>
        <v>1168.635</v>
      </c>
      <c r="U1714" s="47">
        <f t="shared" si="188"/>
        <v>-757.6902</v>
      </c>
    </row>
    <row r="1715" spans="1:21" x14ac:dyDescent="0.3">
      <c r="A1715" s="41" t="str">
        <f t="shared" si="182"/>
        <v>PGAPBO</v>
      </c>
      <c r="B1715" s="43">
        <v>45844</v>
      </c>
      <c r="C1715" s="10" t="s">
        <v>1757</v>
      </c>
      <c r="D1715" s="10" t="s">
        <v>53</v>
      </c>
      <c r="E1715" s="10" t="s">
        <v>26</v>
      </c>
      <c r="F1715" s="10" t="s">
        <v>54</v>
      </c>
      <c r="G1715" s="10" t="s">
        <v>46</v>
      </c>
      <c r="H1715" s="10" t="s">
        <v>28</v>
      </c>
      <c r="I1715" s="45">
        <v>2014</v>
      </c>
      <c r="J1715" s="11">
        <v>0.317</v>
      </c>
      <c r="K1715" s="45">
        <f t="shared" si="183"/>
        <v>1375.5620000000001</v>
      </c>
      <c r="L1715" s="10">
        <v>46</v>
      </c>
      <c r="M1715" s="10">
        <v>3.7</v>
      </c>
      <c r="N1715" s="10" t="b">
        <v>0</v>
      </c>
      <c r="O1715" s="41"/>
      <c r="P1715" s="45">
        <f t="shared" si="184"/>
        <v>577.73604</v>
      </c>
      <c r="Q1715" s="45">
        <f t="shared" si="185"/>
        <v>797.82596000000012</v>
      </c>
      <c r="R1715" s="45">
        <v>0</v>
      </c>
      <c r="S1715" s="45">
        <f t="shared" si="186"/>
        <v>0</v>
      </c>
      <c r="T1715" s="45">
        <f t="shared" si="187"/>
        <v>0</v>
      </c>
      <c r="U1715" s="47">
        <f t="shared" si="188"/>
        <v>797.82596000000012</v>
      </c>
    </row>
    <row r="1716" spans="1:21" x14ac:dyDescent="0.3">
      <c r="A1716" s="41" t="str">
        <f t="shared" si="182"/>
        <v>PH&amp;MBO</v>
      </c>
      <c r="B1716" s="43">
        <v>45844</v>
      </c>
      <c r="C1716" s="10" t="s">
        <v>1758</v>
      </c>
      <c r="D1716" s="10" t="s">
        <v>37</v>
      </c>
      <c r="E1716" s="10" t="s">
        <v>26</v>
      </c>
      <c r="F1716" s="10" t="s">
        <v>54</v>
      </c>
      <c r="G1716" s="10" t="s">
        <v>7</v>
      </c>
      <c r="H1716" s="10" t="s">
        <v>88</v>
      </c>
      <c r="I1716" s="45">
        <v>2942</v>
      </c>
      <c r="J1716" s="11">
        <v>0.217</v>
      </c>
      <c r="K1716" s="45">
        <f t="shared" si="183"/>
        <v>2303.5860000000002</v>
      </c>
      <c r="L1716" s="10">
        <v>28</v>
      </c>
      <c r="M1716" s="10">
        <v>2.5</v>
      </c>
      <c r="N1716" s="10" t="b">
        <v>0</v>
      </c>
      <c r="O1716" s="41"/>
      <c r="P1716" s="45">
        <f t="shared" si="184"/>
        <v>967.50612000000001</v>
      </c>
      <c r="Q1716" s="45">
        <f t="shared" si="185"/>
        <v>1336.0798800000002</v>
      </c>
      <c r="R1716" s="45">
        <v>0</v>
      </c>
      <c r="S1716" s="45">
        <f t="shared" si="186"/>
        <v>0</v>
      </c>
      <c r="T1716" s="45">
        <f t="shared" si="187"/>
        <v>0</v>
      </c>
      <c r="U1716" s="47">
        <f t="shared" si="188"/>
        <v>1336.0798800000002</v>
      </c>
    </row>
    <row r="1717" spans="1:21" x14ac:dyDescent="0.3">
      <c r="A1717" s="41" t="str">
        <f t="shared" si="182"/>
        <v>PH&amp;MSH</v>
      </c>
      <c r="B1717" s="43">
        <v>45844</v>
      </c>
      <c r="C1717" s="10" t="s">
        <v>1759</v>
      </c>
      <c r="D1717" s="10" t="s">
        <v>37</v>
      </c>
      <c r="E1717" s="10" t="s">
        <v>18</v>
      </c>
      <c r="F1717" s="10" t="s">
        <v>23</v>
      </c>
      <c r="G1717" s="10" t="s">
        <v>38</v>
      </c>
      <c r="H1717" s="10" t="s">
        <v>56</v>
      </c>
      <c r="I1717" s="45">
        <v>3984</v>
      </c>
      <c r="J1717" s="11">
        <v>0</v>
      </c>
      <c r="K1717" s="45">
        <f t="shared" si="183"/>
        <v>3984</v>
      </c>
      <c r="L1717" s="10">
        <v>30</v>
      </c>
      <c r="M1717" s="10">
        <v>4.0999999999999996</v>
      </c>
      <c r="N1717" s="10" t="b">
        <v>0</v>
      </c>
      <c r="O1717" s="41"/>
      <c r="P1717" s="45">
        <f t="shared" si="184"/>
        <v>1673.28</v>
      </c>
      <c r="Q1717" s="45">
        <f t="shared" si="185"/>
        <v>2310.7200000000003</v>
      </c>
      <c r="R1717" s="45">
        <v>0</v>
      </c>
      <c r="S1717" s="45">
        <f t="shared" si="186"/>
        <v>0</v>
      </c>
      <c r="T1717" s="45">
        <f t="shared" si="187"/>
        <v>0</v>
      </c>
      <c r="U1717" s="47">
        <f t="shared" si="188"/>
        <v>2310.7200000000003</v>
      </c>
    </row>
    <row r="1718" spans="1:21" x14ac:dyDescent="0.3">
      <c r="A1718" s="41" t="str">
        <f t="shared" si="182"/>
        <v>PANNBO</v>
      </c>
      <c r="B1718" s="43">
        <v>45844</v>
      </c>
      <c r="C1718" s="10" t="s">
        <v>1760</v>
      </c>
      <c r="D1718" s="10" t="s">
        <v>42</v>
      </c>
      <c r="E1718" s="10" t="s">
        <v>26</v>
      </c>
      <c r="F1718" s="10" t="s">
        <v>11</v>
      </c>
      <c r="G1718" s="10" t="s">
        <v>38</v>
      </c>
      <c r="H1718" s="10" t="s">
        <v>16</v>
      </c>
      <c r="I1718" s="45">
        <v>2971</v>
      </c>
      <c r="J1718" s="11">
        <v>0</v>
      </c>
      <c r="K1718" s="45">
        <f t="shared" si="183"/>
        <v>2971</v>
      </c>
      <c r="L1718" s="10">
        <v>37</v>
      </c>
      <c r="M1718" s="10">
        <v>1.4</v>
      </c>
      <c r="N1718" s="10" t="b">
        <v>1</v>
      </c>
      <c r="O1718" s="41" t="s">
        <v>33</v>
      </c>
      <c r="P1718" s="45">
        <f t="shared" si="184"/>
        <v>1247.82</v>
      </c>
      <c r="Q1718" s="45">
        <f t="shared" si="185"/>
        <v>1723.18</v>
      </c>
      <c r="R1718" s="45">
        <v>150</v>
      </c>
      <c r="S1718" s="45">
        <f t="shared" si="186"/>
        <v>297.10000000000002</v>
      </c>
      <c r="T1718" s="45">
        <f t="shared" si="187"/>
        <v>2971</v>
      </c>
      <c r="U1718" s="47">
        <f t="shared" si="188"/>
        <v>-1694.92</v>
      </c>
    </row>
    <row r="1719" spans="1:21" x14ac:dyDescent="0.3">
      <c r="A1719" s="41" t="str">
        <f t="shared" si="182"/>
        <v>PANNBO</v>
      </c>
      <c r="B1719" s="43">
        <v>45845</v>
      </c>
      <c r="C1719" s="10" t="s">
        <v>1761</v>
      </c>
      <c r="D1719" s="10" t="s">
        <v>42</v>
      </c>
      <c r="E1719" s="10" t="s">
        <v>26</v>
      </c>
      <c r="F1719" s="10" t="s">
        <v>54</v>
      </c>
      <c r="G1719" s="10" t="s">
        <v>49</v>
      </c>
      <c r="H1719" s="10" t="s">
        <v>6</v>
      </c>
      <c r="I1719" s="45">
        <v>2546</v>
      </c>
      <c r="J1719" s="11">
        <v>0</v>
      </c>
      <c r="K1719" s="45">
        <f t="shared" si="183"/>
        <v>2546</v>
      </c>
      <c r="L1719" s="10">
        <v>24</v>
      </c>
      <c r="M1719" s="10">
        <v>1.7</v>
      </c>
      <c r="N1719" s="10" t="b">
        <v>0</v>
      </c>
      <c r="O1719" s="41"/>
      <c r="P1719" s="45">
        <f t="shared" si="184"/>
        <v>1069.32</v>
      </c>
      <c r="Q1719" s="45">
        <f t="shared" si="185"/>
        <v>1476.68</v>
      </c>
      <c r="R1719" s="45">
        <v>0</v>
      </c>
      <c r="S1719" s="45">
        <f t="shared" si="186"/>
        <v>0</v>
      </c>
      <c r="T1719" s="45">
        <f t="shared" si="187"/>
        <v>0</v>
      </c>
      <c r="U1719" s="47">
        <f t="shared" si="188"/>
        <v>1476.68</v>
      </c>
    </row>
    <row r="1720" spans="1:21" x14ac:dyDescent="0.3">
      <c r="A1720" s="41" t="str">
        <f t="shared" si="182"/>
        <v>PANNAC</v>
      </c>
      <c r="B1720" s="43">
        <v>45845</v>
      </c>
      <c r="C1720" s="10" t="s">
        <v>1762</v>
      </c>
      <c r="D1720" s="10" t="s">
        <v>42</v>
      </c>
      <c r="E1720" s="10" t="s">
        <v>15</v>
      </c>
      <c r="F1720" s="10" t="s">
        <v>11</v>
      </c>
      <c r="G1720" s="10" t="s">
        <v>7</v>
      </c>
      <c r="H1720" s="10" t="s">
        <v>47</v>
      </c>
      <c r="I1720" s="45">
        <v>314</v>
      </c>
      <c r="J1720" s="11">
        <v>0</v>
      </c>
      <c r="K1720" s="45">
        <f t="shared" si="183"/>
        <v>314</v>
      </c>
      <c r="L1720" s="10">
        <v>28</v>
      </c>
      <c r="M1720" s="10">
        <v>2.2000000000000002</v>
      </c>
      <c r="N1720" s="10" t="b">
        <v>0</v>
      </c>
      <c r="O1720" s="41"/>
      <c r="P1720" s="45">
        <f t="shared" si="184"/>
        <v>131.88</v>
      </c>
      <c r="Q1720" s="45">
        <f t="shared" si="185"/>
        <v>182.12</v>
      </c>
      <c r="R1720" s="45">
        <v>0</v>
      </c>
      <c r="S1720" s="45">
        <f t="shared" si="186"/>
        <v>0</v>
      </c>
      <c r="T1720" s="45">
        <f t="shared" si="187"/>
        <v>0</v>
      </c>
      <c r="U1720" s="47">
        <f t="shared" si="188"/>
        <v>182.12</v>
      </c>
    </row>
    <row r="1721" spans="1:21" x14ac:dyDescent="0.3">
      <c r="A1721" s="41" t="str">
        <f t="shared" si="182"/>
        <v>PGAPDR</v>
      </c>
      <c r="B1721" s="43">
        <v>45845</v>
      </c>
      <c r="C1721" s="10" t="s">
        <v>1763</v>
      </c>
      <c r="D1721" s="10" t="s">
        <v>53</v>
      </c>
      <c r="E1721" s="10" t="s">
        <v>30</v>
      </c>
      <c r="F1721" s="10" t="s">
        <v>4</v>
      </c>
      <c r="G1721" s="10" t="s">
        <v>7</v>
      </c>
      <c r="H1721" s="10" t="s">
        <v>58</v>
      </c>
      <c r="I1721" s="45">
        <v>2213</v>
      </c>
      <c r="J1721" s="11">
        <v>0</v>
      </c>
      <c r="K1721" s="45">
        <f t="shared" si="183"/>
        <v>2213</v>
      </c>
      <c r="L1721" s="10">
        <v>45</v>
      </c>
      <c r="M1721" s="10">
        <v>1.1000000000000001</v>
      </c>
      <c r="N1721" s="10" t="b">
        <v>0</v>
      </c>
      <c r="O1721" s="41"/>
      <c r="P1721" s="45">
        <f t="shared" si="184"/>
        <v>929.45999999999992</v>
      </c>
      <c r="Q1721" s="45">
        <f t="shared" si="185"/>
        <v>1283.54</v>
      </c>
      <c r="R1721" s="45">
        <v>0</v>
      </c>
      <c r="S1721" s="45">
        <f t="shared" si="186"/>
        <v>0</v>
      </c>
      <c r="T1721" s="45">
        <f t="shared" si="187"/>
        <v>0</v>
      </c>
      <c r="U1721" s="47">
        <f t="shared" si="188"/>
        <v>1283.54</v>
      </c>
    </row>
    <row r="1722" spans="1:21" x14ac:dyDescent="0.3">
      <c r="A1722" s="41" t="str">
        <f t="shared" si="182"/>
        <v>PBANBO</v>
      </c>
      <c r="B1722" s="43">
        <v>45845</v>
      </c>
      <c r="C1722" s="10" t="s">
        <v>1764</v>
      </c>
      <c r="D1722" s="10" t="s">
        <v>21</v>
      </c>
      <c r="E1722" s="10" t="s">
        <v>26</v>
      </c>
      <c r="F1722" s="10" t="s">
        <v>11</v>
      </c>
      <c r="G1722" s="10" t="s">
        <v>38</v>
      </c>
      <c r="H1722" s="10" t="s">
        <v>6</v>
      </c>
      <c r="I1722" s="45">
        <v>2716</v>
      </c>
      <c r="J1722" s="11">
        <v>0</v>
      </c>
      <c r="K1722" s="45">
        <f t="shared" si="183"/>
        <v>2716</v>
      </c>
      <c r="L1722" s="10">
        <v>39</v>
      </c>
      <c r="M1722" s="10">
        <v>3.4</v>
      </c>
      <c r="N1722" s="10" t="b">
        <v>0</v>
      </c>
      <c r="O1722" s="41"/>
      <c r="P1722" s="45">
        <f t="shared" si="184"/>
        <v>1140.72</v>
      </c>
      <c r="Q1722" s="45">
        <f t="shared" si="185"/>
        <v>1575.28</v>
      </c>
      <c r="R1722" s="45">
        <v>0</v>
      </c>
      <c r="S1722" s="45">
        <f t="shared" si="186"/>
        <v>0</v>
      </c>
      <c r="T1722" s="45">
        <f t="shared" si="187"/>
        <v>0</v>
      </c>
      <c r="U1722" s="47">
        <f t="shared" si="188"/>
        <v>1575.28</v>
      </c>
    </row>
    <row r="1723" spans="1:21" x14ac:dyDescent="0.3">
      <c r="A1723" s="41" t="str">
        <f t="shared" si="182"/>
        <v>PMANAC</v>
      </c>
      <c r="B1723" s="43">
        <v>45846</v>
      </c>
      <c r="C1723" s="10" t="s">
        <v>1765</v>
      </c>
      <c r="D1723" s="10" t="s">
        <v>31</v>
      </c>
      <c r="E1723" s="10" t="s">
        <v>15</v>
      </c>
      <c r="F1723" s="10" t="s">
        <v>11</v>
      </c>
      <c r="G1723" s="10" t="s">
        <v>7</v>
      </c>
      <c r="H1723" s="10" t="s">
        <v>13</v>
      </c>
      <c r="I1723" s="45">
        <v>242</v>
      </c>
      <c r="J1723" s="11">
        <v>0.58499999999999996</v>
      </c>
      <c r="K1723" s="45">
        <f t="shared" si="183"/>
        <v>100.43</v>
      </c>
      <c r="L1723" s="10">
        <v>40</v>
      </c>
      <c r="M1723" s="10">
        <v>1.6</v>
      </c>
      <c r="N1723" s="10" t="b">
        <v>0</v>
      </c>
      <c r="O1723" s="41"/>
      <c r="P1723" s="45">
        <f t="shared" si="184"/>
        <v>42.180599999999998</v>
      </c>
      <c r="Q1723" s="45">
        <f t="shared" si="185"/>
        <v>58.249400000000009</v>
      </c>
      <c r="R1723" s="45">
        <v>0</v>
      </c>
      <c r="S1723" s="45">
        <f t="shared" si="186"/>
        <v>0</v>
      </c>
      <c r="T1723" s="45">
        <f t="shared" si="187"/>
        <v>0</v>
      </c>
      <c r="U1723" s="47">
        <f t="shared" si="188"/>
        <v>58.249400000000009</v>
      </c>
    </row>
    <row r="1724" spans="1:21" x14ac:dyDescent="0.3">
      <c r="A1724" s="41" t="str">
        <f t="shared" si="182"/>
        <v>PBANBO</v>
      </c>
      <c r="B1724" s="43">
        <v>45846</v>
      </c>
      <c r="C1724" s="10" t="s">
        <v>1766</v>
      </c>
      <c r="D1724" s="10" t="s">
        <v>21</v>
      </c>
      <c r="E1724" s="10" t="s">
        <v>26</v>
      </c>
      <c r="F1724" s="10" t="s">
        <v>23</v>
      </c>
      <c r="G1724" s="10" t="s">
        <v>46</v>
      </c>
      <c r="H1724" s="10" t="s">
        <v>13</v>
      </c>
      <c r="I1724" s="45">
        <v>2209</v>
      </c>
      <c r="J1724" s="11">
        <v>0.41499999999999998</v>
      </c>
      <c r="K1724" s="45">
        <f t="shared" si="183"/>
        <v>1292.2649999999999</v>
      </c>
      <c r="L1724" s="10">
        <v>20</v>
      </c>
      <c r="M1724" s="10">
        <v>3.1</v>
      </c>
      <c r="N1724" s="10" t="b">
        <v>0</v>
      </c>
      <c r="O1724" s="41"/>
      <c r="P1724" s="45">
        <f t="shared" si="184"/>
        <v>542.7512999999999</v>
      </c>
      <c r="Q1724" s="45">
        <f t="shared" si="185"/>
        <v>749.51369999999997</v>
      </c>
      <c r="R1724" s="45">
        <v>0</v>
      </c>
      <c r="S1724" s="45">
        <f t="shared" si="186"/>
        <v>0</v>
      </c>
      <c r="T1724" s="45">
        <f t="shared" si="187"/>
        <v>0</v>
      </c>
      <c r="U1724" s="47">
        <f t="shared" si="188"/>
        <v>749.51369999999997</v>
      </c>
    </row>
    <row r="1725" spans="1:21" x14ac:dyDescent="0.3">
      <c r="A1725" s="41" t="str">
        <f t="shared" si="182"/>
        <v>PMANBO</v>
      </c>
      <c r="B1725" s="43">
        <v>45846</v>
      </c>
      <c r="C1725" s="10" t="s">
        <v>1767</v>
      </c>
      <c r="D1725" s="10" t="s">
        <v>31</v>
      </c>
      <c r="E1725" s="10" t="s">
        <v>26</v>
      </c>
      <c r="F1725" s="10" t="s">
        <v>23</v>
      </c>
      <c r="G1725" s="10" t="s">
        <v>7</v>
      </c>
      <c r="H1725" s="10" t="s">
        <v>28</v>
      </c>
      <c r="I1725" s="45">
        <v>2722</v>
      </c>
      <c r="J1725" s="11">
        <v>0.55899999999999994</v>
      </c>
      <c r="K1725" s="45">
        <f t="shared" si="183"/>
        <v>1200.4020000000003</v>
      </c>
      <c r="L1725" s="10">
        <v>10</v>
      </c>
      <c r="M1725" s="10">
        <v>2.5</v>
      </c>
      <c r="N1725" s="10" t="b">
        <v>0</v>
      </c>
      <c r="O1725" s="41"/>
      <c r="P1725" s="45">
        <f t="shared" si="184"/>
        <v>504.1688400000001</v>
      </c>
      <c r="Q1725" s="45">
        <f t="shared" si="185"/>
        <v>696.23316000000023</v>
      </c>
      <c r="R1725" s="45">
        <v>0</v>
      </c>
      <c r="S1725" s="45">
        <f t="shared" si="186"/>
        <v>0</v>
      </c>
      <c r="T1725" s="45">
        <f t="shared" si="187"/>
        <v>0</v>
      </c>
      <c r="U1725" s="47">
        <f t="shared" si="188"/>
        <v>696.23316000000023</v>
      </c>
    </row>
    <row r="1726" spans="1:21" x14ac:dyDescent="0.3">
      <c r="A1726" s="41" t="str">
        <f t="shared" si="182"/>
        <v>PANNSH</v>
      </c>
      <c r="B1726" s="43">
        <v>45846</v>
      </c>
      <c r="C1726" s="10" t="s">
        <v>1768</v>
      </c>
      <c r="D1726" s="10" t="s">
        <v>42</v>
      </c>
      <c r="E1726" s="10" t="s">
        <v>18</v>
      </c>
      <c r="F1726" s="10" t="s">
        <v>23</v>
      </c>
      <c r="G1726" s="10" t="s">
        <v>7</v>
      </c>
      <c r="H1726" s="10" t="s">
        <v>88</v>
      </c>
      <c r="I1726" s="45">
        <v>3495</v>
      </c>
      <c r="J1726" s="11">
        <v>0.59699999999999998</v>
      </c>
      <c r="K1726" s="45">
        <f t="shared" si="183"/>
        <v>1408.4850000000001</v>
      </c>
      <c r="L1726" s="10">
        <v>13</v>
      </c>
      <c r="M1726" s="10">
        <v>3.5</v>
      </c>
      <c r="N1726" s="10" t="b">
        <v>1</v>
      </c>
      <c r="O1726" s="41" t="s">
        <v>44</v>
      </c>
      <c r="P1726" s="45">
        <f t="shared" si="184"/>
        <v>591.56370000000004</v>
      </c>
      <c r="Q1726" s="45">
        <f t="shared" si="185"/>
        <v>816.92130000000009</v>
      </c>
      <c r="R1726" s="45">
        <v>150</v>
      </c>
      <c r="S1726" s="45">
        <f t="shared" si="186"/>
        <v>140.84850000000003</v>
      </c>
      <c r="T1726" s="45">
        <f t="shared" si="187"/>
        <v>1408.4850000000001</v>
      </c>
      <c r="U1726" s="47">
        <f t="shared" si="188"/>
        <v>-882.4122000000001</v>
      </c>
    </row>
    <row r="1727" spans="1:21" x14ac:dyDescent="0.3">
      <c r="A1727" s="41" t="str">
        <f t="shared" si="182"/>
        <v>PUNISH</v>
      </c>
      <c r="B1727" s="43">
        <v>45847</v>
      </c>
      <c r="C1727" s="10" t="s">
        <v>1769</v>
      </c>
      <c r="D1727" s="10" t="s">
        <v>10</v>
      </c>
      <c r="E1727" s="10" t="s">
        <v>18</v>
      </c>
      <c r="F1727" s="10" t="s">
        <v>54</v>
      </c>
      <c r="G1727" s="10" t="s">
        <v>38</v>
      </c>
      <c r="H1727" s="10" t="s">
        <v>35</v>
      </c>
      <c r="I1727" s="45">
        <v>4254</v>
      </c>
      <c r="J1727" s="11">
        <v>0.17399999999999999</v>
      </c>
      <c r="K1727" s="45">
        <f t="shared" si="183"/>
        <v>3513.8040000000001</v>
      </c>
      <c r="L1727" s="10">
        <v>6</v>
      </c>
      <c r="M1727" s="10"/>
      <c r="N1727" s="10" t="b">
        <v>0</v>
      </c>
      <c r="O1727" s="41"/>
      <c r="P1727" s="45">
        <f t="shared" si="184"/>
        <v>1475.7976799999999</v>
      </c>
      <c r="Q1727" s="45">
        <f t="shared" si="185"/>
        <v>2038.0063200000002</v>
      </c>
      <c r="R1727" s="45">
        <v>0</v>
      </c>
      <c r="S1727" s="45">
        <f t="shared" si="186"/>
        <v>0</v>
      </c>
      <c r="T1727" s="45">
        <f t="shared" si="187"/>
        <v>0</v>
      </c>
      <c r="U1727" s="47">
        <f t="shared" si="188"/>
        <v>2038.0063200000002</v>
      </c>
    </row>
    <row r="1728" spans="1:21" x14ac:dyDescent="0.3">
      <c r="A1728" s="41" t="str">
        <f t="shared" si="182"/>
        <v>PMANDR</v>
      </c>
      <c r="B1728" s="43">
        <v>45847</v>
      </c>
      <c r="C1728" s="10" t="s">
        <v>1770</v>
      </c>
      <c r="D1728" s="10" t="s">
        <v>31</v>
      </c>
      <c r="E1728" s="10" t="s">
        <v>30</v>
      </c>
      <c r="F1728" s="10" t="s">
        <v>4</v>
      </c>
      <c r="G1728" s="10" t="s">
        <v>5</v>
      </c>
      <c r="H1728" s="10" t="s">
        <v>35</v>
      </c>
      <c r="I1728" s="45">
        <v>2492</v>
      </c>
      <c r="J1728" s="11">
        <v>0.248</v>
      </c>
      <c r="K1728" s="45">
        <f t="shared" si="183"/>
        <v>1873.9839999999999</v>
      </c>
      <c r="L1728" s="10">
        <v>7</v>
      </c>
      <c r="M1728" s="10">
        <v>4.5</v>
      </c>
      <c r="N1728" s="10" t="b">
        <v>0</v>
      </c>
      <c r="O1728" s="41"/>
      <c r="P1728" s="45">
        <f t="shared" si="184"/>
        <v>787.07327999999995</v>
      </c>
      <c r="Q1728" s="45">
        <f t="shared" si="185"/>
        <v>1086.9107199999999</v>
      </c>
      <c r="R1728" s="45">
        <v>0</v>
      </c>
      <c r="S1728" s="45">
        <f t="shared" si="186"/>
        <v>0</v>
      </c>
      <c r="T1728" s="45">
        <f t="shared" si="187"/>
        <v>0</v>
      </c>
      <c r="U1728" s="47">
        <f t="shared" si="188"/>
        <v>1086.9107199999999</v>
      </c>
    </row>
    <row r="1729" spans="1:21" x14ac:dyDescent="0.3">
      <c r="A1729" s="41" t="str">
        <f t="shared" si="182"/>
        <v>PZARAC</v>
      </c>
      <c r="B1729" s="43">
        <v>45847</v>
      </c>
      <c r="C1729" s="10" t="s">
        <v>1771</v>
      </c>
      <c r="D1729" s="10" t="s">
        <v>3</v>
      </c>
      <c r="E1729" s="10" t="s">
        <v>15</v>
      </c>
      <c r="F1729" s="10" t="s">
        <v>4</v>
      </c>
      <c r="G1729" s="10" t="s">
        <v>7</v>
      </c>
      <c r="H1729" s="10" t="s">
        <v>56</v>
      </c>
      <c r="I1729" s="45">
        <v>486</v>
      </c>
      <c r="J1729" s="11">
        <v>0</v>
      </c>
      <c r="K1729" s="45">
        <f t="shared" si="183"/>
        <v>486</v>
      </c>
      <c r="L1729" s="10">
        <v>16</v>
      </c>
      <c r="M1729" s="10">
        <v>1.4</v>
      </c>
      <c r="N1729" s="10" t="b">
        <v>1</v>
      </c>
      <c r="O1729" s="41" t="s">
        <v>80</v>
      </c>
      <c r="P1729" s="45">
        <f t="shared" si="184"/>
        <v>204.12</v>
      </c>
      <c r="Q1729" s="45">
        <f t="shared" si="185"/>
        <v>281.88</v>
      </c>
      <c r="R1729" s="45">
        <v>150</v>
      </c>
      <c r="S1729" s="45">
        <f t="shared" si="186"/>
        <v>48.6</v>
      </c>
      <c r="T1729" s="45">
        <f t="shared" si="187"/>
        <v>486</v>
      </c>
      <c r="U1729" s="47">
        <f t="shared" si="188"/>
        <v>-402.72</v>
      </c>
    </row>
    <row r="1730" spans="1:21" x14ac:dyDescent="0.3">
      <c r="A1730" s="41" t="str">
        <f t="shared" ref="A1730:A1793" si="189">UPPER("P"&amp;LEFT(D1730,3)&amp;LEFT(E1730,2))</f>
        <v>PBANSH</v>
      </c>
      <c r="B1730" s="43">
        <v>45847</v>
      </c>
      <c r="C1730" s="10" t="s">
        <v>1772</v>
      </c>
      <c r="D1730" s="10" t="s">
        <v>21</v>
      </c>
      <c r="E1730" s="10" t="s">
        <v>18</v>
      </c>
      <c r="F1730" s="10" t="s">
        <v>54</v>
      </c>
      <c r="G1730" s="10" t="s">
        <v>27</v>
      </c>
      <c r="H1730" s="10" t="s">
        <v>88</v>
      </c>
      <c r="I1730" s="45">
        <v>4347</v>
      </c>
      <c r="J1730" s="11">
        <v>6.4000000000000001E-2</v>
      </c>
      <c r="K1730" s="45">
        <f t="shared" si="183"/>
        <v>4068.7919999999999</v>
      </c>
      <c r="L1730" s="10">
        <v>39</v>
      </c>
      <c r="M1730" s="10">
        <v>3</v>
      </c>
      <c r="N1730" s="10" t="b">
        <v>0</v>
      </c>
      <c r="O1730" s="41"/>
      <c r="P1730" s="45">
        <f t="shared" si="184"/>
        <v>1708.8926399999998</v>
      </c>
      <c r="Q1730" s="45">
        <f t="shared" si="185"/>
        <v>2359.8993600000003</v>
      </c>
      <c r="R1730" s="45">
        <v>0</v>
      </c>
      <c r="S1730" s="45">
        <f t="shared" si="186"/>
        <v>0</v>
      </c>
      <c r="T1730" s="45">
        <f t="shared" si="187"/>
        <v>0</v>
      </c>
      <c r="U1730" s="47">
        <f t="shared" si="188"/>
        <v>2359.8993600000003</v>
      </c>
    </row>
    <row r="1731" spans="1:21" x14ac:dyDescent="0.3">
      <c r="A1731" s="41" t="str">
        <f t="shared" si="189"/>
        <v>PGAPDR</v>
      </c>
      <c r="B1731" s="43">
        <v>45847</v>
      </c>
      <c r="C1731" s="10" t="s">
        <v>1773</v>
      </c>
      <c r="D1731" s="10" t="s">
        <v>53</v>
      </c>
      <c r="E1731" s="10" t="s">
        <v>30</v>
      </c>
      <c r="F1731" s="10" t="s">
        <v>54</v>
      </c>
      <c r="G1731" s="10" t="s">
        <v>12</v>
      </c>
      <c r="H1731" s="10" t="s">
        <v>16</v>
      </c>
      <c r="I1731" s="45">
        <v>2570</v>
      </c>
      <c r="J1731" s="11">
        <v>0</v>
      </c>
      <c r="K1731" s="45">
        <f t="shared" ref="K1731:K1794" si="190">I1731*(1-J1731)</f>
        <v>2570</v>
      </c>
      <c r="L1731" s="10">
        <v>29</v>
      </c>
      <c r="M1731" s="10">
        <v>4.4000000000000004</v>
      </c>
      <c r="N1731" s="10" t="b">
        <v>0</v>
      </c>
      <c r="O1731" s="41"/>
      <c r="P1731" s="45">
        <f t="shared" ref="P1731:P1794" si="191">K1731*0.42</f>
        <v>1079.3999999999999</v>
      </c>
      <c r="Q1731" s="45">
        <f t="shared" ref="Q1731:Q1794" si="192">K1731-P1731</f>
        <v>1490.6000000000001</v>
      </c>
      <c r="R1731" s="45">
        <v>0</v>
      </c>
      <c r="S1731" s="45">
        <f t="shared" ref="S1731:S1794" si="193">IF(N1731=TRUE,K1731*0.1,0)</f>
        <v>0</v>
      </c>
      <c r="T1731" s="45">
        <f t="shared" ref="T1731:T1794" si="194">IF(N1731=TRUE,K1731,0)</f>
        <v>0</v>
      </c>
      <c r="U1731" s="47">
        <f t="shared" ref="U1731:U1794" si="195">Q1731-R1731-S1731-T1731</f>
        <v>1490.6000000000001</v>
      </c>
    </row>
    <row r="1732" spans="1:21" x14ac:dyDescent="0.3">
      <c r="A1732" s="41" t="str">
        <f t="shared" si="189"/>
        <v>PBANTO</v>
      </c>
      <c r="B1732" s="43">
        <v>45848</v>
      </c>
      <c r="C1732" s="10" t="s">
        <v>1774</v>
      </c>
      <c r="D1732" s="10" t="s">
        <v>21</v>
      </c>
      <c r="E1732" s="10" t="s">
        <v>9</v>
      </c>
      <c r="F1732" s="10" t="s">
        <v>23</v>
      </c>
      <c r="G1732" s="10" t="s">
        <v>5</v>
      </c>
      <c r="H1732" s="10" t="s">
        <v>58</v>
      </c>
      <c r="I1732" s="45">
        <v>1776</v>
      </c>
      <c r="J1732" s="11">
        <v>0.12300000000000001</v>
      </c>
      <c r="K1732" s="45">
        <f t="shared" si="190"/>
        <v>1557.5519999999999</v>
      </c>
      <c r="L1732" s="10">
        <v>23</v>
      </c>
      <c r="M1732" s="10">
        <v>4.9000000000000004</v>
      </c>
      <c r="N1732" s="10" t="b">
        <v>1</v>
      </c>
      <c r="O1732" s="41" t="s">
        <v>33</v>
      </c>
      <c r="P1732" s="45">
        <f t="shared" si="191"/>
        <v>654.17183999999997</v>
      </c>
      <c r="Q1732" s="45">
        <f t="shared" si="192"/>
        <v>903.38015999999993</v>
      </c>
      <c r="R1732" s="45">
        <v>150</v>
      </c>
      <c r="S1732" s="45">
        <f t="shared" si="193"/>
        <v>155.7552</v>
      </c>
      <c r="T1732" s="45">
        <f t="shared" si="194"/>
        <v>1557.5519999999999</v>
      </c>
      <c r="U1732" s="47">
        <f t="shared" si="195"/>
        <v>-959.92704000000003</v>
      </c>
    </row>
    <row r="1733" spans="1:21" x14ac:dyDescent="0.3">
      <c r="A1733" s="41" t="str">
        <f t="shared" si="189"/>
        <v>PMANTO</v>
      </c>
      <c r="B1733" s="43">
        <v>45848</v>
      </c>
      <c r="C1733" s="10" t="s">
        <v>1775</v>
      </c>
      <c r="D1733" s="10" t="s">
        <v>31</v>
      </c>
      <c r="E1733" s="10" t="s">
        <v>9</v>
      </c>
      <c r="F1733" s="10" t="s">
        <v>54</v>
      </c>
      <c r="G1733" s="10" t="s">
        <v>27</v>
      </c>
      <c r="H1733" s="10" t="s">
        <v>6</v>
      </c>
      <c r="I1733" s="45">
        <v>1439</v>
      </c>
      <c r="J1733" s="11">
        <v>0.46700000000000003</v>
      </c>
      <c r="K1733" s="45">
        <f t="shared" si="190"/>
        <v>766.98699999999985</v>
      </c>
      <c r="L1733" s="10">
        <v>29</v>
      </c>
      <c r="M1733" s="10">
        <v>1.3</v>
      </c>
      <c r="N1733" s="10" t="b">
        <v>0</v>
      </c>
      <c r="O1733" s="41"/>
      <c r="P1733" s="45">
        <f t="shared" si="191"/>
        <v>322.1345399999999</v>
      </c>
      <c r="Q1733" s="45">
        <f t="shared" si="192"/>
        <v>444.85245999999995</v>
      </c>
      <c r="R1733" s="45">
        <v>0</v>
      </c>
      <c r="S1733" s="45">
        <f t="shared" si="193"/>
        <v>0</v>
      </c>
      <c r="T1733" s="45">
        <f t="shared" si="194"/>
        <v>0</v>
      </c>
      <c r="U1733" s="47">
        <f t="shared" si="195"/>
        <v>444.85245999999995</v>
      </c>
    </row>
    <row r="1734" spans="1:21" x14ac:dyDescent="0.3">
      <c r="A1734" s="41" t="str">
        <f t="shared" si="189"/>
        <v>PBANSH</v>
      </c>
      <c r="B1734" s="43">
        <v>45848</v>
      </c>
      <c r="C1734" s="10" t="s">
        <v>1776</v>
      </c>
      <c r="D1734" s="10" t="s">
        <v>21</v>
      </c>
      <c r="E1734" s="10" t="s">
        <v>18</v>
      </c>
      <c r="F1734" s="10" t="s">
        <v>11</v>
      </c>
      <c r="G1734" s="10" t="s">
        <v>27</v>
      </c>
      <c r="H1734" s="10" t="s">
        <v>7</v>
      </c>
      <c r="I1734" s="45">
        <v>3681</v>
      </c>
      <c r="J1734" s="11">
        <v>0.26800000000000002</v>
      </c>
      <c r="K1734" s="45">
        <f t="shared" si="190"/>
        <v>2694.4919999999997</v>
      </c>
      <c r="L1734" s="10">
        <v>28</v>
      </c>
      <c r="M1734" s="10">
        <v>4.7</v>
      </c>
      <c r="N1734" s="10" t="b">
        <v>0</v>
      </c>
      <c r="O1734" s="41"/>
      <c r="P1734" s="45">
        <f t="shared" si="191"/>
        <v>1131.6866399999999</v>
      </c>
      <c r="Q1734" s="45">
        <f t="shared" si="192"/>
        <v>1562.8053599999998</v>
      </c>
      <c r="R1734" s="45">
        <v>0</v>
      </c>
      <c r="S1734" s="45">
        <f t="shared" si="193"/>
        <v>0</v>
      </c>
      <c r="T1734" s="45">
        <f t="shared" si="194"/>
        <v>0</v>
      </c>
      <c r="U1734" s="47">
        <f t="shared" si="195"/>
        <v>1562.8053599999998</v>
      </c>
    </row>
    <row r="1735" spans="1:21" x14ac:dyDescent="0.3">
      <c r="A1735" s="41" t="str">
        <f t="shared" si="189"/>
        <v>PUNISH</v>
      </c>
      <c r="B1735" s="43">
        <v>45849</v>
      </c>
      <c r="C1735" s="10" t="s">
        <v>1777</v>
      </c>
      <c r="D1735" s="10" t="s">
        <v>10</v>
      </c>
      <c r="E1735" s="10" t="s">
        <v>18</v>
      </c>
      <c r="F1735" s="10" t="s">
        <v>4</v>
      </c>
      <c r="G1735" s="10" t="s">
        <v>38</v>
      </c>
      <c r="H1735" s="10" t="s">
        <v>58</v>
      </c>
      <c r="I1735" s="45">
        <v>3853</v>
      </c>
      <c r="J1735" s="11">
        <v>0.56000000000000005</v>
      </c>
      <c r="K1735" s="45">
        <f t="shared" si="190"/>
        <v>1695.3199999999997</v>
      </c>
      <c r="L1735" s="10">
        <v>27</v>
      </c>
      <c r="M1735" s="10">
        <v>3.5</v>
      </c>
      <c r="N1735" s="10" t="b">
        <v>0</v>
      </c>
      <c r="O1735" s="41"/>
      <c r="P1735" s="45">
        <f t="shared" si="191"/>
        <v>712.03439999999989</v>
      </c>
      <c r="Q1735" s="45">
        <f t="shared" si="192"/>
        <v>983.28559999999982</v>
      </c>
      <c r="R1735" s="45">
        <v>0</v>
      </c>
      <c r="S1735" s="45">
        <f t="shared" si="193"/>
        <v>0</v>
      </c>
      <c r="T1735" s="45">
        <f t="shared" si="194"/>
        <v>0</v>
      </c>
      <c r="U1735" s="47">
        <f t="shared" si="195"/>
        <v>983.28559999999982</v>
      </c>
    </row>
    <row r="1736" spans="1:21" x14ac:dyDescent="0.3">
      <c r="A1736" s="41" t="str">
        <f t="shared" si="189"/>
        <v>PBANDR</v>
      </c>
      <c r="B1736" s="43">
        <v>45849</v>
      </c>
      <c r="C1736" s="10" t="s">
        <v>1778</v>
      </c>
      <c r="D1736" s="10" t="s">
        <v>21</v>
      </c>
      <c r="E1736" s="10" t="s">
        <v>30</v>
      </c>
      <c r="F1736" s="10" t="s">
        <v>4</v>
      </c>
      <c r="G1736" s="10" t="s">
        <v>46</v>
      </c>
      <c r="H1736" s="10" t="s">
        <v>43</v>
      </c>
      <c r="I1736" s="45">
        <v>2515</v>
      </c>
      <c r="J1736" s="11">
        <v>0</v>
      </c>
      <c r="K1736" s="45">
        <f t="shared" si="190"/>
        <v>2515</v>
      </c>
      <c r="L1736" s="10">
        <v>19</v>
      </c>
      <c r="M1736" s="10">
        <v>2.2000000000000002</v>
      </c>
      <c r="N1736" s="10" t="b">
        <v>0</v>
      </c>
      <c r="O1736" s="41"/>
      <c r="P1736" s="45">
        <f t="shared" si="191"/>
        <v>1056.3</v>
      </c>
      <c r="Q1736" s="45">
        <f t="shared" si="192"/>
        <v>1458.7</v>
      </c>
      <c r="R1736" s="45">
        <v>0</v>
      </c>
      <c r="S1736" s="45">
        <f t="shared" si="193"/>
        <v>0</v>
      </c>
      <c r="T1736" s="45">
        <f t="shared" si="194"/>
        <v>0</v>
      </c>
      <c r="U1736" s="47">
        <f t="shared" si="195"/>
        <v>1458.7</v>
      </c>
    </row>
    <row r="1737" spans="1:21" x14ac:dyDescent="0.3">
      <c r="A1737" s="41" t="str">
        <f t="shared" si="189"/>
        <v>PANNSH</v>
      </c>
      <c r="B1737" s="43">
        <v>45849</v>
      </c>
      <c r="C1737" s="10" t="s">
        <v>1779</v>
      </c>
      <c r="D1737" s="10" t="s">
        <v>42</v>
      </c>
      <c r="E1737" s="10" t="s">
        <v>18</v>
      </c>
      <c r="F1737" s="10" t="s">
        <v>4</v>
      </c>
      <c r="G1737" s="10" t="s">
        <v>46</v>
      </c>
      <c r="H1737" s="10" t="s">
        <v>28</v>
      </c>
      <c r="I1737" s="45">
        <v>4291</v>
      </c>
      <c r="J1737" s="11">
        <v>0</v>
      </c>
      <c r="K1737" s="45">
        <f t="shared" si="190"/>
        <v>4291</v>
      </c>
      <c r="L1737" s="10">
        <v>43</v>
      </c>
      <c r="M1737" s="10"/>
      <c r="N1737" s="10" t="b">
        <v>0</v>
      </c>
      <c r="O1737" s="41"/>
      <c r="P1737" s="45">
        <f t="shared" si="191"/>
        <v>1802.22</v>
      </c>
      <c r="Q1737" s="45">
        <f t="shared" si="192"/>
        <v>2488.7799999999997</v>
      </c>
      <c r="R1737" s="45">
        <v>0</v>
      </c>
      <c r="S1737" s="45">
        <f t="shared" si="193"/>
        <v>0</v>
      </c>
      <c r="T1737" s="45">
        <f t="shared" si="194"/>
        <v>0</v>
      </c>
      <c r="U1737" s="47">
        <f t="shared" si="195"/>
        <v>2488.7799999999997</v>
      </c>
    </row>
    <row r="1738" spans="1:21" x14ac:dyDescent="0.3">
      <c r="A1738" s="41" t="str">
        <f t="shared" si="189"/>
        <v>PMANSH</v>
      </c>
      <c r="B1738" s="43">
        <v>45849</v>
      </c>
      <c r="C1738" s="10" t="s">
        <v>1780</v>
      </c>
      <c r="D1738" s="10" t="s">
        <v>31</v>
      </c>
      <c r="E1738" s="10" t="s">
        <v>18</v>
      </c>
      <c r="F1738" s="10" t="s">
        <v>23</v>
      </c>
      <c r="G1738" s="10" t="s">
        <v>46</v>
      </c>
      <c r="H1738" s="10" t="s">
        <v>47</v>
      </c>
      <c r="I1738" s="45">
        <v>3424</v>
      </c>
      <c r="J1738" s="11">
        <v>0</v>
      </c>
      <c r="K1738" s="45">
        <f t="shared" si="190"/>
        <v>3424</v>
      </c>
      <c r="L1738" s="10">
        <v>9</v>
      </c>
      <c r="M1738" s="10">
        <v>3.7</v>
      </c>
      <c r="N1738" s="10" t="b">
        <v>0</v>
      </c>
      <c r="O1738" s="41"/>
      <c r="P1738" s="45">
        <f t="shared" si="191"/>
        <v>1438.08</v>
      </c>
      <c r="Q1738" s="45">
        <f t="shared" si="192"/>
        <v>1985.92</v>
      </c>
      <c r="R1738" s="45">
        <v>0</v>
      </c>
      <c r="S1738" s="45">
        <f t="shared" si="193"/>
        <v>0</v>
      </c>
      <c r="T1738" s="45">
        <f t="shared" si="194"/>
        <v>0</v>
      </c>
      <c r="U1738" s="47">
        <f t="shared" si="195"/>
        <v>1985.92</v>
      </c>
    </row>
    <row r="1739" spans="1:21" x14ac:dyDescent="0.3">
      <c r="A1739" s="41" t="str">
        <f t="shared" si="189"/>
        <v>PBANBO</v>
      </c>
      <c r="B1739" s="43">
        <v>45850</v>
      </c>
      <c r="C1739" s="10" t="s">
        <v>1781</v>
      </c>
      <c r="D1739" s="10" t="s">
        <v>21</v>
      </c>
      <c r="E1739" s="10" t="s">
        <v>26</v>
      </c>
      <c r="F1739" s="10" t="s">
        <v>54</v>
      </c>
      <c r="G1739" s="10" t="s">
        <v>38</v>
      </c>
      <c r="H1739" s="10" t="s">
        <v>58</v>
      </c>
      <c r="I1739" s="45">
        <v>2284</v>
      </c>
      <c r="J1739" s="11">
        <v>0</v>
      </c>
      <c r="K1739" s="45">
        <f t="shared" si="190"/>
        <v>2284</v>
      </c>
      <c r="L1739" s="10">
        <v>14</v>
      </c>
      <c r="M1739" s="10">
        <v>4.7</v>
      </c>
      <c r="N1739" s="10" t="b">
        <v>0</v>
      </c>
      <c r="O1739" s="41"/>
      <c r="P1739" s="45">
        <f t="shared" si="191"/>
        <v>959.28</v>
      </c>
      <c r="Q1739" s="45">
        <f t="shared" si="192"/>
        <v>1324.72</v>
      </c>
      <c r="R1739" s="45">
        <v>0</v>
      </c>
      <c r="S1739" s="45">
        <f t="shared" si="193"/>
        <v>0</v>
      </c>
      <c r="T1739" s="45">
        <f t="shared" si="194"/>
        <v>0</v>
      </c>
      <c r="U1739" s="47">
        <f t="shared" si="195"/>
        <v>1324.72</v>
      </c>
    </row>
    <row r="1740" spans="1:21" x14ac:dyDescent="0.3">
      <c r="A1740" s="41" t="str">
        <f t="shared" si="189"/>
        <v>PFORTO</v>
      </c>
      <c r="B1740" s="43">
        <v>45850</v>
      </c>
      <c r="C1740" s="10" t="s">
        <v>1782</v>
      </c>
      <c r="D1740" s="10" t="s">
        <v>65</v>
      </c>
      <c r="E1740" s="10" t="s">
        <v>9</v>
      </c>
      <c r="F1740" s="10" t="s">
        <v>54</v>
      </c>
      <c r="G1740" s="10" t="s">
        <v>7</v>
      </c>
      <c r="H1740" s="10" t="s">
        <v>13</v>
      </c>
      <c r="I1740" s="45">
        <v>1485</v>
      </c>
      <c r="J1740" s="11">
        <v>0</v>
      </c>
      <c r="K1740" s="45">
        <f t="shared" si="190"/>
        <v>1485</v>
      </c>
      <c r="L1740" s="10">
        <v>29</v>
      </c>
      <c r="M1740" s="10">
        <v>2.1</v>
      </c>
      <c r="N1740" s="10" t="b">
        <v>0</v>
      </c>
      <c r="O1740" s="41"/>
      <c r="P1740" s="45">
        <f t="shared" si="191"/>
        <v>623.69999999999993</v>
      </c>
      <c r="Q1740" s="45">
        <f t="shared" si="192"/>
        <v>861.30000000000007</v>
      </c>
      <c r="R1740" s="45">
        <v>0</v>
      </c>
      <c r="S1740" s="45">
        <f t="shared" si="193"/>
        <v>0</v>
      </c>
      <c r="T1740" s="45">
        <f t="shared" si="194"/>
        <v>0</v>
      </c>
      <c r="U1740" s="47">
        <f t="shared" si="195"/>
        <v>861.30000000000007</v>
      </c>
    </row>
    <row r="1741" spans="1:21" x14ac:dyDescent="0.3">
      <c r="A1741" s="41" t="str">
        <f t="shared" si="189"/>
        <v>PGAPTO</v>
      </c>
      <c r="B1741" s="43">
        <v>45850</v>
      </c>
      <c r="C1741" s="10" t="s">
        <v>1783</v>
      </c>
      <c r="D1741" s="10" t="s">
        <v>53</v>
      </c>
      <c r="E1741" s="10" t="s">
        <v>9</v>
      </c>
      <c r="F1741" s="10" t="s">
        <v>4</v>
      </c>
      <c r="G1741" s="10" t="s">
        <v>5</v>
      </c>
      <c r="H1741" s="10" t="s">
        <v>28</v>
      </c>
      <c r="I1741" s="45">
        <v>1524</v>
      </c>
      <c r="J1741" s="11">
        <v>0</v>
      </c>
      <c r="K1741" s="45">
        <f t="shared" si="190"/>
        <v>1524</v>
      </c>
      <c r="L1741" s="10">
        <v>24</v>
      </c>
      <c r="M1741" s="10">
        <v>1.2</v>
      </c>
      <c r="N1741" s="10" t="b">
        <v>0</v>
      </c>
      <c r="O1741" s="41"/>
      <c r="P1741" s="45">
        <f t="shared" si="191"/>
        <v>640.07999999999993</v>
      </c>
      <c r="Q1741" s="45">
        <f t="shared" si="192"/>
        <v>883.92000000000007</v>
      </c>
      <c r="R1741" s="45">
        <v>0</v>
      </c>
      <c r="S1741" s="45">
        <f t="shared" si="193"/>
        <v>0</v>
      </c>
      <c r="T1741" s="45">
        <f t="shared" si="194"/>
        <v>0</v>
      </c>
      <c r="U1741" s="47">
        <f t="shared" si="195"/>
        <v>883.92000000000007</v>
      </c>
    </row>
    <row r="1742" spans="1:21" x14ac:dyDescent="0.3">
      <c r="A1742" s="41" t="str">
        <f t="shared" si="189"/>
        <v>PH&amp;MTO</v>
      </c>
      <c r="B1742" s="43">
        <v>45850</v>
      </c>
      <c r="C1742" s="10" t="s">
        <v>1784</v>
      </c>
      <c r="D1742" s="10" t="s">
        <v>37</v>
      </c>
      <c r="E1742" s="10" t="s">
        <v>9</v>
      </c>
      <c r="F1742" s="10" t="s">
        <v>54</v>
      </c>
      <c r="G1742" s="10" t="s">
        <v>27</v>
      </c>
      <c r="H1742" s="10" t="s">
        <v>88</v>
      </c>
      <c r="I1742" s="45">
        <v>1262</v>
      </c>
      <c r="J1742" s="11">
        <v>0</v>
      </c>
      <c r="K1742" s="45">
        <f t="shared" si="190"/>
        <v>1262</v>
      </c>
      <c r="L1742" s="10">
        <v>49</v>
      </c>
      <c r="M1742" s="10"/>
      <c r="N1742" s="10" t="b">
        <v>0</v>
      </c>
      <c r="O1742" s="41"/>
      <c r="P1742" s="45">
        <f t="shared" si="191"/>
        <v>530.04</v>
      </c>
      <c r="Q1742" s="45">
        <f t="shared" si="192"/>
        <v>731.96</v>
      </c>
      <c r="R1742" s="45">
        <v>0</v>
      </c>
      <c r="S1742" s="45">
        <f t="shared" si="193"/>
        <v>0</v>
      </c>
      <c r="T1742" s="45">
        <f t="shared" si="194"/>
        <v>0</v>
      </c>
      <c r="U1742" s="47">
        <f t="shared" si="195"/>
        <v>731.96</v>
      </c>
    </row>
    <row r="1743" spans="1:21" x14ac:dyDescent="0.3">
      <c r="A1743" s="41" t="str">
        <f t="shared" si="189"/>
        <v>PUNISH</v>
      </c>
      <c r="B1743" s="43">
        <v>45851</v>
      </c>
      <c r="C1743" s="10" t="s">
        <v>1785</v>
      </c>
      <c r="D1743" s="10" t="s">
        <v>10</v>
      </c>
      <c r="E1743" s="10" t="s">
        <v>18</v>
      </c>
      <c r="F1743" s="10" t="s">
        <v>4</v>
      </c>
      <c r="G1743" s="10" t="s">
        <v>46</v>
      </c>
      <c r="H1743" s="10" t="s">
        <v>28</v>
      </c>
      <c r="I1743" s="45">
        <v>3066</v>
      </c>
      <c r="J1743" s="11">
        <v>0.14300000000000002</v>
      </c>
      <c r="K1743" s="45">
        <f t="shared" si="190"/>
        <v>2627.5619999999999</v>
      </c>
      <c r="L1743" s="10">
        <v>7</v>
      </c>
      <c r="M1743" s="10">
        <v>2.2999999999999998</v>
      </c>
      <c r="N1743" s="10" t="b">
        <v>1</v>
      </c>
      <c r="O1743" s="41" t="s">
        <v>33</v>
      </c>
      <c r="P1743" s="45">
        <f t="shared" si="191"/>
        <v>1103.5760399999999</v>
      </c>
      <c r="Q1743" s="45">
        <f t="shared" si="192"/>
        <v>1523.98596</v>
      </c>
      <c r="R1743" s="45">
        <v>150</v>
      </c>
      <c r="S1743" s="45">
        <f t="shared" si="193"/>
        <v>262.75619999999998</v>
      </c>
      <c r="T1743" s="45">
        <f t="shared" si="194"/>
        <v>2627.5619999999999</v>
      </c>
      <c r="U1743" s="47">
        <f t="shared" si="195"/>
        <v>-1516.33224</v>
      </c>
    </row>
    <row r="1744" spans="1:21" x14ac:dyDescent="0.3">
      <c r="A1744" s="41" t="str">
        <f t="shared" si="189"/>
        <v>PMANSH</v>
      </c>
      <c r="B1744" s="43">
        <v>45851</v>
      </c>
      <c r="C1744" s="10" t="s">
        <v>1786</v>
      </c>
      <c r="D1744" s="10" t="s">
        <v>31</v>
      </c>
      <c r="E1744" s="10" t="s">
        <v>18</v>
      </c>
      <c r="F1744" s="10" t="s">
        <v>23</v>
      </c>
      <c r="G1744" s="10" t="s">
        <v>38</v>
      </c>
      <c r="H1744" s="10" t="s">
        <v>16</v>
      </c>
      <c r="I1744" s="45">
        <v>3530</v>
      </c>
      <c r="J1744" s="11">
        <v>5.9000000000000004E-2</v>
      </c>
      <c r="K1744" s="45">
        <f t="shared" si="190"/>
        <v>3321.73</v>
      </c>
      <c r="L1744" s="10">
        <v>39</v>
      </c>
      <c r="M1744" s="10">
        <v>2.6</v>
      </c>
      <c r="N1744" s="10" t="b">
        <v>0</v>
      </c>
      <c r="O1744" s="41"/>
      <c r="P1744" s="45">
        <f t="shared" si="191"/>
        <v>1395.1266000000001</v>
      </c>
      <c r="Q1744" s="45">
        <f t="shared" si="192"/>
        <v>1926.6034</v>
      </c>
      <c r="R1744" s="45">
        <v>0</v>
      </c>
      <c r="S1744" s="45">
        <f t="shared" si="193"/>
        <v>0</v>
      </c>
      <c r="T1744" s="45">
        <f t="shared" si="194"/>
        <v>0</v>
      </c>
      <c r="U1744" s="47">
        <f t="shared" si="195"/>
        <v>1926.6034</v>
      </c>
    </row>
    <row r="1745" spans="1:21" x14ac:dyDescent="0.3">
      <c r="A1745" s="41" t="str">
        <f t="shared" si="189"/>
        <v>PZARBO</v>
      </c>
      <c r="B1745" s="43">
        <v>45851</v>
      </c>
      <c r="C1745" s="10" t="s">
        <v>1787</v>
      </c>
      <c r="D1745" s="10" t="s">
        <v>3</v>
      </c>
      <c r="E1745" s="10" t="s">
        <v>26</v>
      </c>
      <c r="F1745" s="10" t="s">
        <v>23</v>
      </c>
      <c r="G1745" s="10" t="s">
        <v>46</v>
      </c>
      <c r="H1745" s="10" t="s">
        <v>35</v>
      </c>
      <c r="I1745" s="45">
        <v>2691</v>
      </c>
      <c r="J1745" s="11">
        <v>5.2999999999999999E-2</v>
      </c>
      <c r="K1745" s="45">
        <f t="shared" si="190"/>
        <v>2548.377</v>
      </c>
      <c r="L1745" s="10">
        <v>13</v>
      </c>
      <c r="M1745" s="10">
        <v>2.5</v>
      </c>
      <c r="N1745" s="10" t="b">
        <v>0</v>
      </c>
      <c r="O1745" s="41"/>
      <c r="P1745" s="45">
        <f t="shared" si="191"/>
        <v>1070.31834</v>
      </c>
      <c r="Q1745" s="45">
        <f t="shared" si="192"/>
        <v>1478.0586599999999</v>
      </c>
      <c r="R1745" s="45">
        <v>0</v>
      </c>
      <c r="S1745" s="45">
        <f t="shared" si="193"/>
        <v>0</v>
      </c>
      <c r="T1745" s="45">
        <f t="shared" si="194"/>
        <v>0</v>
      </c>
      <c r="U1745" s="47">
        <f t="shared" si="195"/>
        <v>1478.0586599999999</v>
      </c>
    </row>
    <row r="1746" spans="1:21" x14ac:dyDescent="0.3">
      <c r="A1746" s="41" t="str">
        <f t="shared" si="189"/>
        <v>PBANDR</v>
      </c>
      <c r="B1746" s="43">
        <v>45852</v>
      </c>
      <c r="C1746" s="10" t="s">
        <v>1788</v>
      </c>
      <c r="D1746" s="10" t="s">
        <v>21</v>
      </c>
      <c r="E1746" s="10" t="s">
        <v>30</v>
      </c>
      <c r="F1746" s="10" t="s">
        <v>4</v>
      </c>
      <c r="G1746" s="10" t="s">
        <v>49</v>
      </c>
      <c r="H1746" s="10" t="s">
        <v>6</v>
      </c>
      <c r="I1746" s="45">
        <v>2172</v>
      </c>
      <c r="J1746" s="11">
        <v>0</v>
      </c>
      <c r="K1746" s="45">
        <f t="shared" si="190"/>
        <v>2172</v>
      </c>
      <c r="L1746" s="10">
        <v>38</v>
      </c>
      <c r="M1746" s="10">
        <v>1.4</v>
      </c>
      <c r="N1746" s="10" t="b">
        <v>0</v>
      </c>
      <c r="O1746" s="41"/>
      <c r="P1746" s="45">
        <f t="shared" si="191"/>
        <v>912.24</v>
      </c>
      <c r="Q1746" s="45">
        <f t="shared" si="192"/>
        <v>1259.76</v>
      </c>
      <c r="R1746" s="45">
        <v>0</v>
      </c>
      <c r="S1746" s="45">
        <f t="shared" si="193"/>
        <v>0</v>
      </c>
      <c r="T1746" s="45">
        <f t="shared" si="194"/>
        <v>0</v>
      </c>
      <c r="U1746" s="47">
        <f t="shared" si="195"/>
        <v>1259.76</v>
      </c>
    </row>
    <row r="1747" spans="1:21" x14ac:dyDescent="0.3">
      <c r="A1747" s="41" t="str">
        <f t="shared" si="189"/>
        <v>PANNOU</v>
      </c>
      <c r="B1747" s="43">
        <v>45852</v>
      </c>
      <c r="C1747" s="10" t="s">
        <v>1789</v>
      </c>
      <c r="D1747" s="10" t="s">
        <v>42</v>
      </c>
      <c r="E1747" s="10" t="s">
        <v>2</v>
      </c>
      <c r="F1747" s="10" t="s">
        <v>54</v>
      </c>
      <c r="G1747" s="10" t="s">
        <v>5</v>
      </c>
      <c r="H1747" s="10" t="s">
        <v>6</v>
      </c>
      <c r="I1747" s="45">
        <v>3566</v>
      </c>
      <c r="J1747" s="11">
        <v>0</v>
      </c>
      <c r="K1747" s="45">
        <f t="shared" si="190"/>
        <v>3566</v>
      </c>
      <c r="L1747" s="10">
        <v>31</v>
      </c>
      <c r="M1747" s="10"/>
      <c r="N1747" s="10" t="b">
        <v>1</v>
      </c>
      <c r="O1747" s="41" t="s">
        <v>44</v>
      </c>
      <c r="P1747" s="45">
        <f t="shared" si="191"/>
        <v>1497.72</v>
      </c>
      <c r="Q1747" s="45">
        <f t="shared" si="192"/>
        <v>2068.2799999999997</v>
      </c>
      <c r="R1747" s="45">
        <v>150</v>
      </c>
      <c r="S1747" s="45">
        <f t="shared" si="193"/>
        <v>356.6</v>
      </c>
      <c r="T1747" s="45">
        <f t="shared" si="194"/>
        <v>3566</v>
      </c>
      <c r="U1747" s="47">
        <f t="shared" si="195"/>
        <v>-2004.3200000000002</v>
      </c>
    </row>
    <row r="1748" spans="1:21" x14ac:dyDescent="0.3">
      <c r="A1748" s="41" t="str">
        <f t="shared" si="189"/>
        <v>PUNIOU</v>
      </c>
      <c r="B1748" s="43">
        <v>45852</v>
      </c>
      <c r="C1748" s="10" t="s">
        <v>1790</v>
      </c>
      <c r="D1748" s="10" t="s">
        <v>10</v>
      </c>
      <c r="E1748" s="10" t="s">
        <v>2</v>
      </c>
      <c r="F1748" s="10" t="s">
        <v>23</v>
      </c>
      <c r="G1748" s="10" t="s">
        <v>46</v>
      </c>
      <c r="H1748" s="10" t="s">
        <v>32</v>
      </c>
      <c r="I1748" s="45">
        <v>4496</v>
      </c>
      <c r="J1748" s="11">
        <v>0</v>
      </c>
      <c r="K1748" s="45">
        <f t="shared" si="190"/>
        <v>4496</v>
      </c>
      <c r="L1748" s="10">
        <v>12</v>
      </c>
      <c r="M1748" s="10">
        <v>2.2999999999999998</v>
      </c>
      <c r="N1748" s="10" t="b">
        <v>1</v>
      </c>
      <c r="O1748" s="41" t="s">
        <v>19</v>
      </c>
      <c r="P1748" s="45">
        <f t="shared" si="191"/>
        <v>1888.32</v>
      </c>
      <c r="Q1748" s="45">
        <f t="shared" si="192"/>
        <v>2607.6800000000003</v>
      </c>
      <c r="R1748" s="45">
        <v>150</v>
      </c>
      <c r="S1748" s="45">
        <f t="shared" si="193"/>
        <v>449.6</v>
      </c>
      <c r="T1748" s="45">
        <f t="shared" si="194"/>
        <v>4496</v>
      </c>
      <c r="U1748" s="47">
        <f t="shared" si="195"/>
        <v>-2487.9199999999996</v>
      </c>
    </row>
    <row r="1749" spans="1:21" x14ac:dyDescent="0.3">
      <c r="A1749" s="41" t="str">
        <f t="shared" si="189"/>
        <v>PANNBO</v>
      </c>
      <c r="B1749" s="43">
        <v>45852</v>
      </c>
      <c r="C1749" s="10" t="s">
        <v>1791</v>
      </c>
      <c r="D1749" s="10" t="s">
        <v>42</v>
      </c>
      <c r="E1749" s="10" t="s">
        <v>26</v>
      </c>
      <c r="F1749" s="10" t="s">
        <v>4</v>
      </c>
      <c r="G1749" s="10" t="s">
        <v>46</v>
      </c>
      <c r="H1749" s="10" t="s">
        <v>6</v>
      </c>
      <c r="I1749" s="45">
        <v>2782</v>
      </c>
      <c r="J1749" s="11">
        <v>0.5</v>
      </c>
      <c r="K1749" s="45">
        <f t="shared" si="190"/>
        <v>1391</v>
      </c>
      <c r="L1749" s="10">
        <v>24</v>
      </c>
      <c r="M1749" s="10">
        <v>1.9</v>
      </c>
      <c r="N1749" s="10" t="b">
        <v>0</v>
      </c>
      <c r="O1749" s="41"/>
      <c r="P1749" s="45">
        <f t="shared" si="191"/>
        <v>584.22</v>
      </c>
      <c r="Q1749" s="45">
        <f t="shared" si="192"/>
        <v>806.78</v>
      </c>
      <c r="R1749" s="45">
        <v>0</v>
      </c>
      <c r="S1749" s="45">
        <f t="shared" si="193"/>
        <v>0</v>
      </c>
      <c r="T1749" s="45">
        <f t="shared" si="194"/>
        <v>0</v>
      </c>
      <c r="U1749" s="47">
        <f t="shared" si="195"/>
        <v>806.78</v>
      </c>
    </row>
    <row r="1750" spans="1:21" x14ac:dyDescent="0.3">
      <c r="A1750" s="41" t="str">
        <f t="shared" si="189"/>
        <v>PBANAC</v>
      </c>
      <c r="B1750" s="43">
        <v>45853</v>
      </c>
      <c r="C1750" s="10" t="s">
        <v>1792</v>
      </c>
      <c r="D1750" s="10" t="s">
        <v>21</v>
      </c>
      <c r="E1750" s="10" t="s">
        <v>15</v>
      </c>
      <c r="F1750" s="10" t="s">
        <v>11</v>
      </c>
      <c r="G1750" s="10" t="s">
        <v>7</v>
      </c>
      <c r="H1750" s="10" t="s">
        <v>58</v>
      </c>
      <c r="I1750" s="45">
        <v>401</v>
      </c>
      <c r="J1750" s="11">
        <v>0.5</v>
      </c>
      <c r="K1750" s="45">
        <f t="shared" si="190"/>
        <v>200.5</v>
      </c>
      <c r="L1750" s="10">
        <v>23</v>
      </c>
      <c r="M1750" s="10">
        <v>1.4</v>
      </c>
      <c r="N1750" s="10" t="b">
        <v>1</v>
      </c>
      <c r="O1750" s="41" t="s">
        <v>80</v>
      </c>
      <c r="P1750" s="45">
        <f t="shared" si="191"/>
        <v>84.21</v>
      </c>
      <c r="Q1750" s="45">
        <f t="shared" si="192"/>
        <v>116.29</v>
      </c>
      <c r="R1750" s="45">
        <v>150</v>
      </c>
      <c r="S1750" s="45">
        <f t="shared" si="193"/>
        <v>20.05</v>
      </c>
      <c r="T1750" s="45">
        <f t="shared" si="194"/>
        <v>200.5</v>
      </c>
      <c r="U1750" s="47">
        <f t="shared" si="195"/>
        <v>-254.26</v>
      </c>
    </row>
    <row r="1751" spans="1:21" x14ac:dyDescent="0.3">
      <c r="A1751" s="41" t="str">
        <f t="shared" si="189"/>
        <v>PMANOU</v>
      </c>
      <c r="B1751" s="43">
        <v>45853</v>
      </c>
      <c r="C1751" s="10" t="s">
        <v>1793</v>
      </c>
      <c r="D1751" s="10" t="s">
        <v>31</v>
      </c>
      <c r="E1751" s="10" t="s">
        <v>2</v>
      </c>
      <c r="F1751" s="10" t="s">
        <v>54</v>
      </c>
      <c r="G1751" s="10" t="s">
        <v>46</v>
      </c>
      <c r="H1751" s="10" t="s">
        <v>35</v>
      </c>
      <c r="I1751" s="45">
        <v>3511</v>
      </c>
      <c r="J1751" s="11">
        <v>0.309</v>
      </c>
      <c r="K1751" s="45">
        <f t="shared" si="190"/>
        <v>2426.1010000000001</v>
      </c>
      <c r="L1751" s="10">
        <v>7</v>
      </c>
      <c r="M1751" s="10">
        <v>1</v>
      </c>
      <c r="N1751" s="10" t="b">
        <v>1</v>
      </c>
      <c r="O1751" s="41" t="s">
        <v>33</v>
      </c>
      <c r="P1751" s="45">
        <f t="shared" si="191"/>
        <v>1018.9624200000001</v>
      </c>
      <c r="Q1751" s="45">
        <f t="shared" si="192"/>
        <v>1407.13858</v>
      </c>
      <c r="R1751" s="45">
        <v>150</v>
      </c>
      <c r="S1751" s="45">
        <f t="shared" si="193"/>
        <v>242.61010000000002</v>
      </c>
      <c r="T1751" s="45">
        <f t="shared" si="194"/>
        <v>2426.1010000000001</v>
      </c>
      <c r="U1751" s="47">
        <f t="shared" si="195"/>
        <v>-1411.5725200000002</v>
      </c>
    </row>
    <row r="1752" spans="1:21" x14ac:dyDescent="0.3">
      <c r="A1752" s="41" t="str">
        <f t="shared" si="189"/>
        <v>PZARTO</v>
      </c>
      <c r="B1752" s="43">
        <v>45853</v>
      </c>
      <c r="C1752" s="10" t="s">
        <v>1794</v>
      </c>
      <c r="D1752" s="10" t="s">
        <v>3</v>
      </c>
      <c r="E1752" s="10" t="s">
        <v>9</v>
      </c>
      <c r="F1752" s="10" t="s">
        <v>11</v>
      </c>
      <c r="G1752" s="10" t="s">
        <v>27</v>
      </c>
      <c r="H1752" s="10" t="s">
        <v>16</v>
      </c>
      <c r="I1752" s="45">
        <v>1226</v>
      </c>
      <c r="J1752" s="11">
        <v>0.48100000000000004</v>
      </c>
      <c r="K1752" s="45">
        <f t="shared" si="190"/>
        <v>636.29399999999987</v>
      </c>
      <c r="L1752" s="10">
        <v>36</v>
      </c>
      <c r="M1752" s="10">
        <v>2.9</v>
      </c>
      <c r="N1752" s="10" t="b">
        <v>0</v>
      </c>
      <c r="O1752" s="41"/>
      <c r="P1752" s="45">
        <f t="shared" si="191"/>
        <v>267.24347999999992</v>
      </c>
      <c r="Q1752" s="45">
        <f t="shared" si="192"/>
        <v>369.05051999999995</v>
      </c>
      <c r="R1752" s="45">
        <v>0</v>
      </c>
      <c r="S1752" s="45">
        <f t="shared" si="193"/>
        <v>0</v>
      </c>
      <c r="T1752" s="45">
        <f t="shared" si="194"/>
        <v>0</v>
      </c>
      <c r="U1752" s="47">
        <f t="shared" si="195"/>
        <v>369.05051999999995</v>
      </c>
    </row>
    <row r="1753" spans="1:21" x14ac:dyDescent="0.3">
      <c r="A1753" s="41" t="str">
        <f t="shared" si="189"/>
        <v>PUNITO</v>
      </c>
      <c r="B1753" s="43">
        <v>45853</v>
      </c>
      <c r="C1753" s="10" t="s">
        <v>1795</v>
      </c>
      <c r="D1753" s="10" t="s">
        <v>10</v>
      </c>
      <c r="E1753" s="10" t="s">
        <v>9</v>
      </c>
      <c r="F1753" s="10" t="s">
        <v>4</v>
      </c>
      <c r="G1753" s="10" t="s">
        <v>49</v>
      </c>
      <c r="H1753" s="10" t="s">
        <v>58</v>
      </c>
      <c r="I1753" s="45">
        <v>1188</v>
      </c>
      <c r="J1753" s="11">
        <v>0</v>
      </c>
      <c r="K1753" s="45">
        <f t="shared" si="190"/>
        <v>1188</v>
      </c>
      <c r="L1753" s="10">
        <v>11</v>
      </c>
      <c r="M1753" s="10"/>
      <c r="N1753" s="10" t="b">
        <v>0</v>
      </c>
      <c r="O1753" s="41"/>
      <c r="P1753" s="45">
        <f t="shared" si="191"/>
        <v>498.96</v>
      </c>
      <c r="Q1753" s="45">
        <f t="shared" si="192"/>
        <v>689.04</v>
      </c>
      <c r="R1753" s="45">
        <v>0</v>
      </c>
      <c r="S1753" s="45">
        <f t="shared" si="193"/>
        <v>0</v>
      </c>
      <c r="T1753" s="45">
        <f t="shared" si="194"/>
        <v>0</v>
      </c>
      <c r="U1753" s="47">
        <f t="shared" si="195"/>
        <v>689.04</v>
      </c>
    </row>
    <row r="1754" spans="1:21" x14ac:dyDescent="0.3">
      <c r="A1754" s="41" t="str">
        <f t="shared" si="189"/>
        <v>PUNISH</v>
      </c>
      <c r="B1754" s="43">
        <v>45854</v>
      </c>
      <c r="C1754" s="10" t="s">
        <v>1796</v>
      </c>
      <c r="D1754" s="10" t="s">
        <v>10</v>
      </c>
      <c r="E1754" s="10" t="s">
        <v>18</v>
      </c>
      <c r="F1754" s="10" t="s">
        <v>54</v>
      </c>
      <c r="G1754" s="10" t="s">
        <v>49</v>
      </c>
      <c r="H1754" s="10" t="s">
        <v>88</v>
      </c>
      <c r="I1754" s="45">
        <v>3467</v>
      </c>
      <c r="J1754" s="11">
        <v>0</v>
      </c>
      <c r="K1754" s="45">
        <f t="shared" si="190"/>
        <v>3467</v>
      </c>
      <c r="L1754" s="10">
        <v>30</v>
      </c>
      <c r="M1754" s="10">
        <v>4.2</v>
      </c>
      <c r="N1754" s="10" t="b">
        <v>0</v>
      </c>
      <c r="O1754" s="41"/>
      <c r="P1754" s="45">
        <f t="shared" si="191"/>
        <v>1456.1399999999999</v>
      </c>
      <c r="Q1754" s="45">
        <f t="shared" si="192"/>
        <v>2010.8600000000001</v>
      </c>
      <c r="R1754" s="45">
        <v>0</v>
      </c>
      <c r="S1754" s="45">
        <f t="shared" si="193"/>
        <v>0</v>
      </c>
      <c r="T1754" s="45">
        <f t="shared" si="194"/>
        <v>0</v>
      </c>
      <c r="U1754" s="47">
        <f t="shared" si="195"/>
        <v>2010.8600000000001</v>
      </c>
    </row>
    <row r="1755" spans="1:21" x14ac:dyDescent="0.3">
      <c r="A1755" s="41" t="str">
        <f t="shared" si="189"/>
        <v>PMANDR</v>
      </c>
      <c r="B1755" s="43">
        <v>45854</v>
      </c>
      <c r="C1755" s="10" t="s">
        <v>1797</v>
      </c>
      <c r="D1755" s="10" t="s">
        <v>31</v>
      </c>
      <c r="E1755" s="10" t="s">
        <v>30</v>
      </c>
      <c r="F1755" s="10" t="s">
        <v>23</v>
      </c>
      <c r="G1755" s="10" t="s">
        <v>7</v>
      </c>
      <c r="H1755" s="10" t="s">
        <v>35</v>
      </c>
      <c r="I1755" s="45">
        <v>2309</v>
      </c>
      <c r="J1755" s="11">
        <v>0</v>
      </c>
      <c r="K1755" s="45">
        <f t="shared" si="190"/>
        <v>2309</v>
      </c>
      <c r="L1755" s="10">
        <v>6</v>
      </c>
      <c r="M1755" s="10">
        <v>2</v>
      </c>
      <c r="N1755" s="10" t="b">
        <v>0</v>
      </c>
      <c r="O1755" s="41"/>
      <c r="P1755" s="45">
        <f t="shared" si="191"/>
        <v>969.78</v>
      </c>
      <c r="Q1755" s="45">
        <f t="shared" si="192"/>
        <v>1339.22</v>
      </c>
      <c r="R1755" s="45">
        <v>0</v>
      </c>
      <c r="S1755" s="45">
        <f t="shared" si="193"/>
        <v>0</v>
      </c>
      <c r="T1755" s="45">
        <f t="shared" si="194"/>
        <v>0</v>
      </c>
      <c r="U1755" s="47">
        <f t="shared" si="195"/>
        <v>1339.22</v>
      </c>
    </row>
    <row r="1756" spans="1:21" x14ac:dyDescent="0.3">
      <c r="A1756" s="41" t="str">
        <f t="shared" si="189"/>
        <v>PUNITO</v>
      </c>
      <c r="B1756" s="43">
        <v>45854</v>
      </c>
      <c r="C1756" s="10" t="s">
        <v>1798</v>
      </c>
      <c r="D1756" s="10" t="s">
        <v>10</v>
      </c>
      <c r="E1756" s="10" t="s">
        <v>9</v>
      </c>
      <c r="F1756" s="10" t="s">
        <v>23</v>
      </c>
      <c r="G1756" s="10" t="s">
        <v>38</v>
      </c>
      <c r="H1756" s="10" t="s">
        <v>6</v>
      </c>
      <c r="I1756" s="45">
        <v>1119</v>
      </c>
      <c r="J1756" s="11">
        <v>0</v>
      </c>
      <c r="K1756" s="45">
        <f t="shared" si="190"/>
        <v>1119</v>
      </c>
      <c r="L1756" s="10">
        <v>47</v>
      </c>
      <c r="M1756" s="10">
        <v>4.5</v>
      </c>
      <c r="N1756" s="10" t="b">
        <v>0</v>
      </c>
      <c r="O1756" s="41"/>
      <c r="P1756" s="45">
        <f t="shared" si="191"/>
        <v>469.97999999999996</v>
      </c>
      <c r="Q1756" s="45">
        <f t="shared" si="192"/>
        <v>649.02</v>
      </c>
      <c r="R1756" s="45">
        <v>0</v>
      </c>
      <c r="S1756" s="45">
        <f t="shared" si="193"/>
        <v>0</v>
      </c>
      <c r="T1756" s="45">
        <f t="shared" si="194"/>
        <v>0</v>
      </c>
      <c r="U1756" s="47">
        <f t="shared" si="195"/>
        <v>649.02</v>
      </c>
    </row>
    <row r="1757" spans="1:21" x14ac:dyDescent="0.3">
      <c r="A1757" s="41" t="str">
        <f t="shared" si="189"/>
        <v>PANNSH</v>
      </c>
      <c r="B1757" s="43">
        <v>45855</v>
      </c>
      <c r="C1757" s="10" t="s">
        <v>1799</v>
      </c>
      <c r="D1757" s="10" t="s">
        <v>42</v>
      </c>
      <c r="E1757" s="10" t="s">
        <v>18</v>
      </c>
      <c r="F1757" s="10" t="s">
        <v>11</v>
      </c>
      <c r="G1757" s="10" t="s">
        <v>12</v>
      </c>
      <c r="H1757" s="10" t="s">
        <v>16</v>
      </c>
      <c r="I1757" s="45">
        <v>3222</v>
      </c>
      <c r="J1757" s="11">
        <v>0</v>
      </c>
      <c r="K1757" s="45">
        <f t="shared" si="190"/>
        <v>3222</v>
      </c>
      <c r="L1757" s="10">
        <v>2</v>
      </c>
      <c r="M1757" s="10">
        <v>2.9</v>
      </c>
      <c r="N1757" s="10" t="b">
        <v>0</v>
      </c>
      <c r="O1757" s="41"/>
      <c r="P1757" s="45">
        <f t="shared" si="191"/>
        <v>1353.24</v>
      </c>
      <c r="Q1757" s="45">
        <f t="shared" si="192"/>
        <v>1868.76</v>
      </c>
      <c r="R1757" s="45">
        <v>0</v>
      </c>
      <c r="S1757" s="45">
        <f t="shared" si="193"/>
        <v>0</v>
      </c>
      <c r="T1757" s="45">
        <f t="shared" si="194"/>
        <v>0</v>
      </c>
      <c r="U1757" s="47">
        <f t="shared" si="195"/>
        <v>1868.76</v>
      </c>
    </row>
    <row r="1758" spans="1:21" x14ac:dyDescent="0.3">
      <c r="A1758" s="41" t="str">
        <f t="shared" si="189"/>
        <v>PH&amp;MSH</v>
      </c>
      <c r="B1758" s="43">
        <v>45855</v>
      </c>
      <c r="C1758" s="10" t="s">
        <v>1800</v>
      </c>
      <c r="D1758" s="10" t="s">
        <v>37</v>
      </c>
      <c r="E1758" s="10" t="s">
        <v>18</v>
      </c>
      <c r="F1758" s="10" t="s">
        <v>4</v>
      </c>
      <c r="G1758" s="10" t="s">
        <v>5</v>
      </c>
      <c r="H1758" s="10" t="s">
        <v>16</v>
      </c>
      <c r="I1758" s="45">
        <v>3840</v>
      </c>
      <c r="J1758" s="11">
        <v>0</v>
      </c>
      <c r="K1758" s="45">
        <f t="shared" si="190"/>
        <v>3840</v>
      </c>
      <c r="L1758" s="10">
        <v>45</v>
      </c>
      <c r="M1758" s="10">
        <v>5</v>
      </c>
      <c r="N1758" s="10" t="b">
        <v>0</v>
      </c>
      <c r="O1758" s="41"/>
      <c r="P1758" s="45">
        <f t="shared" si="191"/>
        <v>1612.8</v>
      </c>
      <c r="Q1758" s="45">
        <f t="shared" si="192"/>
        <v>2227.1999999999998</v>
      </c>
      <c r="R1758" s="45">
        <v>0</v>
      </c>
      <c r="S1758" s="45">
        <f t="shared" si="193"/>
        <v>0</v>
      </c>
      <c r="T1758" s="45">
        <f t="shared" si="194"/>
        <v>0</v>
      </c>
      <c r="U1758" s="47">
        <f t="shared" si="195"/>
        <v>2227.1999999999998</v>
      </c>
    </row>
    <row r="1759" spans="1:21" x14ac:dyDescent="0.3">
      <c r="A1759" s="41" t="str">
        <f t="shared" si="189"/>
        <v>PMANOU</v>
      </c>
      <c r="B1759" s="43">
        <v>45855</v>
      </c>
      <c r="C1759" s="10" t="s">
        <v>1801</v>
      </c>
      <c r="D1759" s="10" t="s">
        <v>31</v>
      </c>
      <c r="E1759" s="10" t="s">
        <v>2</v>
      </c>
      <c r="F1759" s="10" t="s">
        <v>54</v>
      </c>
      <c r="G1759" s="10" t="s">
        <v>27</v>
      </c>
      <c r="H1759" s="10" t="s">
        <v>32</v>
      </c>
      <c r="I1759" s="45">
        <v>4256</v>
      </c>
      <c r="J1759" s="11">
        <v>0</v>
      </c>
      <c r="K1759" s="45">
        <f t="shared" si="190"/>
        <v>4256</v>
      </c>
      <c r="L1759" s="10">
        <v>38</v>
      </c>
      <c r="M1759" s="10"/>
      <c r="N1759" s="10" t="b">
        <v>0</v>
      </c>
      <c r="O1759" s="41"/>
      <c r="P1759" s="45">
        <f t="shared" si="191"/>
        <v>1787.52</v>
      </c>
      <c r="Q1759" s="45">
        <f t="shared" si="192"/>
        <v>2468.48</v>
      </c>
      <c r="R1759" s="45">
        <v>0</v>
      </c>
      <c r="S1759" s="45">
        <f t="shared" si="193"/>
        <v>0</v>
      </c>
      <c r="T1759" s="45">
        <f t="shared" si="194"/>
        <v>0</v>
      </c>
      <c r="U1759" s="47">
        <f t="shared" si="195"/>
        <v>2468.48</v>
      </c>
    </row>
    <row r="1760" spans="1:21" x14ac:dyDescent="0.3">
      <c r="A1760" s="41" t="str">
        <f t="shared" si="189"/>
        <v>PFORSH</v>
      </c>
      <c r="B1760" s="43">
        <v>45855</v>
      </c>
      <c r="C1760" s="10" t="s">
        <v>1802</v>
      </c>
      <c r="D1760" s="10" t="s">
        <v>65</v>
      </c>
      <c r="E1760" s="10" t="s">
        <v>18</v>
      </c>
      <c r="F1760" s="10" t="s">
        <v>4</v>
      </c>
      <c r="G1760" s="10" t="s">
        <v>38</v>
      </c>
      <c r="H1760" s="10" t="s">
        <v>47</v>
      </c>
      <c r="I1760" s="45">
        <v>3355</v>
      </c>
      <c r="J1760" s="11">
        <v>0.4</v>
      </c>
      <c r="K1760" s="45">
        <f t="shared" si="190"/>
        <v>2013</v>
      </c>
      <c r="L1760" s="10">
        <v>17</v>
      </c>
      <c r="M1760" s="10">
        <v>2.6</v>
      </c>
      <c r="N1760" s="10" t="b">
        <v>0</v>
      </c>
      <c r="O1760" s="41"/>
      <c r="P1760" s="45">
        <f t="shared" si="191"/>
        <v>845.45999999999992</v>
      </c>
      <c r="Q1760" s="45">
        <f t="shared" si="192"/>
        <v>1167.54</v>
      </c>
      <c r="R1760" s="45">
        <v>0</v>
      </c>
      <c r="S1760" s="45">
        <f t="shared" si="193"/>
        <v>0</v>
      </c>
      <c r="T1760" s="45">
        <f t="shared" si="194"/>
        <v>0</v>
      </c>
      <c r="U1760" s="47">
        <f t="shared" si="195"/>
        <v>1167.54</v>
      </c>
    </row>
    <row r="1761" spans="1:21" x14ac:dyDescent="0.3">
      <c r="A1761" s="41" t="str">
        <f t="shared" si="189"/>
        <v>PMANBO</v>
      </c>
      <c r="B1761" s="43">
        <v>45856</v>
      </c>
      <c r="C1761" s="10" t="s">
        <v>1803</v>
      </c>
      <c r="D1761" s="10" t="s">
        <v>31</v>
      </c>
      <c r="E1761" s="10" t="s">
        <v>26</v>
      </c>
      <c r="F1761" s="10" t="s">
        <v>11</v>
      </c>
      <c r="G1761" s="10" t="s">
        <v>12</v>
      </c>
      <c r="H1761" s="10" t="s">
        <v>13</v>
      </c>
      <c r="I1761" s="45">
        <v>2472</v>
      </c>
      <c r="J1761" s="11">
        <v>0.161</v>
      </c>
      <c r="K1761" s="45">
        <f t="shared" si="190"/>
        <v>2074.0079999999998</v>
      </c>
      <c r="L1761" s="10">
        <v>32</v>
      </c>
      <c r="M1761" s="10">
        <v>3.1</v>
      </c>
      <c r="N1761" s="10" t="b">
        <v>0</v>
      </c>
      <c r="O1761" s="41"/>
      <c r="P1761" s="45">
        <f t="shared" si="191"/>
        <v>871.08335999999986</v>
      </c>
      <c r="Q1761" s="45">
        <f t="shared" si="192"/>
        <v>1202.92464</v>
      </c>
      <c r="R1761" s="45">
        <v>0</v>
      </c>
      <c r="S1761" s="45">
        <f t="shared" si="193"/>
        <v>0</v>
      </c>
      <c r="T1761" s="45">
        <f t="shared" si="194"/>
        <v>0</v>
      </c>
      <c r="U1761" s="47">
        <f t="shared" si="195"/>
        <v>1202.92464</v>
      </c>
    </row>
    <row r="1762" spans="1:21" x14ac:dyDescent="0.3">
      <c r="A1762" s="41" t="str">
        <f t="shared" si="189"/>
        <v>PBANAC</v>
      </c>
      <c r="B1762" s="43">
        <v>45856</v>
      </c>
      <c r="C1762" s="10" t="s">
        <v>1804</v>
      </c>
      <c r="D1762" s="10" t="s">
        <v>21</v>
      </c>
      <c r="E1762" s="10" t="s">
        <v>15</v>
      </c>
      <c r="F1762" s="10" t="s">
        <v>4</v>
      </c>
      <c r="G1762" s="10" t="s">
        <v>7</v>
      </c>
      <c r="H1762" s="10" t="s">
        <v>32</v>
      </c>
      <c r="I1762" s="45">
        <v>481</v>
      </c>
      <c r="J1762" s="11">
        <v>0</v>
      </c>
      <c r="K1762" s="45">
        <f t="shared" si="190"/>
        <v>481</v>
      </c>
      <c r="L1762" s="10">
        <v>37</v>
      </c>
      <c r="M1762" s="10"/>
      <c r="N1762" s="10" t="b">
        <v>0</v>
      </c>
      <c r="O1762" s="41"/>
      <c r="P1762" s="45">
        <f t="shared" si="191"/>
        <v>202.01999999999998</v>
      </c>
      <c r="Q1762" s="45">
        <f t="shared" si="192"/>
        <v>278.98</v>
      </c>
      <c r="R1762" s="45">
        <v>0</v>
      </c>
      <c r="S1762" s="45">
        <f t="shared" si="193"/>
        <v>0</v>
      </c>
      <c r="T1762" s="45">
        <f t="shared" si="194"/>
        <v>0</v>
      </c>
      <c r="U1762" s="47">
        <f t="shared" si="195"/>
        <v>278.98</v>
      </c>
    </row>
    <row r="1763" spans="1:21" x14ac:dyDescent="0.3">
      <c r="A1763" s="41" t="str">
        <f t="shared" si="189"/>
        <v>PBANDR</v>
      </c>
      <c r="B1763" s="43">
        <v>45856</v>
      </c>
      <c r="C1763" s="10" t="s">
        <v>1805</v>
      </c>
      <c r="D1763" s="10" t="s">
        <v>21</v>
      </c>
      <c r="E1763" s="10" t="s">
        <v>30</v>
      </c>
      <c r="F1763" s="10" t="s">
        <v>4</v>
      </c>
      <c r="G1763" s="10" t="s">
        <v>46</v>
      </c>
      <c r="H1763" s="10" t="s">
        <v>58</v>
      </c>
      <c r="I1763" s="45">
        <v>1891</v>
      </c>
      <c r="J1763" s="11">
        <v>0.23100000000000001</v>
      </c>
      <c r="K1763" s="45">
        <f t="shared" si="190"/>
        <v>1454.1790000000001</v>
      </c>
      <c r="L1763" s="10">
        <v>30</v>
      </c>
      <c r="M1763" s="10">
        <v>4.8</v>
      </c>
      <c r="N1763" s="10" t="b">
        <v>0</v>
      </c>
      <c r="O1763" s="41"/>
      <c r="P1763" s="45">
        <f t="shared" si="191"/>
        <v>610.75518</v>
      </c>
      <c r="Q1763" s="45">
        <f t="shared" si="192"/>
        <v>843.42382000000009</v>
      </c>
      <c r="R1763" s="45">
        <v>0</v>
      </c>
      <c r="S1763" s="45">
        <f t="shared" si="193"/>
        <v>0</v>
      </c>
      <c r="T1763" s="45">
        <f t="shared" si="194"/>
        <v>0</v>
      </c>
      <c r="U1763" s="47">
        <f t="shared" si="195"/>
        <v>843.42382000000009</v>
      </c>
    </row>
    <row r="1764" spans="1:21" x14ac:dyDescent="0.3">
      <c r="A1764" s="41" t="str">
        <f t="shared" si="189"/>
        <v>PH&amp;MSH</v>
      </c>
      <c r="B1764" s="43">
        <v>45856</v>
      </c>
      <c r="C1764" s="10" t="s">
        <v>1806</v>
      </c>
      <c r="D1764" s="10" t="s">
        <v>37</v>
      </c>
      <c r="E1764" s="10" t="s">
        <v>18</v>
      </c>
      <c r="F1764" s="10" t="s">
        <v>11</v>
      </c>
      <c r="G1764" s="10" t="s">
        <v>49</v>
      </c>
      <c r="H1764" s="10" t="s">
        <v>32</v>
      </c>
      <c r="I1764" s="45">
        <v>3370</v>
      </c>
      <c r="J1764" s="11">
        <v>0.57100000000000006</v>
      </c>
      <c r="K1764" s="45">
        <f t="shared" si="190"/>
        <v>1445.7299999999998</v>
      </c>
      <c r="L1764" s="10">
        <v>10</v>
      </c>
      <c r="M1764" s="10">
        <v>3.3</v>
      </c>
      <c r="N1764" s="10" t="b">
        <v>0</v>
      </c>
      <c r="O1764" s="41"/>
      <c r="P1764" s="45">
        <f t="shared" si="191"/>
        <v>607.20659999999987</v>
      </c>
      <c r="Q1764" s="45">
        <f t="shared" si="192"/>
        <v>838.52339999999992</v>
      </c>
      <c r="R1764" s="45">
        <v>0</v>
      </c>
      <c r="S1764" s="45">
        <f t="shared" si="193"/>
        <v>0</v>
      </c>
      <c r="T1764" s="45">
        <f t="shared" si="194"/>
        <v>0</v>
      </c>
      <c r="U1764" s="47">
        <f t="shared" si="195"/>
        <v>838.52339999999992</v>
      </c>
    </row>
    <row r="1765" spans="1:21" x14ac:dyDescent="0.3">
      <c r="A1765" s="41" t="str">
        <f t="shared" si="189"/>
        <v>PUNIOU</v>
      </c>
      <c r="B1765" s="43">
        <v>45857</v>
      </c>
      <c r="C1765" s="10" t="s">
        <v>1807</v>
      </c>
      <c r="D1765" s="10" t="s">
        <v>10</v>
      </c>
      <c r="E1765" s="10" t="s">
        <v>2</v>
      </c>
      <c r="F1765" s="10" t="s">
        <v>54</v>
      </c>
      <c r="G1765" s="10" t="s">
        <v>27</v>
      </c>
      <c r="H1765" s="10" t="s">
        <v>56</v>
      </c>
      <c r="I1765" s="45">
        <v>4359</v>
      </c>
      <c r="J1765" s="11">
        <v>3.6000000000000004E-2</v>
      </c>
      <c r="K1765" s="45">
        <f t="shared" si="190"/>
        <v>4202.076</v>
      </c>
      <c r="L1765" s="10">
        <v>26</v>
      </c>
      <c r="M1765" s="10"/>
      <c r="N1765" s="10" t="b">
        <v>1</v>
      </c>
      <c r="O1765" s="41" t="s">
        <v>19</v>
      </c>
      <c r="P1765" s="45">
        <f t="shared" si="191"/>
        <v>1764.87192</v>
      </c>
      <c r="Q1765" s="45">
        <f t="shared" si="192"/>
        <v>2437.20408</v>
      </c>
      <c r="R1765" s="45">
        <v>150</v>
      </c>
      <c r="S1765" s="45">
        <f t="shared" si="193"/>
        <v>420.20760000000001</v>
      </c>
      <c r="T1765" s="45">
        <f t="shared" si="194"/>
        <v>4202.076</v>
      </c>
      <c r="U1765" s="47">
        <f t="shared" si="195"/>
        <v>-2335.0795200000002</v>
      </c>
    </row>
    <row r="1766" spans="1:21" x14ac:dyDescent="0.3">
      <c r="A1766" s="41" t="str">
        <f t="shared" si="189"/>
        <v>PMANAC</v>
      </c>
      <c r="B1766" s="43">
        <v>45857</v>
      </c>
      <c r="C1766" s="10" t="s">
        <v>1808</v>
      </c>
      <c r="D1766" s="10" t="s">
        <v>31</v>
      </c>
      <c r="E1766" s="10" t="s">
        <v>15</v>
      </c>
      <c r="F1766" s="10" t="s">
        <v>23</v>
      </c>
      <c r="G1766" s="10" t="s">
        <v>7</v>
      </c>
      <c r="H1766" s="10" t="s">
        <v>58</v>
      </c>
      <c r="I1766" s="45">
        <v>197</v>
      </c>
      <c r="J1766" s="11">
        <v>0</v>
      </c>
      <c r="K1766" s="45">
        <f t="shared" si="190"/>
        <v>197</v>
      </c>
      <c r="L1766" s="10">
        <v>42</v>
      </c>
      <c r="M1766" s="10"/>
      <c r="N1766" s="10" t="b">
        <v>1</v>
      </c>
      <c r="O1766" s="41" t="s">
        <v>309</v>
      </c>
      <c r="P1766" s="45">
        <f t="shared" si="191"/>
        <v>82.74</v>
      </c>
      <c r="Q1766" s="45">
        <f t="shared" si="192"/>
        <v>114.26</v>
      </c>
      <c r="R1766" s="45">
        <v>150</v>
      </c>
      <c r="S1766" s="45">
        <f t="shared" si="193"/>
        <v>19.700000000000003</v>
      </c>
      <c r="T1766" s="45">
        <f t="shared" si="194"/>
        <v>197</v>
      </c>
      <c r="U1766" s="47">
        <f t="shared" si="195"/>
        <v>-252.44</v>
      </c>
    </row>
    <row r="1767" spans="1:21" x14ac:dyDescent="0.3">
      <c r="A1767" s="41" t="str">
        <f t="shared" si="189"/>
        <v>PFORBO</v>
      </c>
      <c r="B1767" s="43">
        <v>45857</v>
      </c>
      <c r="C1767" s="10" t="s">
        <v>1809</v>
      </c>
      <c r="D1767" s="10" t="s">
        <v>65</v>
      </c>
      <c r="E1767" s="10" t="s">
        <v>26</v>
      </c>
      <c r="F1767" s="10" t="s">
        <v>23</v>
      </c>
      <c r="G1767" s="10" t="s">
        <v>38</v>
      </c>
      <c r="H1767" s="10" t="s">
        <v>7</v>
      </c>
      <c r="I1767" s="45">
        <v>2056</v>
      </c>
      <c r="J1767" s="11">
        <v>0</v>
      </c>
      <c r="K1767" s="45">
        <f t="shared" si="190"/>
        <v>2056</v>
      </c>
      <c r="L1767" s="10">
        <v>30</v>
      </c>
      <c r="M1767" s="10">
        <v>4.5999999999999996</v>
      </c>
      <c r="N1767" s="10" t="b">
        <v>1</v>
      </c>
      <c r="O1767" s="41" t="s">
        <v>33</v>
      </c>
      <c r="P1767" s="45">
        <f t="shared" si="191"/>
        <v>863.52</v>
      </c>
      <c r="Q1767" s="45">
        <f t="shared" si="192"/>
        <v>1192.48</v>
      </c>
      <c r="R1767" s="45">
        <v>150</v>
      </c>
      <c r="S1767" s="45">
        <f t="shared" si="193"/>
        <v>205.60000000000002</v>
      </c>
      <c r="T1767" s="45">
        <f t="shared" si="194"/>
        <v>2056</v>
      </c>
      <c r="U1767" s="47">
        <f t="shared" si="195"/>
        <v>-1219.1199999999999</v>
      </c>
    </row>
    <row r="1768" spans="1:21" x14ac:dyDescent="0.3">
      <c r="A1768" s="41" t="str">
        <f t="shared" si="189"/>
        <v>PZAROU</v>
      </c>
      <c r="B1768" s="43">
        <v>45857</v>
      </c>
      <c r="C1768" s="10" t="s">
        <v>1810</v>
      </c>
      <c r="D1768" s="10" t="s">
        <v>3</v>
      </c>
      <c r="E1768" s="10" t="s">
        <v>2</v>
      </c>
      <c r="F1768" s="10" t="s">
        <v>54</v>
      </c>
      <c r="G1768" s="10" t="s">
        <v>27</v>
      </c>
      <c r="H1768" s="10" t="s">
        <v>28</v>
      </c>
      <c r="I1768" s="45">
        <v>3822</v>
      </c>
      <c r="J1768" s="11">
        <v>0</v>
      </c>
      <c r="K1768" s="45">
        <f t="shared" si="190"/>
        <v>3822</v>
      </c>
      <c r="L1768" s="10">
        <v>34</v>
      </c>
      <c r="M1768" s="10"/>
      <c r="N1768" s="10" t="b">
        <v>1</v>
      </c>
      <c r="O1768" s="41" t="s">
        <v>44</v>
      </c>
      <c r="P1768" s="45">
        <f t="shared" si="191"/>
        <v>1605.24</v>
      </c>
      <c r="Q1768" s="45">
        <f t="shared" si="192"/>
        <v>2216.7600000000002</v>
      </c>
      <c r="R1768" s="45">
        <v>150</v>
      </c>
      <c r="S1768" s="45">
        <f t="shared" si="193"/>
        <v>382.20000000000005</v>
      </c>
      <c r="T1768" s="45">
        <f t="shared" si="194"/>
        <v>3822</v>
      </c>
      <c r="U1768" s="47">
        <f t="shared" si="195"/>
        <v>-2137.4399999999996</v>
      </c>
    </row>
    <row r="1769" spans="1:21" x14ac:dyDescent="0.3">
      <c r="A1769" s="41" t="str">
        <f t="shared" si="189"/>
        <v>PH&amp;MDR</v>
      </c>
      <c r="B1769" s="43">
        <v>45858</v>
      </c>
      <c r="C1769" s="10" t="s">
        <v>1811</v>
      </c>
      <c r="D1769" s="10" t="s">
        <v>37</v>
      </c>
      <c r="E1769" s="10" t="s">
        <v>30</v>
      </c>
      <c r="F1769" s="10" t="s">
        <v>23</v>
      </c>
      <c r="G1769" s="10" t="s">
        <v>12</v>
      </c>
      <c r="H1769" s="10" t="s">
        <v>32</v>
      </c>
      <c r="I1769" s="45">
        <v>2112</v>
      </c>
      <c r="J1769" s="11">
        <v>0</v>
      </c>
      <c r="K1769" s="45">
        <f t="shared" si="190"/>
        <v>2112</v>
      </c>
      <c r="L1769" s="10">
        <v>14</v>
      </c>
      <c r="M1769" s="10"/>
      <c r="N1769" s="10" t="b">
        <v>0</v>
      </c>
      <c r="O1769" s="41"/>
      <c r="P1769" s="45">
        <f t="shared" si="191"/>
        <v>887.04</v>
      </c>
      <c r="Q1769" s="45">
        <f t="shared" si="192"/>
        <v>1224.96</v>
      </c>
      <c r="R1769" s="45">
        <v>0</v>
      </c>
      <c r="S1769" s="45">
        <f t="shared" si="193"/>
        <v>0</v>
      </c>
      <c r="T1769" s="45">
        <f t="shared" si="194"/>
        <v>0</v>
      </c>
      <c r="U1769" s="47">
        <f t="shared" si="195"/>
        <v>1224.96</v>
      </c>
    </row>
    <row r="1770" spans="1:21" x14ac:dyDescent="0.3">
      <c r="A1770" s="41" t="str">
        <f t="shared" si="189"/>
        <v>PFORBO</v>
      </c>
      <c r="B1770" s="43">
        <v>45858</v>
      </c>
      <c r="C1770" s="10" t="s">
        <v>1812</v>
      </c>
      <c r="D1770" s="10" t="s">
        <v>65</v>
      </c>
      <c r="E1770" s="10" t="s">
        <v>26</v>
      </c>
      <c r="F1770" s="10" t="s">
        <v>23</v>
      </c>
      <c r="G1770" s="10" t="s">
        <v>46</v>
      </c>
      <c r="H1770" s="10" t="s">
        <v>13</v>
      </c>
      <c r="I1770" s="45">
        <v>2373</v>
      </c>
      <c r="J1770" s="11">
        <v>0.29600000000000004</v>
      </c>
      <c r="K1770" s="45">
        <f t="shared" si="190"/>
        <v>1670.5919999999999</v>
      </c>
      <c r="L1770" s="10">
        <v>25</v>
      </c>
      <c r="M1770" s="10">
        <v>4.8</v>
      </c>
      <c r="N1770" s="10" t="b">
        <v>0</v>
      </c>
      <c r="O1770" s="41"/>
      <c r="P1770" s="45">
        <f t="shared" si="191"/>
        <v>701.64863999999989</v>
      </c>
      <c r="Q1770" s="45">
        <f t="shared" si="192"/>
        <v>968.94335999999998</v>
      </c>
      <c r="R1770" s="45">
        <v>0</v>
      </c>
      <c r="S1770" s="45">
        <f t="shared" si="193"/>
        <v>0</v>
      </c>
      <c r="T1770" s="45">
        <f t="shared" si="194"/>
        <v>0</v>
      </c>
      <c r="U1770" s="47">
        <f t="shared" si="195"/>
        <v>968.94335999999998</v>
      </c>
    </row>
    <row r="1771" spans="1:21" x14ac:dyDescent="0.3">
      <c r="A1771" s="41" t="str">
        <f t="shared" si="189"/>
        <v>PH&amp;MDR</v>
      </c>
      <c r="B1771" s="43">
        <v>45858</v>
      </c>
      <c r="C1771" s="10" t="s">
        <v>1813</v>
      </c>
      <c r="D1771" s="10" t="s">
        <v>37</v>
      </c>
      <c r="E1771" s="10" t="s">
        <v>30</v>
      </c>
      <c r="F1771" s="10" t="s">
        <v>23</v>
      </c>
      <c r="G1771" s="10" t="s">
        <v>49</v>
      </c>
      <c r="H1771" s="10" t="s">
        <v>13</v>
      </c>
      <c r="I1771" s="45">
        <v>2915</v>
      </c>
      <c r="J1771" s="11">
        <v>0</v>
      </c>
      <c r="K1771" s="45">
        <f t="shared" si="190"/>
        <v>2915</v>
      </c>
      <c r="L1771" s="10">
        <v>9</v>
      </c>
      <c r="M1771" s="10">
        <v>3.9</v>
      </c>
      <c r="N1771" s="10" t="b">
        <v>0</v>
      </c>
      <c r="O1771" s="41"/>
      <c r="P1771" s="45">
        <f t="shared" si="191"/>
        <v>1224.3</v>
      </c>
      <c r="Q1771" s="45">
        <f t="shared" si="192"/>
        <v>1690.7</v>
      </c>
      <c r="R1771" s="45">
        <v>0</v>
      </c>
      <c r="S1771" s="45">
        <f t="shared" si="193"/>
        <v>0</v>
      </c>
      <c r="T1771" s="45">
        <f t="shared" si="194"/>
        <v>0</v>
      </c>
      <c r="U1771" s="47">
        <f t="shared" si="195"/>
        <v>1690.7</v>
      </c>
    </row>
    <row r="1772" spans="1:21" x14ac:dyDescent="0.3">
      <c r="A1772" s="41" t="str">
        <f t="shared" si="189"/>
        <v>PH&amp;MAC</v>
      </c>
      <c r="B1772" s="43">
        <v>45859</v>
      </c>
      <c r="C1772" s="10" t="s">
        <v>1814</v>
      </c>
      <c r="D1772" s="10" t="s">
        <v>37</v>
      </c>
      <c r="E1772" s="10" t="s">
        <v>15</v>
      </c>
      <c r="F1772" s="10" t="s">
        <v>54</v>
      </c>
      <c r="G1772" s="10" t="s">
        <v>7</v>
      </c>
      <c r="H1772" s="10" t="s">
        <v>13</v>
      </c>
      <c r="I1772" s="45">
        <v>404</v>
      </c>
      <c r="J1772" s="11">
        <v>0.39399999999999996</v>
      </c>
      <c r="K1772" s="45">
        <f t="shared" si="190"/>
        <v>244.82400000000004</v>
      </c>
      <c r="L1772" s="10">
        <v>0</v>
      </c>
      <c r="M1772" s="10">
        <v>1.4</v>
      </c>
      <c r="N1772" s="10" t="b">
        <v>0</v>
      </c>
      <c r="O1772" s="41"/>
      <c r="P1772" s="45">
        <f t="shared" si="191"/>
        <v>102.82608000000002</v>
      </c>
      <c r="Q1772" s="45">
        <f t="shared" si="192"/>
        <v>141.99792000000002</v>
      </c>
      <c r="R1772" s="45">
        <v>0</v>
      </c>
      <c r="S1772" s="45">
        <f t="shared" si="193"/>
        <v>0</v>
      </c>
      <c r="T1772" s="45">
        <f t="shared" si="194"/>
        <v>0</v>
      </c>
      <c r="U1772" s="47">
        <f t="shared" si="195"/>
        <v>141.99792000000002</v>
      </c>
    </row>
    <row r="1773" spans="1:21" x14ac:dyDescent="0.3">
      <c r="A1773" s="41" t="str">
        <f t="shared" si="189"/>
        <v>PUNIAC</v>
      </c>
      <c r="B1773" s="43">
        <v>45859</v>
      </c>
      <c r="C1773" s="10" t="s">
        <v>1815</v>
      </c>
      <c r="D1773" s="10" t="s">
        <v>10</v>
      </c>
      <c r="E1773" s="10" t="s">
        <v>15</v>
      </c>
      <c r="F1773" s="10" t="s">
        <v>4</v>
      </c>
      <c r="G1773" s="10" t="s">
        <v>7</v>
      </c>
      <c r="H1773" s="10" t="s">
        <v>35</v>
      </c>
      <c r="I1773" s="45">
        <v>230</v>
      </c>
      <c r="J1773" s="11">
        <v>0</v>
      </c>
      <c r="K1773" s="45">
        <f t="shared" si="190"/>
        <v>230</v>
      </c>
      <c r="L1773" s="10">
        <v>1</v>
      </c>
      <c r="M1773" s="10">
        <v>1.3</v>
      </c>
      <c r="N1773" s="10" t="b">
        <v>0</v>
      </c>
      <c r="O1773" s="41"/>
      <c r="P1773" s="45">
        <f t="shared" si="191"/>
        <v>96.6</v>
      </c>
      <c r="Q1773" s="45">
        <f t="shared" si="192"/>
        <v>133.4</v>
      </c>
      <c r="R1773" s="45">
        <v>0</v>
      </c>
      <c r="S1773" s="45">
        <f t="shared" si="193"/>
        <v>0</v>
      </c>
      <c r="T1773" s="45">
        <f t="shared" si="194"/>
        <v>0</v>
      </c>
      <c r="U1773" s="47">
        <f t="shared" si="195"/>
        <v>133.4</v>
      </c>
    </row>
    <row r="1774" spans="1:21" x14ac:dyDescent="0.3">
      <c r="A1774" s="41" t="str">
        <f t="shared" si="189"/>
        <v>PUNIAC</v>
      </c>
      <c r="B1774" s="43">
        <v>45859</v>
      </c>
      <c r="C1774" s="10" t="s">
        <v>1816</v>
      </c>
      <c r="D1774" s="10" t="s">
        <v>10</v>
      </c>
      <c r="E1774" s="10" t="s">
        <v>15</v>
      </c>
      <c r="F1774" s="10" t="s">
        <v>23</v>
      </c>
      <c r="G1774" s="10" t="s">
        <v>7</v>
      </c>
      <c r="H1774" s="10" t="s">
        <v>56</v>
      </c>
      <c r="I1774" s="45">
        <v>183</v>
      </c>
      <c r="J1774" s="11">
        <v>0.40799999999999997</v>
      </c>
      <c r="K1774" s="45">
        <f t="shared" si="190"/>
        <v>108.33600000000001</v>
      </c>
      <c r="L1774" s="10">
        <v>25</v>
      </c>
      <c r="M1774" s="10">
        <v>2.6</v>
      </c>
      <c r="N1774" s="10" t="b">
        <v>1</v>
      </c>
      <c r="O1774" s="41" t="s">
        <v>44</v>
      </c>
      <c r="P1774" s="45">
        <f t="shared" si="191"/>
        <v>45.50112</v>
      </c>
      <c r="Q1774" s="45">
        <f t="shared" si="192"/>
        <v>62.834880000000013</v>
      </c>
      <c r="R1774" s="45">
        <v>150</v>
      </c>
      <c r="S1774" s="45">
        <f t="shared" si="193"/>
        <v>10.833600000000002</v>
      </c>
      <c r="T1774" s="45">
        <f t="shared" si="194"/>
        <v>108.33600000000001</v>
      </c>
      <c r="U1774" s="47">
        <f t="shared" si="195"/>
        <v>-206.33472</v>
      </c>
    </row>
    <row r="1775" spans="1:21" x14ac:dyDescent="0.3">
      <c r="A1775" s="41" t="str">
        <f t="shared" si="189"/>
        <v>PUNITO</v>
      </c>
      <c r="B1775" s="43">
        <v>45859</v>
      </c>
      <c r="C1775" s="10" t="s">
        <v>1817</v>
      </c>
      <c r="D1775" s="10" t="s">
        <v>10</v>
      </c>
      <c r="E1775" s="10" t="s">
        <v>9</v>
      </c>
      <c r="F1775" s="10" t="s">
        <v>11</v>
      </c>
      <c r="G1775" s="10" t="s">
        <v>5</v>
      </c>
      <c r="H1775" s="10" t="s">
        <v>56</v>
      </c>
      <c r="I1775" s="45">
        <v>1288</v>
      </c>
      <c r="J1775" s="11">
        <v>0</v>
      </c>
      <c r="K1775" s="45">
        <f t="shared" si="190"/>
        <v>1288</v>
      </c>
      <c r="L1775" s="10">
        <v>6</v>
      </c>
      <c r="M1775" s="10">
        <v>2.7</v>
      </c>
      <c r="N1775" s="10" t="b">
        <v>0</v>
      </c>
      <c r="O1775" s="41"/>
      <c r="P1775" s="45">
        <f t="shared" si="191"/>
        <v>540.96</v>
      </c>
      <c r="Q1775" s="45">
        <f t="shared" si="192"/>
        <v>747.04</v>
      </c>
      <c r="R1775" s="45">
        <v>0</v>
      </c>
      <c r="S1775" s="45">
        <f t="shared" si="193"/>
        <v>0</v>
      </c>
      <c r="T1775" s="45">
        <f t="shared" si="194"/>
        <v>0</v>
      </c>
      <c r="U1775" s="47">
        <f t="shared" si="195"/>
        <v>747.04</v>
      </c>
    </row>
    <row r="1776" spans="1:21" x14ac:dyDescent="0.3">
      <c r="A1776" s="41" t="str">
        <f t="shared" si="189"/>
        <v>PUNIOU</v>
      </c>
      <c r="B1776" s="43">
        <v>45860</v>
      </c>
      <c r="C1776" s="10" t="s">
        <v>1818</v>
      </c>
      <c r="D1776" s="10" t="s">
        <v>10</v>
      </c>
      <c r="E1776" s="10" t="s">
        <v>2</v>
      </c>
      <c r="F1776" s="10" t="s">
        <v>4</v>
      </c>
      <c r="G1776" s="10" t="s">
        <v>46</v>
      </c>
      <c r="H1776" s="10" t="s">
        <v>13</v>
      </c>
      <c r="I1776" s="45">
        <v>4241</v>
      </c>
      <c r="J1776" s="11">
        <v>4.2000000000000003E-2</v>
      </c>
      <c r="K1776" s="45">
        <f t="shared" si="190"/>
        <v>4062.8779999999997</v>
      </c>
      <c r="L1776" s="10">
        <v>34</v>
      </c>
      <c r="M1776" s="10">
        <v>3.5</v>
      </c>
      <c r="N1776" s="10" t="b">
        <v>0</v>
      </c>
      <c r="O1776" s="41"/>
      <c r="P1776" s="45">
        <f t="shared" si="191"/>
        <v>1706.4087599999998</v>
      </c>
      <c r="Q1776" s="45">
        <f t="shared" si="192"/>
        <v>2356.4692399999999</v>
      </c>
      <c r="R1776" s="45">
        <v>0</v>
      </c>
      <c r="S1776" s="45">
        <f t="shared" si="193"/>
        <v>0</v>
      </c>
      <c r="T1776" s="45">
        <f t="shared" si="194"/>
        <v>0</v>
      </c>
      <c r="U1776" s="47">
        <f t="shared" si="195"/>
        <v>2356.4692399999999</v>
      </c>
    </row>
    <row r="1777" spans="1:21" x14ac:dyDescent="0.3">
      <c r="A1777" s="41" t="str">
        <f t="shared" si="189"/>
        <v>PANNOU</v>
      </c>
      <c r="B1777" s="43">
        <v>45860</v>
      </c>
      <c r="C1777" s="10" t="s">
        <v>1819</v>
      </c>
      <c r="D1777" s="10" t="s">
        <v>42</v>
      </c>
      <c r="E1777" s="10" t="s">
        <v>2</v>
      </c>
      <c r="F1777" s="10" t="s">
        <v>23</v>
      </c>
      <c r="G1777" s="10" t="s">
        <v>49</v>
      </c>
      <c r="H1777" s="10" t="s">
        <v>32</v>
      </c>
      <c r="I1777" s="45">
        <v>4401</v>
      </c>
      <c r="J1777" s="11">
        <v>0</v>
      </c>
      <c r="K1777" s="45">
        <f t="shared" si="190"/>
        <v>4401</v>
      </c>
      <c r="L1777" s="10">
        <v>45</v>
      </c>
      <c r="M1777" s="10"/>
      <c r="N1777" s="10" t="b">
        <v>1</v>
      </c>
      <c r="O1777" s="41" t="s">
        <v>80</v>
      </c>
      <c r="P1777" s="45">
        <f t="shared" si="191"/>
        <v>1848.4199999999998</v>
      </c>
      <c r="Q1777" s="45">
        <f t="shared" si="192"/>
        <v>2552.58</v>
      </c>
      <c r="R1777" s="45">
        <v>150</v>
      </c>
      <c r="S1777" s="45">
        <f t="shared" si="193"/>
        <v>440.1</v>
      </c>
      <c r="T1777" s="45">
        <f t="shared" si="194"/>
        <v>4401</v>
      </c>
      <c r="U1777" s="47">
        <f t="shared" si="195"/>
        <v>-2438.52</v>
      </c>
    </row>
    <row r="1778" spans="1:21" x14ac:dyDescent="0.3">
      <c r="A1778" s="41" t="str">
        <f t="shared" si="189"/>
        <v>PGAPSH</v>
      </c>
      <c r="B1778" s="43">
        <v>45860</v>
      </c>
      <c r="C1778" s="10" t="s">
        <v>1820</v>
      </c>
      <c r="D1778" s="10" t="s">
        <v>53</v>
      </c>
      <c r="E1778" s="10" t="s">
        <v>18</v>
      </c>
      <c r="F1778" s="10" t="s">
        <v>11</v>
      </c>
      <c r="G1778" s="10" t="s">
        <v>49</v>
      </c>
      <c r="H1778" s="10" t="s">
        <v>6</v>
      </c>
      <c r="I1778" s="45">
        <v>3053</v>
      </c>
      <c r="J1778" s="11">
        <v>0.32700000000000001</v>
      </c>
      <c r="K1778" s="45">
        <f t="shared" si="190"/>
        <v>2054.6690000000003</v>
      </c>
      <c r="L1778" s="10">
        <v>2</v>
      </c>
      <c r="M1778" s="10">
        <v>3.3</v>
      </c>
      <c r="N1778" s="10" t="b">
        <v>1</v>
      </c>
      <c r="O1778" s="41" t="s">
        <v>33</v>
      </c>
      <c r="P1778" s="45">
        <f t="shared" si="191"/>
        <v>862.96098000000006</v>
      </c>
      <c r="Q1778" s="45">
        <f t="shared" si="192"/>
        <v>1191.7080200000003</v>
      </c>
      <c r="R1778" s="45">
        <v>150</v>
      </c>
      <c r="S1778" s="45">
        <f t="shared" si="193"/>
        <v>205.46690000000004</v>
      </c>
      <c r="T1778" s="45">
        <f t="shared" si="194"/>
        <v>2054.6690000000003</v>
      </c>
      <c r="U1778" s="47">
        <f t="shared" si="195"/>
        <v>-1218.4278800000002</v>
      </c>
    </row>
    <row r="1779" spans="1:21" x14ac:dyDescent="0.3">
      <c r="A1779" s="41" t="str">
        <f t="shared" si="189"/>
        <v>PH&amp;MAC</v>
      </c>
      <c r="B1779" s="43">
        <v>45860</v>
      </c>
      <c r="C1779" s="10" t="s">
        <v>1821</v>
      </c>
      <c r="D1779" s="10" t="s">
        <v>37</v>
      </c>
      <c r="E1779" s="10" t="s">
        <v>15</v>
      </c>
      <c r="F1779" s="10" t="s">
        <v>23</v>
      </c>
      <c r="G1779" s="10" t="s">
        <v>7</v>
      </c>
      <c r="H1779" s="10" t="s">
        <v>58</v>
      </c>
      <c r="I1779" s="45">
        <v>490</v>
      </c>
      <c r="J1779" s="11">
        <v>0.18</v>
      </c>
      <c r="K1779" s="45">
        <f t="shared" si="190"/>
        <v>401.8</v>
      </c>
      <c r="L1779" s="10">
        <v>7</v>
      </c>
      <c r="M1779" s="10">
        <v>2.5</v>
      </c>
      <c r="N1779" s="10" t="b">
        <v>1</v>
      </c>
      <c r="O1779" s="41" t="s">
        <v>44</v>
      </c>
      <c r="P1779" s="45">
        <f t="shared" si="191"/>
        <v>168.756</v>
      </c>
      <c r="Q1779" s="45">
        <f t="shared" si="192"/>
        <v>233.04400000000001</v>
      </c>
      <c r="R1779" s="45">
        <v>150</v>
      </c>
      <c r="S1779" s="45">
        <f t="shared" si="193"/>
        <v>40.180000000000007</v>
      </c>
      <c r="T1779" s="45">
        <f t="shared" si="194"/>
        <v>401.8</v>
      </c>
      <c r="U1779" s="47">
        <f t="shared" si="195"/>
        <v>-358.93600000000004</v>
      </c>
    </row>
    <row r="1780" spans="1:21" x14ac:dyDescent="0.3">
      <c r="A1780" s="41" t="str">
        <f t="shared" si="189"/>
        <v>PFORDR</v>
      </c>
      <c r="B1780" s="43">
        <v>45861</v>
      </c>
      <c r="C1780" s="10" t="s">
        <v>1822</v>
      </c>
      <c r="D1780" s="10" t="s">
        <v>65</v>
      </c>
      <c r="E1780" s="10" t="s">
        <v>30</v>
      </c>
      <c r="F1780" s="10" t="s">
        <v>54</v>
      </c>
      <c r="G1780" s="10" t="s">
        <v>5</v>
      </c>
      <c r="H1780" s="10" t="s">
        <v>88</v>
      </c>
      <c r="I1780" s="45">
        <v>2312</v>
      </c>
      <c r="J1780" s="11">
        <v>0</v>
      </c>
      <c r="K1780" s="45">
        <f t="shared" si="190"/>
        <v>2312</v>
      </c>
      <c r="L1780" s="10">
        <v>9</v>
      </c>
      <c r="M1780" s="10"/>
      <c r="N1780" s="10" t="b">
        <v>0</v>
      </c>
      <c r="O1780" s="41"/>
      <c r="P1780" s="45">
        <f t="shared" si="191"/>
        <v>971.04</v>
      </c>
      <c r="Q1780" s="45">
        <f t="shared" si="192"/>
        <v>1340.96</v>
      </c>
      <c r="R1780" s="45">
        <v>0</v>
      </c>
      <c r="S1780" s="45">
        <f t="shared" si="193"/>
        <v>0</v>
      </c>
      <c r="T1780" s="45">
        <f t="shared" si="194"/>
        <v>0</v>
      </c>
      <c r="U1780" s="47">
        <f t="shared" si="195"/>
        <v>1340.96</v>
      </c>
    </row>
    <row r="1781" spans="1:21" x14ac:dyDescent="0.3">
      <c r="A1781" s="41" t="str">
        <f t="shared" si="189"/>
        <v>PBANDR</v>
      </c>
      <c r="B1781" s="43">
        <v>45861</v>
      </c>
      <c r="C1781" s="10" t="s">
        <v>1823</v>
      </c>
      <c r="D1781" s="10" t="s">
        <v>21</v>
      </c>
      <c r="E1781" s="10" t="s">
        <v>30</v>
      </c>
      <c r="F1781" s="10" t="s">
        <v>54</v>
      </c>
      <c r="G1781" s="10" t="s">
        <v>49</v>
      </c>
      <c r="H1781" s="10" t="s">
        <v>6</v>
      </c>
      <c r="I1781" s="45">
        <v>2799</v>
      </c>
      <c r="J1781" s="11">
        <v>0</v>
      </c>
      <c r="K1781" s="45">
        <f t="shared" si="190"/>
        <v>2799</v>
      </c>
      <c r="L1781" s="10">
        <v>40</v>
      </c>
      <c r="M1781" s="10">
        <v>3.2</v>
      </c>
      <c r="N1781" s="10" t="b">
        <v>0</v>
      </c>
      <c r="O1781" s="41"/>
      <c r="P1781" s="45">
        <f t="shared" si="191"/>
        <v>1175.58</v>
      </c>
      <c r="Q1781" s="45">
        <f t="shared" si="192"/>
        <v>1623.42</v>
      </c>
      <c r="R1781" s="45">
        <v>0</v>
      </c>
      <c r="S1781" s="45">
        <f t="shared" si="193"/>
        <v>0</v>
      </c>
      <c r="T1781" s="45">
        <f t="shared" si="194"/>
        <v>0</v>
      </c>
      <c r="U1781" s="47">
        <f t="shared" si="195"/>
        <v>1623.42</v>
      </c>
    </row>
    <row r="1782" spans="1:21" x14ac:dyDescent="0.3">
      <c r="A1782" s="41" t="str">
        <f t="shared" si="189"/>
        <v>PANNDR</v>
      </c>
      <c r="B1782" s="43">
        <v>45861</v>
      </c>
      <c r="C1782" s="10" t="s">
        <v>1824</v>
      </c>
      <c r="D1782" s="10" t="s">
        <v>42</v>
      </c>
      <c r="E1782" s="10" t="s">
        <v>30</v>
      </c>
      <c r="F1782" s="10" t="s">
        <v>54</v>
      </c>
      <c r="G1782" s="10" t="s">
        <v>5</v>
      </c>
      <c r="H1782" s="10" t="s">
        <v>88</v>
      </c>
      <c r="I1782" s="45">
        <v>1833</v>
      </c>
      <c r="J1782" s="11">
        <v>0.55899999999999994</v>
      </c>
      <c r="K1782" s="45">
        <f t="shared" si="190"/>
        <v>808.35300000000007</v>
      </c>
      <c r="L1782" s="10">
        <v>31</v>
      </c>
      <c r="M1782" s="10">
        <v>4.5999999999999996</v>
      </c>
      <c r="N1782" s="10" t="b">
        <v>0</v>
      </c>
      <c r="O1782" s="41"/>
      <c r="P1782" s="45">
        <f t="shared" si="191"/>
        <v>339.50826000000001</v>
      </c>
      <c r="Q1782" s="45">
        <f t="shared" si="192"/>
        <v>468.84474000000006</v>
      </c>
      <c r="R1782" s="45">
        <v>0</v>
      </c>
      <c r="S1782" s="45">
        <f t="shared" si="193"/>
        <v>0</v>
      </c>
      <c r="T1782" s="45">
        <f t="shared" si="194"/>
        <v>0</v>
      </c>
      <c r="U1782" s="47">
        <f t="shared" si="195"/>
        <v>468.84474000000006</v>
      </c>
    </row>
    <row r="1783" spans="1:21" x14ac:dyDescent="0.3">
      <c r="A1783" s="41" t="str">
        <f t="shared" si="189"/>
        <v>PGAPSH</v>
      </c>
      <c r="B1783" s="43">
        <v>45861</v>
      </c>
      <c r="C1783" s="10" t="s">
        <v>1825</v>
      </c>
      <c r="D1783" s="10" t="s">
        <v>53</v>
      </c>
      <c r="E1783" s="10" t="s">
        <v>18</v>
      </c>
      <c r="F1783" s="10" t="s">
        <v>54</v>
      </c>
      <c r="G1783" s="10" t="s">
        <v>12</v>
      </c>
      <c r="H1783" s="10" t="s">
        <v>47</v>
      </c>
      <c r="I1783" s="45">
        <v>4419</v>
      </c>
      <c r="J1783" s="11">
        <v>0</v>
      </c>
      <c r="K1783" s="45">
        <f t="shared" si="190"/>
        <v>4419</v>
      </c>
      <c r="L1783" s="10">
        <v>7</v>
      </c>
      <c r="M1783" s="10">
        <v>4.9000000000000004</v>
      </c>
      <c r="N1783" s="10" t="b">
        <v>1</v>
      </c>
      <c r="O1783" s="41" t="s">
        <v>44</v>
      </c>
      <c r="P1783" s="45">
        <f t="shared" si="191"/>
        <v>1855.98</v>
      </c>
      <c r="Q1783" s="45">
        <f t="shared" si="192"/>
        <v>2563.02</v>
      </c>
      <c r="R1783" s="45">
        <v>150</v>
      </c>
      <c r="S1783" s="45">
        <f t="shared" si="193"/>
        <v>441.90000000000003</v>
      </c>
      <c r="T1783" s="45">
        <f t="shared" si="194"/>
        <v>4419</v>
      </c>
      <c r="U1783" s="47">
        <f t="shared" si="195"/>
        <v>-2447.88</v>
      </c>
    </row>
    <row r="1784" spans="1:21" x14ac:dyDescent="0.3">
      <c r="A1784" s="41" t="str">
        <f t="shared" si="189"/>
        <v>PGAPAC</v>
      </c>
      <c r="B1784" s="43">
        <v>45862</v>
      </c>
      <c r="C1784" s="10" t="s">
        <v>1826</v>
      </c>
      <c r="D1784" s="10" t="s">
        <v>53</v>
      </c>
      <c r="E1784" s="10" t="s">
        <v>15</v>
      </c>
      <c r="F1784" s="10" t="s">
        <v>4</v>
      </c>
      <c r="G1784" s="10" t="s">
        <v>7</v>
      </c>
      <c r="H1784" s="10" t="s">
        <v>58</v>
      </c>
      <c r="I1784" s="45">
        <v>250</v>
      </c>
      <c r="J1784" s="11">
        <v>0</v>
      </c>
      <c r="K1784" s="45">
        <f t="shared" si="190"/>
        <v>250</v>
      </c>
      <c r="L1784" s="10">
        <v>30</v>
      </c>
      <c r="M1784" s="10">
        <v>3.4</v>
      </c>
      <c r="N1784" s="10" t="b">
        <v>0</v>
      </c>
      <c r="O1784" s="41"/>
      <c r="P1784" s="45">
        <f t="shared" si="191"/>
        <v>105</v>
      </c>
      <c r="Q1784" s="45">
        <f t="shared" si="192"/>
        <v>145</v>
      </c>
      <c r="R1784" s="45">
        <v>0</v>
      </c>
      <c r="S1784" s="45">
        <f t="shared" si="193"/>
        <v>0</v>
      </c>
      <c r="T1784" s="45">
        <f t="shared" si="194"/>
        <v>0</v>
      </c>
      <c r="U1784" s="47">
        <f t="shared" si="195"/>
        <v>145</v>
      </c>
    </row>
    <row r="1785" spans="1:21" x14ac:dyDescent="0.3">
      <c r="A1785" s="41" t="str">
        <f t="shared" si="189"/>
        <v>PFOROU</v>
      </c>
      <c r="B1785" s="43">
        <v>45862</v>
      </c>
      <c r="C1785" s="10" t="s">
        <v>1827</v>
      </c>
      <c r="D1785" s="10" t="s">
        <v>65</v>
      </c>
      <c r="E1785" s="10" t="s">
        <v>2</v>
      </c>
      <c r="F1785" s="10" t="s">
        <v>11</v>
      </c>
      <c r="G1785" s="10" t="s">
        <v>5</v>
      </c>
      <c r="H1785" s="10" t="s">
        <v>13</v>
      </c>
      <c r="I1785" s="45">
        <v>3197</v>
      </c>
      <c r="J1785" s="11">
        <v>0</v>
      </c>
      <c r="K1785" s="45">
        <f t="shared" si="190"/>
        <v>3197</v>
      </c>
      <c r="L1785" s="10">
        <v>27</v>
      </c>
      <c r="M1785" s="10">
        <v>2.1</v>
      </c>
      <c r="N1785" s="10" t="b">
        <v>0</v>
      </c>
      <c r="O1785" s="41"/>
      <c r="P1785" s="45">
        <f t="shared" si="191"/>
        <v>1342.74</v>
      </c>
      <c r="Q1785" s="45">
        <f t="shared" si="192"/>
        <v>1854.26</v>
      </c>
      <c r="R1785" s="45">
        <v>0</v>
      </c>
      <c r="S1785" s="45">
        <f t="shared" si="193"/>
        <v>0</v>
      </c>
      <c r="T1785" s="45">
        <f t="shared" si="194"/>
        <v>0</v>
      </c>
      <c r="U1785" s="47">
        <f t="shared" si="195"/>
        <v>1854.26</v>
      </c>
    </row>
    <row r="1786" spans="1:21" x14ac:dyDescent="0.3">
      <c r="A1786" s="41" t="str">
        <f t="shared" si="189"/>
        <v>PH&amp;MOU</v>
      </c>
      <c r="B1786" s="43">
        <v>45862</v>
      </c>
      <c r="C1786" s="10" t="s">
        <v>1828</v>
      </c>
      <c r="D1786" s="10" t="s">
        <v>37</v>
      </c>
      <c r="E1786" s="10" t="s">
        <v>2</v>
      </c>
      <c r="F1786" s="10" t="s">
        <v>54</v>
      </c>
      <c r="G1786" s="10" t="s">
        <v>12</v>
      </c>
      <c r="H1786" s="10" t="s">
        <v>88</v>
      </c>
      <c r="I1786" s="45">
        <v>3094</v>
      </c>
      <c r="J1786" s="11">
        <v>0</v>
      </c>
      <c r="K1786" s="45">
        <f t="shared" si="190"/>
        <v>3094</v>
      </c>
      <c r="L1786" s="10">
        <v>28</v>
      </c>
      <c r="M1786" s="10">
        <v>1.2</v>
      </c>
      <c r="N1786" s="10" t="b">
        <v>0</v>
      </c>
      <c r="O1786" s="41"/>
      <c r="P1786" s="45">
        <f t="shared" si="191"/>
        <v>1299.48</v>
      </c>
      <c r="Q1786" s="45">
        <f t="shared" si="192"/>
        <v>1794.52</v>
      </c>
      <c r="R1786" s="45">
        <v>0</v>
      </c>
      <c r="S1786" s="45">
        <f t="shared" si="193"/>
        <v>0</v>
      </c>
      <c r="T1786" s="45">
        <f t="shared" si="194"/>
        <v>0</v>
      </c>
      <c r="U1786" s="47">
        <f t="shared" si="195"/>
        <v>1794.52</v>
      </c>
    </row>
    <row r="1787" spans="1:21" x14ac:dyDescent="0.3">
      <c r="A1787" s="41" t="str">
        <f t="shared" si="189"/>
        <v>PZARAC</v>
      </c>
      <c r="B1787" s="43">
        <v>45862</v>
      </c>
      <c r="C1787" s="10" t="s">
        <v>1829</v>
      </c>
      <c r="D1787" s="10" t="s">
        <v>3</v>
      </c>
      <c r="E1787" s="10" t="s">
        <v>15</v>
      </c>
      <c r="F1787" s="10" t="s">
        <v>23</v>
      </c>
      <c r="G1787" s="10" t="s">
        <v>7</v>
      </c>
      <c r="H1787" s="10" t="s">
        <v>16</v>
      </c>
      <c r="I1787" s="45">
        <v>170</v>
      </c>
      <c r="J1787" s="11">
        <v>0</v>
      </c>
      <c r="K1787" s="45">
        <f t="shared" si="190"/>
        <v>170</v>
      </c>
      <c r="L1787" s="10">
        <v>43</v>
      </c>
      <c r="M1787" s="10">
        <v>1.1000000000000001</v>
      </c>
      <c r="N1787" s="10" t="b">
        <v>0</v>
      </c>
      <c r="O1787" s="41"/>
      <c r="P1787" s="45">
        <f t="shared" si="191"/>
        <v>71.399999999999991</v>
      </c>
      <c r="Q1787" s="45">
        <f t="shared" si="192"/>
        <v>98.600000000000009</v>
      </c>
      <c r="R1787" s="45">
        <v>0</v>
      </c>
      <c r="S1787" s="45">
        <f t="shared" si="193"/>
        <v>0</v>
      </c>
      <c r="T1787" s="45">
        <f t="shared" si="194"/>
        <v>0</v>
      </c>
      <c r="U1787" s="47">
        <f t="shared" si="195"/>
        <v>98.600000000000009</v>
      </c>
    </row>
    <row r="1788" spans="1:21" x14ac:dyDescent="0.3">
      <c r="A1788" s="41" t="str">
        <f t="shared" si="189"/>
        <v>PBANOU</v>
      </c>
      <c r="B1788" s="43">
        <v>45863</v>
      </c>
      <c r="C1788" s="10" t="s">
        <v>1830</v>
      </c>
      <c r="D1788" s="10" t="s">
        <v>21</v>
      </c>
      <c r="E1788" s="10" t="s">
        <v>2</v>
      </c>
      <c r="F1788" s="10" t="s">
        <v>23</v>
      </c>
      <c r="G1788" s="10" t="s">
        <v>38</v>
      </c>
      <c r="H1788" s="10" t="s">
        <v>56</v>
      </c>
      <c r="I1788" s="45">
        <v>3171</v>
      </c>
      <c r="J1788" s="11">
        <v>0</v>
      </c>
      <c r="K1788" s="45">
        <f t="shared" si="190"/>
        <v>3171</v>
      </c>
      <c r="L1788" s="10">
        <v>1</v>
      </c>
      <c r="M1788" s="10">
        <v>1</v>
      </c>
      <c r="N1788" s="10" t="b">
        <v>1</v>
      </c>
      <c r="O1788" s="41" t="s">
        <v>44</v>
      </c>
      <c r="P1788" s="45">
        <f t="shared" si="191"/>
        <v>1331.82</v>
      </c>
      <c r="Q1788" s="45">
        <f t="shared" si="192"/>
        <v>1839.18</v>
      </c>
      <c r="R1788" s="45">
        <v>150</v>
      </c>
      <c r="S1788" s="45">
        <f t="shared" si="193"/>
        <v>317.10000000000002</v>
      </c>
      <c r="T1788" s="45">
        <f t="shared" si="194"/>
        <v>3171</v>
      </c>
      <c r="U1788" s="47">
        <f t="shared" si="195"/>
        <v>-1798.92</v>
      </c>
    </row>
    <row r="1789" spans="1:21" x14ac:dyDescent="0.3">
      <c r="A1789" s="41" t="str">
        <f t="shared" si="189"/>
        <v>PGAPTO</v>
      </c>
      <c r="B1789" s="43">
        <v>45863</v>
      </c>
      <c r="C1789" s="10" t="s">
        <v>1831</v>
      </c>
      <c r="D1789" s="10" t="s">
        <v>53</v>
      </c>
      <c r="E1789" s="10" t="s">
        <v>9</v>
      </c>
      <c r="F1789" s="10" t="s">
        <v>23</v>
      </c>
      <c r="G1789" s="10" t="s">
        <v>27</v>
      </c>
      <c r="H1789" s="10" t="s">
        <v>35</v>
      </c>
      <c r="I1789" s="45">
        <v>1386</v>
      </c>
      <c r="J1789" s="11">
        <v>0.40100000000000002</v>
      </c>
      <c r="K1789" s="45">
        <f t="shared" si="190"/>
        <v>830.21399999999994</v>
      </c>
      <c r="L1789" s="10">
        <v>4</v>
      </c>
      <c r="M1789" s="10">
        <v>2.8</v>
      </c>
      <c r="N1789" s="10" t="b">
        <v>1</v>
      </c>
      <c r="O1789" s="41" t="s">
        <v>33</v>
      </c>
      <c r="P1789" s="45">
        <f t="shared" si="191"/>
        <v>348.68987999999996</v>
      </c>
      <c r="Q1789" s="45">
        <f t="shared" si="192"/>
        <v>481.52411999999998</v>
      </c>
      <c r="R1789" s="45">
        <v>150</v>
      </c>
      <c r="S1789" s="45">
        <f t="shared" si="193"/>
        <v>83.0214</v>
      </c>
      <c r="T1789" s="45">
        <f t="shared" si="194"/>
        <v>830.21399999999994</v>
      </c>
      <c r="U1789" s="47">
        <f t="shared" si="195"/>
        <v>-581.71127999999999</v>
      </c>
    </row>
    <row r="1790" spans="1:21" x14ac:dyDescent="0.3">
      <c r="A1790" s="41" t="str">
        <f t="shared" si="189"/>
        <v>PH&amp;MBO</v>
      </c>
      <c r="B1790" s="43">
        <v>45863</v>
      </c>
      <c r="C1790" s="10" t="s">
        <v>1832</v>
      </c>
      <c r="D1790" s="10" t="s">
        <v>37</v>
      </c>
      <c r="E1790" s="10" t="s">
        <v>26</v>
      </c>
      <c r="F1790" s="10" t="s">
        <v>23</v>
      </c>
      <c r="G1790" s="10" t="s">
        <v>7</v>
      </c>
      <c r="H1790" s="10" t="s">
        <v>88</v>
      </c>
      <c r="I1790" s="45">
        <v>2771</v>
      </c>
      <c r="J1790" s="11">
        <v>0</v>
      </c>
      <c r="K1790" s="45">
        <f t="shared" si="190"/>
        <v>2771</v>
      </c>
      <c r="L1790" s="10">
        <v>50</v>
      </c>
      <c r="M1790" s="10">
        <v>4.4000000000000004</v>
      </c>
      <c r="N1790" s="10" t="b">
        <v>0</v>
      </c>
      <c r="O1790" s="41"/>
      <c r="P1790" s="45">
        <f t="shared" si="191"/>
        <v>1163.82</v>
      </c>
      <c r="Q1790" s="45">
        <f t="shared" si="192"/>
        <v>1607.18</v>
      </c>
      <c r="R1790" s="45">
        <v>0</v>
      </c>
      <c r="S1790" s="45">
        <f t="shared" si="193"/>
        <v>0</v>
      </c>
      <c r="T1790" s="45">
        <f t="shared" si="194"/>
        <v>0</v>
      </c>
      <c r="U1790" s="47">
        <f t="shared" si="195"/>
        <v>1607.18</v>
      </c>
    </row>
    <row r="1791" spans="1:21" x14ac:dyDescent="0.3">
      <c r="A1791" s="41" t="str">
        <f t="shared" si="189"/>
        <v>PGAPAC</v>
      </c>
      <c r="B1791" s="43">
        <v>45863</v>
      </c>
      <c r="C1791" s="10" t="s">
        <v>1833</v>
      </c>
      <c r="D1791" s="10" t="s">
        <v>53</v>
      </c>
      <c r="E1791" s="10" t="s">
        <v>15</v>
      </c>
      <c r="F1791" s="10" t="s">
        <v>11</v>
      </c>
      <c r="G1791" s="10" t="s">
        <v>7</v>
      </c>
      <c r="H1791" s="10" t="s">
        <v>56</v>
      </c>
      <c r="I1791" s="45">
        <v>159</v>
      </c>
      <c r="J1791" s="11">
        <v>0</v>
      </c>
      <c r="K1791" s="45">
        <f t="shared" si="190"/>
        <v>159</v>
      </c>
      <c r="L1791" s="10">
        <v>5</v>
      </c>
      <c r="M1791" s="10">
        <v>4.9000000000000004</v>
      </c>
      <c r="N1791" s="10" t="b">
        <v>0</v>
      </c>
      <c r="O1791" s="41"/>
      <c r="P1791" s="45">
        <f t="shared" si="191"/>
        <v>66.78</v>
      </c>
      <c r="Q1791" s="45">
        <f t="shared" si="192"/>
        <v>92.22</v>
      </c>
      <c r="R1791" s="45">
        <v>0</v>
      </c>
      <c r="S1791" s="45">
        <f t="shared" si="193"/>
        <v>0</v>
      </c>
      <c r="T1791" s="45">
        <f t="shared" si="194"/>
        <v>0</v>
      </c>
      <c r="U1791" s="47">
        <f t="shared" si="195"/>
        <v>92.22</v>
      </c>
    </row>
    <row r="1792" spans="1:21" x14ac:dyDescent="0.3">
      <c r="A1792" s="41" t="str">
        <f t="shared" si="189"/>
        <v>PMANAC</v>
      </c>
      <c r="B1792" s="43">
        <v>45864</v>
      </c>
      <c r="C1792" s="10" t="s">
        <v>1834</v>
      </c>
      <c r="D1792" s="10" t="s">
        <v>31</v>
      </c>
      <c r="E1792" s="10" t="s">
        <v>15</v>
      </c>
      <c r="F1792" s="10" t="s">
        <v>11</v>
      </c>
      <c r="G1792" s="10" t="s">
        <v>7</v>
      </c>
      <c r="H1792" s="10" t="s">
        <v>16</v>
      </c>
      <c r="I1792" s="45">
        <v>262</v>
      </c>
      <c r="J1792" s="11">
        <v>0</v>
      </c>
      <c r="K1792" s="45">
        <f t="shared" si="190"/>
        <v>262</v>
      </c>
      <c r="L1792" s="10">
        <v>15</v>
      </c>
      <c r="M1792" s="10">
        <v>1.6</v>
      </c>
      <c r="N1792" s="10" t="b">
        <v>1</v>
      </c>
      <c r="O1792" s="41" t="s">
        <v>44</v>
      </c>
      <c r="P1792" s="45">
        <f t="shared" si="191"/>
        <v>110.03999999999999</v>
      </c>
      <c r="Q1792" s="45">
        <f t="shared" si="192"/>
        <v>151.96</v>
      </c>
      <c r="R1792" s="45">
        <v>150</v>
      </c>
      <c r="S1792" s="45">
        <f t="shared" si="193"/>
        <v>26.200000000000003</v>
      </c>
      <c r="T1792" s="45">
        <f t="shared" si="194"/>
        <v>262</v>
      </c>
      <c r="U1792" s="47">
        <f t="shared" si="195"/>
        <v>-286.24</v>
      </c>
    </row>
    <row r="1793" spans="1:21" x14ac:dyDescent="0.3">
      <c r="A1793" s="41" t="str">
        <f t="shared" si="189"/>
        <v>PH&amp;MBO</v>
      </c>
      <c r="B1793" s="43">
        <v>45864</v>
      </c>
      <c r="C1793" s="10" t="s">
        <v>1835</v>
      </c>
      <c r="D1793" s="10" t="s">
        <v>37</v>
      </c>
      <c r="E1793" s="10" t="s">
        <v>26</v>
      </c>
      <c r="F1793" s="10" t="s">
        <v>54</v>
      </c>
      <c r="G1793" s="10" t="s">
        <v>46</v>
      </c>
      <c r="H1793" s="10" t="s">
        <v>43</v>
      </c>
      <c r="I1793" s="45">
        <v>2326</v>
      </c>
      <c r="J1793" s="11">
        <v>1.3999999999999999E-2</v>
      </c>
      <c r="K1793" s="45">
        <f t="shared" si="190"/>
        <v>2293.4360000000001</v>
      </c>
      <c r="L1793" s="10">
        <v>18</v>
      </c>
      <c r="M1793" s="10">
        <v>3.3</v>
      </c>
      <c r="N1793" s="10" t="b">
        <v>0</v>
      </c>
      <c r="O1793" s="41"/>
      <c r="P1793" s="45">
        <f t="shared" si="191"/>
        <v>963.24311999999998</v>
      </c>
      <c r="Q1793" s="45">
        <f t="shared" si="192"/>
        <v>1330.1928800000001</v>
      </c>
      <c r="R1793" s="45">
        <v>0</v>
      </c>
      <c r="S1793" s="45">
        <f t="shared" si="193"/>
        <v>0</v>
      </c>
      <c r="T1793" s="45">
        <f t="shared" si="194"/>
        <v>0</v>
      </c>
      <c r="U1793" s="47">
        <f t="shared" si="195"/>
        <v>1330.1928800000001</v>
      </c>
    </row>
    <row r="1794" spans="1:21" x14ac:dyDescent="0.3">
      <c r="A1794" s="41" t="str">
        <f t="shared" ref="A1794:A1857" si="196">UPPER("P"&amp;LEFT(D1794,3)&amp;LEFT(E1794,2))</f>
        <v>PH&amp;MOU</v>
      </c>
      <c r="B1794" s="43">
        <v>45864</v>
      </c>
      <c r="C1794" s="10" t="s">
        <v>1836</v>
      </c>
      <c r="D1794" s="10" t="s">
        <v>37</v>
      </c>
      <c r="E1794" s="10" t="s">
        <v>2</v>
      </c>
      <c r="F1794" s="10" t="s">
        <v>54</v>
      </c>
      <c r="G1794" s="10" t="s">
        <v>46</v>
      </c>
      <c r="H1794" s="10" t="s">
        <v>28</v>
      </c>
      <c r="I1794" s="45">
        <v>3946</v>
      </c>
      <c r="J1794" s="11">
        <v>0</v>
      </c>
      <c r="K1794" s="45">
        <f t="shared" si="190"/>
        <v>3946</v>
      </c>
      <c r="L1794" s="10">
        <v>50</v>
      </c>
      <c r="M1794" s="10">
        <v>1.6</v>
      </c>
      <c r="N1794" s="10" t="b">
        <v>0</v>
      </c>
      <c r="O1794" s="41"/>
      <c r="P1794" s="45">
        <f t="shared" si="191"/>
        <v>1657.32</v>
      </c>
      <c r="Q1794" s="45">
        <f t="shared" si="192"/>
        <v>2288.6800000000003</v>
      </c>
      <c r="R1794" s="45">
        <v>0</v>
      </c>
      <c r="S1794" s="45">
        <f t="shared" si="193"/>
        <v>0</v>
      </c>
      <c r="T1794" s="45">
        <f t="shared" si="194"/>
        <v>0</v>
      </c>
      <c r="U1794" s="47">
        <f t="shared" si="195"/>
        <v>2288.6800000000003</v>
      </c>
    </row>
    <row r="1795" spans="1:21" x14ac:dyDescent="0.3">
      <c r="A1795" s="41" t="str">
        <f t="shared" si="196"/>
        <v>PBANOU</v>
      </c>
      <c r="B1795" s="43">
        <v>45865</v>
      </c>
      <c r="C1795" s="10" t="s">
        <v>1837</v>
      </c>
      <c r="D1795" s="10" t="s">
        <v>21</v>
      </c>
      <c r="E1795" s="10" t="s">
        <v>2</v>
      </c>
      <c r="F1795" s="10" t="s">
        <v>11</v>
      </c>
      <c r="G1795" s="10" t="s">
        <v>46</v>
      </c>
      <c r="H1795" s="10" t="s">
        <v>28</v>
      </c>
      <c r="I1795" s="45">
        <v>4212</v>
      </c>
      <c r="J1795" s="11">
        <v>0</v>
      </c>
      <c r="K1795" s="45">
        <f t="shared" ref="K1795:K1858" si="197">I1795*(1-J1795)</f>
        <v>4212</v>
      </c>
      <c r="L1795" s="10">
        <v>34</v>
      </c>
      <c r="M1795" s="10">
        <v>2.4</v>
      </c>
      <c r="N1795" s="10" t="b">
        <v>0</v>
      </c>
      <c r="O1795" s="41"/>
      <c r="P1795" s="45">
        <f t="shared" ref="P1795:P1858" si="198">K1795*0.42</f>
        <v>1769.04</v>
      </c>
      <c r="Q1795" s="45">
        <f t="shared" ref="Q1795:Q1858" si="199">K1795-P1795</f>
        <v>2442.96</v>
      </c>
      <c r="R1795" s="45">
        <v>0</v>
      </c>
      <c r="S1795" s="45">
        <f t="shared" ref="S1795:S1858" si="200">IF(N1795=TRUE,K1795*0.1,0)</f>
        <v>0</v>
      </c>
      <c r="T1795" s="45">
        <f t="shared" ref="T1795:T1858" si="201">IF(N1795=TRUE,K1795,0)</f>
        <v>0</v>
      </c>
      <c r="U1795" s="47">
        <f t="shared" ref="U1795:U1858" si="202">Q1795-R1795-S1795-T1795</f>
        <v>2442.96</v>
      </c>
    </row>
    <row r="1796" spans="1:21" x14ac:dyDescent="0.3">
      <c r="A1796" s="41" t="str">
        <f t="shared" si="196"/>
        <v>PANNDR</v>
      </c>
      <c r="B1796" s="43">
        <v>45865</v>
      </c>
      <c r="C1796" s="10" t="s">
        <v>1838</v>
      </c>
      <c r="D1796" s="10" t="s">
        <v>42</v>
      </c>
      <c r="E1796" s="10" t="s">
        <v>30</v>
      </c>
      <c r="F1796" s="10" t="s">
        <v>4</v>
      </c>
      <c r="G1796" s="10" t="s">
        <v>38</v>
      </c>
      <c r="H1796" s="10" t="s">
        <v>43</v>
      </c>
      <c r="I1796" s="45">
        <v>2314</v>
      </c>
      <c r="J1796" s="11">
        <v>0</v>
      </c>
      <c r="K1796" s="45">
        <f t="shared" si="197"/>
        <v>2314</v>
      </c>
      <c r="L1796" s="10">
        <v>24</v>
      </c>
      <c r="M1796" s="10">
        <v>4.3</v>
      </c>
      <c r="N1796" s="10" t="b">
        <v>0</v>
      </c>
      <c r="O1796" s="41"/>
      <c r="P1796" s="45">
        <f t="shared" si="198"/>
        <v>971.88</v>
      </c>
      <c r="Q1796" s="45">
        <f t="shared" si="199"/>
        <v>1342.12</v>
      </c>
      <c r="R1796" s="45">
        <v>0</v>
      </c>
      <c r="S1796" s="45">
        <f t="shared" si="200"/>
        <v>0</v>
      </c>
      <c r="T1796" s="45">
        <f t="shared" si="201"/>
        <v>0</v>
      </c>
      <c r="U1796" s="47">
        <f t="shared" si="202"/>
        <v>1342.12</v>
      </c>
    </row>
    <row r="1797" spans="1:21" x14ac:dyDescent="0.3">
      <c r="A1797" s="41" t="str">
        <f t="shared" si="196"/>
        <v>PGAPOU</v>
      </c>
      <c r="B1797" s="43">
        <v>45865</v>
      </c>
      <c r="C1797" s="10" t="s">
        <v>1839</v>
      </c>
      <c r="D1797" s="10" t="s">
        <v>53</v>
      </c>
      <c r="E1797" s="10" t="s">
        <v>2</v>
      </c>
      <c r="F1797" s="10" t="s">
        <v>11</v>
      </c>
      <c r="G1797" s="10" t="s">
        <v>5</v>
      </c>
      <c r="H1797" s="10" t="s">
        <v>28</v>
      </c>
      <c r="I1797" s="45">
        <v>4435</v>
      </c>
      <c r="J1797" s="11">
        <v>0</v>
      </c>
      <c r="K1797" s="45">
        <f t="shared" si="197"/>
        <v>4435</v>
      </c>
      <c r="L1797" s="10">
        <v>23</v>
      </c>
      <c r="M1797" s="10">
        <v>2.7</v>
      </c>
      <c r="N1797" s="10" t="b">
        <v>1</v>
      </c>
      <c r="O1797" s="41" t="s">
        <v>33</v>
      </c>
      <c r="P1797" s="45">
        <f t="shared" si="198"/>
        <v>1862.6999999999998</v>
      </c>
      <c r="Q1797" s="45">
        <f t="shared" si="199"/>
        <v>2572.3000000000002</v>
      </c>
      <c r="R1797" s="45">
        <v>150</v>
      </c>
      <c r="S1797" s="45">
        <f t="shared" si="200"/>
        <v>443.5</v>
      </c>
      <c r="T1797" s="45">
        <f t="shared" si="201"/>
        <v>4435</v>
      </c>
      <c r="U1797" s="47">
        <f t="shared" si="202"/>
        <v>-2456.1999999999998</v>
      </c>
    </row>
    <row r="1798" spans="1:21" x14ac:dyDescent="0.3">
      <c r="A1798" s="41" t="str">
        <f t="shared" si="196"/>
        <v>PMANDR</v>
      </c>
      <c r="B1798" s="43">
        <v>45865</v>
      </c>
      <c r="C1798" s="10" t="s">
        <v>1840</v>
      </c>
      <c r="D1798" s="10" t="s">
        <v>31</v>
      </c>
      <c r="E1798" s="10" t="s">
        <v>30</v>
      </c>
      <c r="F1798" s="10" t="s">
        <v>54</v>
      </c>
      <c r="G1798" s="10" t="s">
        <v>38</v>
      </c>
      <c r="H1798" s="10" t="s">
        <v>13</v>
      </c>
      <c r="I1798" s="45">
        <v>2684</v>
      </c>
      <c r="J1798" s="11">
        <v>0.28899999999999998</v>
      </c>
      <c r="K1798" s="45">
        <f t="shared" si="197"/>
        <v>1908.3240000000003</v>
      </c>
      <c r="L1798" s="10">
        <v>44</v>
      </c>
      <c r="M1798" s="10">
        <v>3.6</v>
      </c>
      <c r="N1798" s="10" t="b">
        <v>0</v>
      </c>
      <c r="O1798" s="41"/>
      <c r="P1798" s="45">
        <f t="shared" si="198"/>
        <v>801.49608000000012</v>
      </c>
      <c r="Q1798" s="45">
        <f t="shared" si="199"/>
        <v>1106.8279200000002</v>
      </c>
      <c r="R1798" s="45">
        <v>0</v>
      </c>
      <c r="S1798" s="45">
        <f t="shared" si="200"/>
        <v>0</v>
      </c>
      <c r="T1798" s="45">
        <f t="shared" si="201"/>
        <v>0</v>
      </c>
      <c r="U1798" s="47">
        <f t="shared" si="202"/>
        <v>1106.8279200000002</v>
      </c>
    </row>
    <row r="1799" spans="1:21" x14ac:dyDescent="0.3">
      <c r="A1799" s="41" t="str">
        <f t="shared" si="196"/>
        <v>PANNAC</v>
      </c>
      <c r="B1799" s="43">
        <v>45866</v>
      </c>
      <c r="C1799" s="10" t="s">
        <v>1841</v>
      </c>
      <c r="D1799" s="10" t="s">
        <v>42</v>
      </c>
      <c r="E1799" s="10" t="s">
        <v>15</v>
      </c>
      <c r="F1799" s="10" t="s">
        <v>11</v>
      </c>
      <c r="G1799" s="10" t="s">
        <v>7</v>
      </c>
      <c r="H1799" s="10" t="s">
        <v>35</v>
      </c>
      <c r="I1799" s="45">
        <v>474</v>
      </c>
      <c r="J1799" s="11">
        <v>0.27300000000000002</v>
      </c>
      <c r="K1799" s="45">
        <f t="shared" si="197"/>
        <v>344.59800000000001</v>
      </c>
      <c r="L1799" s="10">
        <v>39</v>
      </c>
      <c r="M1799" s="10">
        <v>4.9000000000000004</v>
      </c>
      <c r="N1799" s="10" t="b">
        <v>0</v>
      </c>
      <c r="O1799" s="41"/>
      <c r="P1799" s="45">
        <f t="shared" si="198"/>
        <v>144.73115999999999</v>
      </c>
      <c r="Q1799" s="45">
        <f t="shared" si="199"/>
        <v>199.86684000000002</v>
      </c>
      <c r="R1799" s="45">
        <v>0</v>
      </c>
      <c r="S1799" s="45">
        <f t="shared" si="200"/>
        <v>0</v>
      </c>
      <c r="T1799" s="45">
        <f t="shared" si="201"/>
        <v>0</v>
      </c>
      <c r="U1799" s="47">
        <f t="shared" si="202"/>
        <v>199.86684000000002</v>
      </c>
    </row>
    <row r="1800" spans="1:21" x14ac:dyDescent="0.3">
      <c r="A1800" s="41" t="str">
        <f t="shared" si="196"/>
        <v>PGAPAC</v>
      </c>
      <c r="B1800" s="43">
        <v>45866</v>
      </c>
      <c r="C1800" s="10" t="s">
        <v>1842</v>
      </c>
      <c r="D1800" s="10" t="s">
        <v>53</v>
      </c>
      <c r="E1800" s="10" t="s">
        <v>15</v>
      </c>
      <c r="F1800" s="10" t="s">
        <v>11</v>
      </c>
      <c r="G1800" s="10" t="s">
        <v>7</v>
      </c>
      <c r="H1800" s="10" t="s">
        <v>16</v>
      </c>
      <c r="I1800" s="45">
        <v>464</v>
      </c>
      <c r="J1800" s="11">
        <v>0</v>
      </c>
      <c r="K1800" s="45">
        <f t="shared" si="197"/>
        <v>464</v>
      </c>
      <c r="L1800" s="10">
        <v>50</v>
      </c>
      <c r="M1800" s="10">
        <v>2.7</v>
      </c>
      <c r="N1800" s="10" t="b">
        <v>0</v>
      </c>
      <c r="O1800" s="41"/>
      <c r="P1800" s="45">
        <f t="shared" si="198"/>
        <v>194.88</v>
      </c>
      <c r="Q1800" s="45">
        <f t="shared" si="199"/>
        <v>269.12</v>
      </c>
      <c r="R1800" s="45">
        <v>0</v>
      </c>
      <c r="S1800" s="45">
        <f t="shared" si="200"/>
        <v>0</v>
      </c>
      <c r="T1800" s="45">
        <f t="shared" si="201"/>
        <v>0</v>
      </c>
      <c r="U1800" s="47">
        <f t="shared" si="202"/>
        <v>269.12</v>
      </c>
    </row>
    <row r="1801" spans="1:21" x14ac:dyDescent="0.3">
      <c r="A1801" s="41" t="str">
        <f t="shared" si="196"/>
        <v>PFORBO</v>
      </c>
      <c r="B1801" s="43">
        <v>45866</v>
      </c>
      <c r="C1801" s="10" t="s">
        <v>1843</v>
      </c>
      <c r="D1801" s="10" t="s">
        <v>65</v>
      </c>
      <c r="E1801" s="10" t="s">
        <v>26</v>
      </c>
      <c r="F1801" s="10" t="s">
        <v>54</v>
      </c>
      <c r="G1801" s="10" t="s">
        <v>38</v>
      </c>
      <c r="H1801" s="10" t="s">
        <v>7</v>
      </c>
      <c r="I1801" s="45">
        <v>2709</v>
      </c>
      <c r="J1801" s="11">
        <v>0</v>
      </c>
      <c r="K1801" s="45">
        <f t="shared" si="197"/>
        <v>2709</v>
      </c>
      <c r="L1801" s="10">
        <v>13</v>
      </c>
      <c r="M1801" s="10">
        <v>3.9</v>
      </c>
      <c r="N1801" s="10" t="b">
        <v>1</v>
      </c>
      <c r="O1801" s="41" t="s">
        <v>44</v>
      </c>
      <c r="P1801" s="45">
        <f t="shared" si="198"/>
        <v>1137.78</v>
      </c>
      <c r="Q1801" s="45">
        <f t="shared" si="199"/>
        <v>1571.22</v>
      </c>
      <c r="R1801" s="45">
        <v>150</v>
      </c>
      <c r="S1801" s="45">
        <f t="shared" si="200"/>
        <v>270.90000000000003</v>
      </c>
      <c r="T1801" s="45">
        <f t="shared" si="201"/>
        <v>2709</v>
      </c>
      <c r="U1801" s="47">
        <f t="shared" si="202"/>
        <v>-1558.68</v>
      </c>
    </row>
    <row r="1802" spans="1:21" x14ac:dyDescent="0.3">
      <c r="A1802" s="41" t="str">
        <f t="shared" si="196"/>
        <v>PZARBO</v>
      </c>
      <c r="B1802" s="43">
        <v>45866</v>
      </c>
      <c r="C1802" s="10" t="s">
        <v>1844</v>
      </c>
      <c r="D1802" s="10" t="s">
        <v>3</v>
      </c>
      <c r="E1802" s="10" t="s">
        <v>26</v>
      </c>
      <c r="F1802" s="10" t="s">
        <v>23</v>
      </c>
      <c r="G1802" s="10" t="s">
        <v>12</v>
      </c>
      <c r="H1802" s="10" t="s">
        <v>88</v>
      </c>
      <c r="I1802" s="45">
        <v>2680</v>
      </c>
      <c r="J1802" s="11">
        <v>0</v>
      </c>
      <c r="K1802" s="45">
        <f t="shared" si="197"/>
        <v>2680</v>
      </c>
      <c r="L1802" s="10">
        <v>35</v>
      </c>
      <c r="M1802" s="10">
        <v>3.1</v>
      </c>
      <c r="N1802" s="10" t="b">
        <v>1</v>
      </c>
      <c r="O1802" s="41" t="s">
        <v>33</v>
      </c>
      <c r="P1802" s="45">
        <f t="shared" si="198"/>
        <v>1125.5999999999999</v>
      </c>
      <c r="Q1802" s="45">
        <f t="shared" si="199"/>
        <v>1554.4</v>
      </c>
      <c r="R1802" s="45">
        <v>150</v>
      </c>
      <c r="S1802" s="45">
        <f t="shared" si="200"/>
        <v>268</v>
      </c>
      <c r="T1802" s="45">
        <f t="shared" si="201"/>
        <v>2680</v>
      </c>
      <c r="U1802" s="47">
        <f t="shared" si="202"/>
        <v>-1543.6</v>
      </c>
    </row>
    <row r="1803" spans="1:21" x14ac:dyDescent="0.3">
      <c r="A1803" s="41" t="str">
        <f t="shared" si="196"/>
        <v>PH&amp;MOU</v>
      </c>
      <c r="B1803" s="43">
        <v>45867</v>
      </c>
      <c r="C1803" s="10" t="s">
        <v>1845</v>
      </c>
      <c r="D1803" s="10" t="s">
        <v>37</v>
      </c>
      <c r="E1803" s="10" t="s">
        <v>2</v>
      </c>
      <c r="F1803" s="10" t="s">
        <v>11</v>
      </c>
      <c r="G1803" s="10" t="s">
        <v>12</v>
      </c>
      <c r="H1803" s="10" t="s">
        <v>28</v>
      </c>
      <c r="I1803" s="45">
        <v>3637</v>
      </c>
      <c r="J1803" s="11">
        <v>0</v>
      </c>
      <c r="K1803" s="45">
        <f t="shared" si="197"/>
        <v>3637</v>
      </c>
      <c r="L1803" s="10">
        <v>18</v>
      </c>
      <c r="M1803" s="10">
        <v>1.9</v>
      </c>
      <c r="N1803" s="10" t="b">
        <v>0</v>
      </c>
      <c r="O1803" s="41"/>
      <c r="P1803" s="45">
        <f t="shared" si="198"/>
        <v>1527.54</v>
      </c>
      <c r="Q1803" s="45">
        <f t="shared" si="199"/>
        <v>2109.46</v>
      </c>
      <c r="R1803" s="45">
        <v>0</v>
      </c>
      <c r="S1803" s="45">
        <f t="shared" si="200"/>
        <v>0</v>
      </c>
      <c r="T1803" s="45">
        <f t="shared" si="201"/>
        <v>0</v>
      </c>
      <c r="U1803" s="47">
        <f t="shared" si="202"/>
        <v>2109.46</v>
      </c>
    </row>
    <row r="1804" spans="1:21" x14ac:dyDescent="0.3">
      <c r="A1804" s="41" t="str">
        <f t="shared" si="196"/>
        <v>PGAPDR</v>
      </c>
      <c r="B1804" s="43">
        <v>45867</v>
      </c>
      <c r="C1804" s="10" t="s">
        <v>1846</v>
      </c>
      <c r="D1804" s="10" t="s">
        <v>53</v>
      </c>
      <c r="E1804" s="10" t="s">
        <v>30</v>
      </c>
      <c r="F1804" s="10" t="s">
        <v>11</v>
      </c>
      <c r="G1804" s="10" t="s">
        <v>38</v>
      </c>
      <c r="H1804" s="10" t="s">
        <v>47</v>
      </c>
      <c r="I1804" s="45">
        <v>2483</v>
      </c>
      <c r="J1804" s="11">
        <v>0.32600000000000001</v>
      </c>
      <c r="K1804" s="45">
        <f t="shared" si="197"/>
        <v>1673.5419999999999</v>
      </c>
      <c r="L1804" s="10">
        <v>9</v>
      </c>
      <c r="M1804" s="10"/>
      <c r="N1804" s="10" t="b">
        <v>0</v>
      </c>
      <c r="O1804" s="41"/>
      <c r="P1804" s="45">
        <f t="shared" si="198"/>
        <v>702.88763999999992</v>
      </c>
      <c r="Q1804" s="45">
        <f t="shared" si="199"/>
        <v>970.65436</v>
      </c>
      <c r="R1804" s="45">
        <v>0</v>
      </c>
      <c r="S1804" s="45">
        <f t="shared" si="200"/>
        <v>0</v>
      </c>
      <c r="T1804" s="45">
        <f t="shared" si="201"/>
        <v>0</v>
      </c>
      <c r="U1804" s="47">
        <f t="shared" si="202"/>
        <v>970.65436</v>
      </c>
    </row>
    <row r="1805" spans="1:21" x14ac:dyDescent="0.3">
      <c r="A1805" s="41" t="str">
        <f t="shared" si="196"/>
        <v>PBANOU</v>
      </c>
      <c r="B1805" s="43">
        <v>45867</v>
      </c>
      <c r="C1805" s="10" t="s">
        <v>1847</v>
      </c>
      <c r="D1805" s="10" t="s">
        <v>21</v>
      </c>
      <c r="E1805" s="10" t="s">
        <v>2</v>
      </c>
      <c r="F1805" s="10" t="s">
        <v>4</v>
      </c>
      <c r="G1805" s="10" t="s">
        <v>46</v>
      </c>
      <c r="H1805" s="10" t="s">
        <v>56</v>
      </c>
      <c r="I1805" s="45">
        <v>3633</v>
      </c>
      <c r="J1805" s="11">
        <v>0.54299999999999993</v>
      </c>
      <c r="K1805" s="45">
        <f t="shared" si="197"/>
        <v>1660.2810000000002</v>
      </c>
      <c r="L1805" s="10">
        <v>38</v>
      </c>
      <c r="M1805" s="10"/>
      <c r="N1805" s="10" t="b">
        <v>0</v>
      </c>
      <c r="O1805" s="41"/>
      <c r="P1805" s="45">
        <f t="shared" si="198"/>
        <v>697.31802000000005</v>
      </c>
      <c r="Q1805" s="45">
        <f t="shared" si="199"/>
        <v>962.96298000000013</v>
      </c>
      <c r="R1805" s="45">
        <v>0</v>
      </c>
      <c r="S1805" s="45">
        <f t="shared" si="200"/>
        <v>0</v>
      </c>
      <c r="T1805" s="45">
        <f t="shared" si="201"/>
        <v>0</v>
      </c>
      <c r="U1805" s="47">
        <f t="shared" si="202"/>
        <v>962.96298000000013</v>
      </c>
    </row>
    <row r="1806" spans="1:21" x14ac:dyDescent="0.3">
      <c r="A1806" s="41" t="str">
        <f t="shared" si="196"/>
        <v>PFORAC</v>
      </c>
      <c r="B1806" s="43">
        <v>45867</v>
      </c>
      <c r="C1806" s="10" t="s">
        <v>1848</v>
      </c>
      <c r="D1806" s="10" t="s">
        <v>65</v>
      </c>
      <c r="E1806" s="10" t="s">
        <v>15</v>
      </c>
      <c r="F1806" s="10" t="s">
        <v>11</v>
      </c>
      <c r="G1806" s="10" t="s">
        <v>7</v>
      </c>
      <c r="H1806" s="10" t="s">
        <v>56</v>
      </c>
      <c r="I1806" s="45">
        <v>384</v>
      </c>
      <c r="J1806" s="11">
        <v>0</v>
      </c>
      <c r="K1806" s="45">
        <f t="shared" si="197"/>
        <v>384</v>
      </c>
      <c r="L1806" s="10">
        <v>14</v>
      </c>
      <c r="M1806" s="10"/>
      <c r="N1806" s="10" t="b">
        <v>0</v>
      </c>
      <c r="O1806" s="41"/>
      <c r="P1806" s="45">
        <f t="shared" si="198"/>
        <v>161.28</v>
      </c>
      <c r="Q1806" s="45">
        <f t="shared" si="199"/>
        <v>222.72</v>
      </c>
      <c r="R1806" s="45">
        <v>0</v>
      </c>
      <c r="S1806" s="45">
        <f t="shared" si="200"/>
        <v>0</v>
      </c>
      <c r="T1806" s="45">
        <f t="shared" si="201"/>
        <v>0</v>
      </c>
      <c r="U1806" s="47">
        <f t="shared" si="202"/>
        <v>222.72</v>
      </c>
    </row>
    <row r="1807" spans="1:21" x14ac:dyDescent="0.3">
      <c r="A1807" s="41" t="str">
        <f t="shared" si="196"/>
        <v>PZARSH</v>
      </c>
      <c r="B1807" s="43">
        <v>45867</v>
      </c>
      <c r="C1807" s="10" t="s">
        <v>1849</v>
      </c>
      <c r="D1807" s="10" t="s">
        <v>3</v>
      </c>
      <c r="E1807" s="10" t="s">
        <v>18</v>
      </c>
      <c r="F1807" s="10" t="s">
        <v>23</v>
      </c>
      <c r="G1807" s="10" t="s">
        <v>12</v>
      </c>
      <c r="H1807" s="10" t="s">
        <v>6</v>
      </c>
      <c r="I1807" s="45">
        <v>3781</v>
      </c>
      <c r="J1807" s="11">
        <v>0</v>
      </c>
      <c r="K1807" s="45">
        <f t="shared" si="197"/>
        <v>3781</v>
      </c>
      <c r="L1807" s="10">
        <v>10</v>
      </c>
      <c r="M1807" s="10">
        <v>2.5</v>
      </c>
      <c r="N1807" s="10" t="b">
        <v>0</v>
      </c>
      <c r="O1807" s="41"/>
      <c r="P1807" s="45">
        <f t="shared" si="198"/>
        <v>1588.02</v>
      </c>
      <c r="Q1807" s="45">
        <f t="shared" si="199"/>
        <v>2192.98</v>
      </c>
      <c r="R1807" s="45">
        <v>0</v>
      </c>
      <c r="S1807" s="45">
        <f t="shared" si="200"/>
        <v>0</v>
      </c>
      <c r="T1807" s="45">
        <f t="shared" si="201"/>
        <v>0</v>
      </c>
      <c r="U1807" s="47">
        <f t="shared" si="202"/>
        <v>2192.98</v>
      </c>
    </row>
    <row r="1808" spans="1:21" x14ac:dyDescent="0.3">
      <c r="A1808" s="41" t="str">
        <f t="shared" si="196"/>
        <v>PZARAC</v>
      </c>
      <c r="B1808" s="43">
        <v>45868</v>
      </c>
      <c r="C1808" s="10" t="s">
        <v>1850</v>
      </c>
      <c r="D1808" s="10" t="s">
        <v>3</v>
      </c>
      <c r="E1808" s="10" t="s">
        <v>15</v>
      </c>
      <c r="F1808" s="10" t="s">
        <v>54</v>
      </c>
      <c r="G1808" s="10" t="s">
        <v>7</v>
      </c>
      <c r="H1808" s="10" t="s">
        <v>16</v>
      </c>
      <c r="I1808" s="45">
        <v>259</v>
      </c>
      <c r="J1808" s="11">
        <v>0</v>
      </c>
      <c r="K1808" s="45">
        <f t="shared" si="197"/>
        <v>259</v>
      </c>
      <c r="L1808" s="10">
        <v>23</v>
      </c>
      <c r="M1808" s="10">
        <v>4.5</v>
      </c>
      <c r="N1808" s="10" t="b">
        <v>0</v>
      </c>
      <c r="O1808" s="41"/>
      <c r="P1808" s="45">
        <f t="shared" si="198"/>
        <v>108.78</v>
      </c>
      <c r="Q1808" s="45">
        <f t="shared" si="199"/>
        <v>150.22</v>
      </c>
      <c r="R1808" s="45">
        <v>0</v>
      </c>
      <c r="S1808" s="45">
        <f t="shared" si="200"/>
        <v>0</v>
      </c>
      <c r="T1808" s="45">
        <f t="shared" si="201"/>
        <v>0</v>
      </c>
      <c r="U1808" s="47">
        <f t="shared" si="202"/>
        <v>150.22</v>
      </c>
    </row>
    <row r="1809" spans="1:21" x14ac:dyDescent="0.3">
      <c r="A1809" s="41" t="str">
        <f t="shared" si="196"/>
        <v>PANNAC</v>
      </c>
      <c r="B1809" s="43">
        <v>45868</v>
      </c>
      <c r="C1809" s="10" t="s">
        <v>1851</v>
      </c>
      <c r="D1809" s="10" t="s">
        <v>42</v>
      </c>
      <c r="E1809" s="10" t="s">
        <v>15</v>
      </c>
      <c r="F1809" s="10" t="s">
        <v>11</v>
      </c>
      <c r="G1809" s="10" t="s">
        <v>7</v>
      </c>
      <c r="H1809" s="10" t="s">
        <v>56</v>
      </c>
      <c r="I1809" s="45">
        <v>295</v>
      </c>
      <c r="J1809" s="11">
        <v>0</v>
      </c>
      <c r="K1809" s="45">
        <f t="shared" si="197"/>
        <v>295</v>
      </c>
      <c r="L1809" s="10">
        <v>28</v>
      </c>
      <c r="M1809" s="10">
        <v>5</v>
      </c>
      <c r="N1809" s="10" t="b">
        <v>0</v>
      </c>
      <c r="O1809" s="41"/>
      <c r="P1809" s="45">
        <f t="shared" si="198"/>
        <v>123.89999999999999</v>
      </c>
      <c r="Q1809" s="45">
        <f t="shared" si="199"/>
        <v>171.10000000000002</v>
      </c>
      <c r="R1809" s="45">
        <v>0</v>
      </c>
      <c r="S1809" s="45">
        <f t="shared" si="200"/>
        <v>0</v>
      </c>
      <c r="T1809" s="45">
        <f t="shared" si="201"/>
        <v>0</v>
      </c>
      <c r="U1809" s="47">
        <f t="shared" si="202"/>
        <v>171.10000000000002</v>
      </c>
    </row>
    <row r="1810" spans="1:21" x14ac:dyDescent="0.3">
      <c r="A1810" s="41" t="str">
        <f t="shared" si="196"/>
        <v>PH&amp;MTO</v>
      </c>
      <c r="B1810" s="43">
        <v>45868</v>
      </c>
      <c r="C1810" s="10" t="s">
        <v>1852</v>
      </c>
      <c r="D1810" s="10" t="s">
        <v>37</v>
      </c>
      <c r="E1810" s="10" t="s">
        <v>9</v>
      </c>
      <c r="F1810" s="10" t="s">
        <v>23</v>
      </c>
      <c r="G1810" s="10" t="s">
        <v>12</v>
      </c>
      <c r="H1810" s="10" t="s">
        <v>43</v>
      </c>
      <c r="I1810" s="45">
        <v>1586</v>
      </c>
      <c r="J1810" s="11">
        <v>0</v>
      </c>
      <c r="K1810" s="45">
        <f t="shared" si="197"/>
        <v>1586</v>
      </c>
      <c r="L1810" s="10">
        <v>10</v>
      </c>
      <c r="M1810" s="10">
        <v>4.4000000000000004</v>
      </c>
      <c r="N1810" s="10" t="b">
        <v>1</v>
      </c>
      <c r="O1810" s="41" t="s">
        <v>33</v>
      </c>
      <c r="P1810" s="45">
        <f t="shared" si="198"/>
        <v>666.12</v>
      </c>
      <c r="Q1810" s="45">
        <f t="shared" si="199"/>
        <v>919.88</v>
      </c>
      <c r="R1810" s="45">
        <v>150</v>
      </c>
      <c r="S1810" s="45">
        <f t="shared" si="200"/>
        <v>158.60000000000002</v>
      </c>
      <c r="T1810" s="45">
        <f t="shared" si="201"/>
        <v>1586</v>
      </c>
      <c r="U1810" s="47">
        <f t="shared" si="202"/>
        <v>-974.72</v>
      </c>
    </row>
    <row r="1811" spans="1:21" x14ac:dyDescent="0.3">
      <c r="A1811" s="41" t="str">
        <f t="shared" si="196"/>
        <v>PH&amp;MAC</v>
      </c>
      <c r="B1811" s="43">
        <v>45869</v>
      </c>
      <c r="C1811" s="10" t="s">
        <v>1853</v>
      </c>
      <c r="D1811" s="10" t="s">
        <v>37</v>
      </c>
      <c r="E1811" s="10" t="s">
        <v>15</v>
      </c>
      <c r="F1811" s="10" t="s">
        <v>23</v>
      </c>
      <c r="G1811" s="10" t="s">
        <v>7</v>
      </c>
      <c r="H1811" s="10" t="s">
        <v>35</v>
      </c>
      <c r="I1811" s="45">
        <v>296</v>
      </c>
      <c r="J1811" s="11">
        <v>0</v>
      </c>
      <c r="K1811" s="45">
        <f t="shared" si="197"/>
        <v>296</v>
      </c>
      <c r="L1811" s="10">
        <v>27</v>
      </c>
      <c r="M1811" s="10"/>
      <c r="N1811" s="10" t="b">
        <v>0</v>
      </c>
      <c r="O1811" s="41"/>
      <c r="P1811" s="45">
        <f t="shared" si="198"/>
        <v>124.32</v>
      </c>
      <c r="Q1811" s="45">
        <f t="shared" si="199"/>
        <v>171.68</v>
      </c>
      <c r="R1811" s="45">
        <v>0</v>
      </c>
      <c r="S1811" s="45">
        <f t="shared" si="200"/>
        <v>0</v>
      </c>
      <c r="T1811" s="45">
        <f t="shared" si="201"/>
        <v>0</v>
      </c>
      <c r="U1811" s="47">
        <f t="shared" si="202"/>
        <v>171.68</v>
      </c>
    </row>
    <row r="1812" spans="1:21" x14ac:dyDescent="0.3">
      <c r="A1812" s="41" t="str">
        <f t="shared" si="196"/>
        <v>PH&amp;MAC</v>
      </c>
      <c r="B1812" s="43">
        <v>45869</v>
      </c>
      <c r="C1812" s="10" t="s">
        <v>1854</v>
      </c>
      <c r="D1812" s="10" t="s">
        <v>37</v>
      </c>
      <c r="E1812" s="10" t="s">
        <v>15</v>
      </c>
      <c r="F1812" s="10" t="s">
        <v>4</v>
      </c>
      <c r="G1812" s="10" t="s">
        <v>7</v>
      </c>
      <c r="H1812" s="10" t="s">
        <v>43</v>
      </c>
      <c r="I1812" s="45">
        <v>362</v>
      </c>
      <c r="J1812" s="11">
        <v>8.8000000000000009E-2</v>
      </c>
      <c r="K1812" s="45">
        <f t="shared" si="197"/>
        <v>330.14400000000001</v>
      </c>
      <c r="L1812" s="10">
        <v>1</v>
      </c>
      <c r="M1812" s="10">
        <v>1.7</v>
      </c>
      <c r="N1812" s="10" t="b">
        <v>1</v>
      </c>
      <c r="O1812" s="41" t="s">
        <v>44</v>
      </c>
      <c r="P1812" s="45">
        <f t="shared" si="198"/>
        <v>138.66048000000001</v>
      </c>
      <c r="Q1812" s="45">
        <f t="shared" si="199"/>
        <v>191.48352</v>
      </c>
      <c r="R1812" s="45">
        <v>150</v>
      </c>
      <c r="S1812" s="45">
        <f t="shared" si="200"/>
        <v>33.014400000000002</v>
      </c>
      <c r="T1812" s="45">
        <f t="shared" si="201"/>
        <v>330.14400000000001</v>
      </c>
      <c r="U1812" s="47">
        <f t="shared" si="202"/>
        <v>-321.67488000000003</v>
      </c>
    </row>
    <row r="1813" spans="1:21" x14ac:dyDescent="0.3">
      <c r="A1813" s="41" t="str">
        <f t="shared" si="196"/>
        <v>PBANSH</v>
      </c>
      <c r="B1813" s="43">
        <v>45869</v>
      </c>
      <c r="C1813" s="10" t="s">
        <v>1855</v>
      </c>
      <c r="D1813" s="10" t="s">
        <v>21</v>
      </c>
      <c r="E1813" s="10" t="s">
        <v>18</v>
      </c>
      <c r="F1813" s="10" t="s">
        <v>54</v>
      </c>
      <c r="G1813" s="10" t="s">
        <v>27</v>
      </c>
      <c r="H1813" s="10" t="s">
        <v>35</v>
      </c>
      <c r="I1813" s="45">
        <v>3091</v>
      </c>
      <c r="J1813" s="11">
        <v>0</v>
      </c>
      <c r="K1813" s="45">
        <f t="shared" si="197"/>
        <v>3091</v>
      </c>
      <c r="L1813" s="10">
        <v>1</v>
      </c>
      <c r="M1813" s="10">
        <v>3.1</v>
      </c>
      <c r="N1813" s="10" t="b">
        <v>0</v>
      </c>
      <c r="O1813" s="41"/>
      <c r="P1813" s="45">
        <f t="shared" si="198"/>
        <v>1298.22</v>
      </c>
      <c r="Q1813" s="45">
        <f t="shared" si="199"/>
        <v>1792.78</v>
      </c>
      <c r="R1813" s="45">
        <v>0</v>
      </c>
      <c r="S1813" s="45">
        <f t="shared" si="200"/>
        <v>0</v>
      </c>
      <c r="T1813" s="45">
        <f t="shared" si="201"/>
        <v>0</v>
      </c>
      <c r="U1813" s="47">
        <f t="shared" si="202"/>
        <v>1792.78</v>
      </c>
    </row>
    <row r="1814" spans="1:21" x14ac:dyDescent="0.3">
      <c r="A1814" s="41" t="str">
        <f t="shared" si="196"/>
        <v>PZAROU</v>
      </c>
      <c r="B1814" s="43">
        <v>45869</v>
      </c>
      <c r="C1814" s="10" t="s">
        <v>1856</v>
      </c>
      <c r="D1814" s="10" t="s">
        <v>3</v>
      </c>
      <c r="E1814" s="10" t="s">
        <v>2</v>
      </c>
      <c r="F1814" s="10" t="s">
        <v>4</v>
      </c>
      <c r="G1814" s="10" t="s">
        <v>5</v>
      </c>
      <c r="H1814" s="10" t="s">
        <v>32</v>
      </c>
      <c r="I1814" s="45">
        <v>3118</v>
      </c>
      <c r="J1814" s="11">
        <v>1.2E-2</v>
      </c>
      <c r="K1814" s="45">
        <f t="shared" si="197"/>
        <v>3080.5839999999998</v>
      </c>
      <c r="L1814" s="10">
        <v>24</v>
      </c>
      <c r="M1814" s="10">
        <v>4.5</v>
      </c>
      <c r="N1814" s="10" t="b">
        <v>0</v>
      </c>
      <c r="O1814" s="41"/>
      <c r="P1814" s="45">
        <f t="shared" si="198"/>
        <v>1293.8452799999998</v>
      </c>
      <c r="Q1814" s="45">
        <f t="shared" si="199"/>
        <v>1786.7387200000001</v>
      </c>
      <c r="R1814" s="45">
        <v>0</v>
      </c>
      <c r="S1814" s="45">
        <f t="shared" si="200"/>
        <v>0</v>
      </c>
      <c r="T1814" s="45">
        <f t="shared" si="201"/>
        <v>0</v>
      </c>
      <c r="U1814" s="47">
        <f t="shared" si="202"/>
        <v>1786.7387200000001</v>
      </c>
    </row>
    <row r="1815" spans="1:21" x14ac:dyDescent="0.3">
      <c r="A1815" s="41" t="str">
        <f t="shared" si="196"/>
        <v>PGAPSH</v>
      </c>
      <c r="B1815" s="43">
        <v>45870</v>
      </c>
      <c r="C1815" s="10" t="s">
        <v>1857</v>
      </c>
      <c r="D1815" s="10" t="s">
        <v>53</v>
      </c>
      <c r="E1815" s="10" t="s">
        <v>18</v>
      </c>
      <c r="F1815" s="10" t="s">
        <v>4</v>
      </c>
      <c r="G1815" s="10" t="s">
        <v>38</v>
      </c>
      <c r="H1815" s="10" t="s">
        <v>16</v>
      </c>
      <c r="I1815" s="45">
        <v>4397</v>
      </c>
      <c r="J1815" s="11">
        <v>0</v>
      </c>
      <c r="K1815" s="45">
        <f t="shared" si="197"/>
        <v>4397</v>
      </c>
      <c r="L1815" s="10">
        <v>8</v>
      </c>
      <c r="M1815" s="10">
        <v>3.7</v>
      </c>
      <c r="N1815" s="10" t="b">
        <v>1</v>
      </c>
      <c r="O1815" s="41" t="s">
        <v>80</v>
      </c>
      <c r="P1815" s="45">
        <f t="shared" si="198"/>
        <v>1846.74</v>
      </c>
      <c r="Q1815" s="45">
        <f t="shared" si="199"/>
        <v>2550.2600000000002</v>
      </c>
      <c r="R1815" s="45">
        <v>150</v>
      </c>
      <c r="S1815" s="45">
        <f t="shared" si="200"/>
        <v>439.70000000000005</v>
      </c>
      <c r="T1815" s="45">
        <f t="shared" si="201"/>
        <v>4397</v>
      </c>
      <c r="U1815" s="47">
        <f t="shared" si="202"/>
        <v>-2436.4399999999996</v>
      </c>
    </row>
    <row r="1816" spans="1:21" x14ac:dyDescent="0.3">
      <c r="A1816" s="41" t="str">
        <f t="shared" si="196"/>
        <v>PZARBO</v>
      </c>
      <c r="B1816" s="43">
        <v>45870</v>
      </c>
      <c r="C1816" s="10" t="s">
        <v>1858</v>
      </c>
      <c r="D1816" s="10" t="s">
        <v>3</v>
      </c>
      <c r="E1816" s="10" t="s">
        <v>26</v>
      </c>
      <c r="F1816" s="10" t="s">
        <v>54</v>
      </c>
      <c r="G1816" s="10" t="s">
        <v>12</v>
      </c>
      <c r="H1816" s="10" t="s">
        <v>56</v>
      </c>
      <c r="I1816" s="45">
        <v>2666</v>
      </c>
      <c r="J1816" s="11">
        <v>0</v>
      </c>
      <c r="K1816" s="45">
        <f t="shared" si="197"/>
        <v>2666</v>
      </c>
      <c r="L1816" s="10">
        <v>16</v>
      </c>
      <c r="M1816" s="10">
        <v>4.3</v>
      </c>
      <c r="N1816" s="10" t="b">
        <v>0</v>
      </c>
      <c r="O1816" s="41"/>
      <c r="P1816" s="45">
        <f t="shared" si="198"/>
        <v>1119.72</v>
      </c>
      <c r="Q1816" s="45">
        <f t="shared" si="199"/>
        <v>1546.28</v>
      </c>
      <c r="R1816" s="45">
        <v>0</v>
      </c>
      <c r="S1816" s="45">
        <f t="shared" si="200"/>
        <v>0</v>
      </c>
      <c r="T1816" s="45">
        <f t="shared" si="201"/>
        <v>0</v>
      </c>
      <c r="U1816" s="47">
        <f t="shared" si="202"/>
        <v>1546.28</v>
      </c>
    </row>
    <row r="1817" spans="1:21" x14ac:dyDescent="0.3">
      <c r="A1817" s="41" t="str">
        <f t="shared" si="196"/>
        <v>PH&amp;MAC</v>
      </c>
      <c r="B1817" s="43">
        <v>45870</v>
      </c>
      <c r="C1817" s="10" t="s">
        <v>1859</v>
      </c>
      <c r="D1817" s="10" t="s">
        <v>37</v>
      </c>
      <c r="E1817" s="10" t="s">
        <v>15</v>
      </c>
      <c r="F1817" s="10" t="s">
        <v>11</v>
      </c>
      <c r="G1817" s="10" t="s">
        <v>7</v>
      </c>
      <c r="H1817" s="10" t="s">
        <v>6</v>
      </c>
      <c r="I1817" s="45">
        <v>331</v>
      </c>
      <c r="J1817" s="11">
        <v>0</v>
      </c>
      <c r="K1817" s="45">
        <f t="shared" si="197"/>
        <v>331</v>
      </c>
      <c r="L1817" s="10">
        <v>49</v>
      </c>
      <c r="M1817" s="10"/>
      <c r="N1817" s="10" t="b">
        <v>0</v>
      </c>
      <c r="O1817" s="41"/>
      <c r="P1817" s="45">
        <f t="shared" si="198"/>
        <v>139.01999999999998</v>
      </c>
      <c r="Q1817" s="45">
        <f t="shared" si="199"/>
        <v>191.98000000000002</v>
      </c>
      <c r="R1817" s="45">
        <v>0</v>
      </c>
      <c r="S1817" s="45">
        <f t="shared" si="200"/>
        <v>0</v>
      </c>
      <c r="T1817" s="45">
        <f t="shared" si="201"/>
        <v>0</v>
      </c>
      <c r="U1817" s="47">
        <f t="shared" si="202"/>
        <v>191.98000000000002</v>
      </c>
    </row>
    <row r="1818" spans="1:21" x14ac:dyDescent="0.3">
      <c r="A1818" s="41" t="str">
        <f t="shared" si="196"/>
        <v>PANNBO</v>
      </c>
      <c r="B1818" s="43">
        <v>45870</v>
      </c>
      <c r="C1818" s="10" t="s">
        <v>1860</v>
      </c>
      <c r="D1818" s="10" t="s">
        <v>42</v>
      </c>
      <c r="E1818" s="10" t="s">
        <v>26</v>
      </c>
      <c r="F1818" s="10" t="s">
        <v>54</v>
      </c>
      <c r="G1818" s="10" t="s">
        <v>12</v>
      </c>
      <c r="H1818" s="10" t="s">
        <v>56</v>
      </c>
      <c r="I1818" s="45">
        <v>2604</v>
      </c>
      <c r="J1818" s="11">
        <v>0.57899999999999996</v>
      </c>
      <c r="K1818" s="45">
        <f t="shared" si="197"/>
        <v>1096.2840000000001</v>
      </c>
      <c r="L1818" s="10">
        <v>8</v>
      </c>
      <c r="M1818" s="10">
        <v>1.7</v>
      </c>
      <c r="N1818" s="10" t="b">
        <v>1</v>
      </c>
      <c r="O1818" s="41" t="s">
        <v>309</v>
      </c>
      <c r="P1818" s="45">
        <f t="shared" si="198"/>
        <v>460.43928000000005</v>
      </c>
      <c r="Q1818" s="45">
        <f t="shared" si="199"/>
        <v>635.84472000000005</v>
      </c>
      <c r="R1818" s="45">
        <v>150</v>
      </c>
      <c r="S1818" s="45">
        <f t="shared" si="200"/>
        <v>109.62840000000001</v>
      </c>
      <c r="T1818" s="45">
        <f t="shared" si="201"/>
        <v>1096.2840000000001</v>
      </c>
      <c r="U1818" s="47">
        <f t="shared" si="202"/>
        <v>-720.06768000000011</v>
      </c>
    </row>
    <row r="1819" spans="1:21" x14ac:dyDescent="0.3">
      <c r="A1819" s="41" t="str">
        <f t="shared" si="196"/>
        <v>PH&amp;MSH</v>
      </c>
      <c r="B1819" s="43">
        <v>45871</v>
      </c>
      <c r="C1819" s="10" t="s">
        <v>1861</v>
      </c>
      <c r="D1819" s="10" t="s">
        <v>37</v>
      </c>
      <c r="E1819" s="10" t="s">
        <v>18</v>
      </c>
      <c r="F1819" s="10" t="s">
        <v>4</v>
      </c>
      <c r="G1819" s="10" t="s">
        <v>38</v>
      </c>
      <c r="H1819" s="10" t="s">
        <v>88</v>
      </c>
      <c r="I1819" s="45">
        <v>3979</v>
      </c>
      <c r="J1819" s="11">
        <v>0.55000000000000004</v>
      </c>
      <c r="K1819" s="45">
        <f t="shared" si="197"/>
        <v>1790.5499999999997</v>
      </c>
      <c r="L1819" s="10">
        <v>2</v>
      </c>
      <c r="M1819" s="10">
        <v>4.9000000000000004</v>
      </c>
      <c r="N1819" s="10" t="b">
        <v>1</v>
      </c>
      <c r="O1819" s="41" t="s">
        <v>50</v>
      </c>
      <c r="P1819" s="45">
        <f t="shared" si="198"/>
        <v>752.03099999999984</v>
      </c>
      <c r="Q1819" s="45">
        <f t="shared" si="199"/>
        <v>1038.5189999999998</v>
      </c>
      <c r="R1819" s="45">
        <v>150</v>
      </c>
      <c r="S1819" s="45">
        <f t="shared" si="200"/>
        <v>179.05499999999998</v>
      </c>
      <c r="T1819" s="45">
        <f t="shared" si="201"/>
        <v>1790.5499999999997</v>
      </c>
      <c r="U1819" s="47">
        <f t="shared" si="202"/>
        <v>-1081.0859999999998</v>
      </c>
    </row>
    <row r="1820" spans="1:21" x14ac:dyDescent="0.3">
      <c r="A1820" s="41" t="str">
        <f t="shared" si="196"/>
        <v>PMANDR</v>
      </c>
      <c r="B1820" s="43">
        <v>45871</v>
      </c>
      <c r="C1820" s="10" t="s">
        <v>1862</v>
      </c>
      <c r="D1820" s="10" t="s">
        <v>31</v>
      </c>
      <c r="E1820" s="10" t="s">
        <v>30</v>
      </c>
      <c r="F1820" s="10" t="s">
        <v>54</v>
      </c>
      <c r="G1820" s="10" t="s">
        <v>5</v>
      </c>
      <c r="H1820" s="10" t="s">
        <v>58</v>
      </c>
      <c r="I1820" s="45">
        <v>2368</v>
      </c>
      <c r="J1820" s="11">
        <v>0</v>
      </c>
      <c r="K1820" s="45">
        <f t="shared" si="197"/>
        <v>2368</v>
      </c>
      <c r="L1820" s="10">
        <v>42</v>
      </c>
      <c r="M1820" s="10">
        <v>1.6</v>
      </c>
      <c r="N1820" s="10" t="b">
        <v>0</v>
      </c>
      <c r="O1820" s="41"/>
      <c r="P1820" s="45">
        <f t="shared" si="198"/>
        <v>994.56</v>
      </c>
      <c r="Q1820" s="45">
        <f t="shared" si="199"/>
        <v>1373.44</v>
      </c>
      <c r="R1820" s="45">
        <v>0</v>
      </c>
      <c r="S1820" s="45">
        <f t="shared" si="200"/>
        <v>0</v>
      </c>
      <c r="T1820" s="45">
        <f t="shared" si="201"/>
        <v>0</v>
      </c>
      <c r="U1820" s="47">
        <f t="shared" si="202"/>
        <v>1373.44</v>
      </c>
    </row>
    <row r="1821" spans="1:21" x14ac:dyDescent="0.3">
      <c r="A1821" s="41" t="str">
        <f t="shared" si="196"/>
        <v>PH&amp;MSH</v>
      </c>
      <c r="B1821" s="43">
        <v>45871</v>
      </c>
      <c r="C1821" s="10" t="s">
        <v>1863</v>
      </c>
      <c r="D1821" s="10" t="s">
        <v>37</v>
      </c>
      <c r="E1821" s="10" t="s">
        <v>18</v>
      </c>
      <c r="F1821" s="10" t="s">
        <v>54</v>
      </c>
      <c r="G1821" s="10" t="s">
        <v>27</v>
      </c>
      <c r="H1821" s="10" t="s">
        <v>56</v>
      </c>
      <c r="I1821" s="45">
        <v>3677</v>
      </c>
      <c r="J1821" s="11">
        <v>0.15</v>
      </c>
      <c r="K1821" s="45">
        <f t="shared" si="197"/>
        <v>3125.45</v>
      </c>
      <c r="L1821" s="10">
        <v>17</v>
      </c>
      <c r="M1821" s="10"/>
      <c r="N1821" s="10" t="b">
        <v>0</v>
      </c>
      <c r="O1821" s="41"/>
      <c r="P1821" s="45">
        <f t="shared" si="198"/>
        <v>1312.6889999999999</v>
      </c>
      <c r="Q1821" s="45">
        <f t="shared" si="199"/>
        <v>1812.761</v>
      </c>
      <c r="R1821" s="45">
        <v>0</v>
      </c>
      <c r="S1821" s="45">
        <f t="shared" si="200"/>
        <v>0</v>
      </c>
      <c r="T1821" s="45">
        <f t="shared" si="201"/>
        <v>0</v>
      </c>
      <c r="U1821" s="47">
        <f t="shared" si="202"/>
        <v>1812.761</v>
      </c>
    </row>
    <row r="1822" spans="1:21" x14ac:dyDescent="0.3">
      <c r="A1822" s="41" t="str">
        <f t="shared" si="196"/>
        <v>PBANBO</v>
      </c>
      <c r="B1822" s="43">
        <v>45871</v>
      </c>
      <c r="C1822" s="10" t="s">
        <v>1864</v>
      </c>
      <c r="D1822" s="10" t="s">
        <v>21</v>
      </c>
      <c r="E1822" s="10" t="s">
        <v>26</v>
      </c>
      <c r="F1822" s="10" t="s">
        <v>54</v>
      </c>
      <c r="G1822" s="10" t="s">
        <v>46</v>
      </c>
      <c r="H1822" s="10" t="s">
        <v>28</v>
      </c>
      <c r="I1822" s="45">
        <v>2319</v>
      </c>
      <c r="J1822" s="11">
        <v>0</v>
      </c>
      <c r="K1822" s="45">
        <f t="shared" si="197"/>
        <v>2319</v>
      </c>
      <c r="L1822" s="10">
        <v>3</v>
      </c>
      <c r="M1822" s="10">
        <v>3.1</v>
      </c>
      <c r="N1822" s="10" t="b">
        <v>0</v>
      </c>
      <c r="O1822" s="41"/>
      <c r="P1822" s="45">
        <f t="shared" si="198"/>
        <v>973.98</v>
      </c>
      <c r="Q1822" s="45">
        <f t="shared" si="199"/>
        <v>1345.02</v>
      </c>
      <c r="R1822" s="45">
        <v>0</v>
      </c>
      <c r="S1822" s="45">
        <f t="shared" si="200"/>
        <v>0</v>
      </c>
      <c r="T1822" s="45">
        <f t="shared" si="201"/>
        <v>0</v>
      </c>
      <c r="U1822" s="47">
        <f t="shared" si="202"/>
        <v>1345.02</v>
      </c>
    </row>
    <row r="1823" spans="1:21" x14ac:dyDescent="0.3">
      <c r="A1823" s="41" t="str">
        <f t="shared" si="196"/>
        <v>PFOROU</v>
      </c>
      <c r="B1823" s="43">
        <v>45872</v>
      </c>
      <c r="C1823" s="10" t="s">
        <v>1865</v>
      </c>
      <c r="D1823" s="10" t="s">
        <v>65</v>
      </c>
      <c r="E1823" s="10" t="s">
        <v>2</v>
      </c>
      <c r="F1823" s="10" t="s">
        <v>11</v>
      </c>
      <c r="G1823" s="10" t="s">
        <v>27</v>
      </c>
      <c r="H1823" s="10" t="s">
        <v>35</v>
      </c>
      <c r="I1823" s="45">
        <v>3403</v>
      </c>
      <c r="J1823" s="11">
        <v>0</v>
      </c>
      <c r="K1823" s="45">
        <f t="shared" si="197"/>
        <v>3403</v>
      </c>
      <c r="L1823" s="10">
        <v>4</v>
      </c>
      <c r="M1823" s="10">
        <v>4.9000000000000004</v>
      </c>
      <c r="N1823" s="10" t="b">
        <v>1</v>
      </c>
      <c r="O1823" s="41" t="s">
        <v>44</v>
      </c>
      <c r="P1823" s="45">
        <f t="shared" si="198"/>
        <v>1429.26</v>
      </c>
      <c r="Q1823" s="45">
        <f t="shared" si="199"/>
        <v>1973.74</v>
      </c>
      <c r="R1823" s="45">
        <v>150</v>
      </c>
      <c r="S1823" s="45">
        <f t="shared" si="200"/>
        <v>340.3</v>
      </c>
      <c r="T1823" s="45">
        <f t="shared" si="201"/>
        <v>3403</v>
      </c>
      <c r="U1823" s="47">
        <f t="shared" si="202"/>
        <v>-1919.56</v>
      </c>
    </row>
    <row r="1824" spans="1:21" x14ac:dyDescent="0.3">
      <c r="A1824" s="41" t="str">
        <f t="shared" si="196"/>
        <v>PH&amp;MTO</v>
      </c>
      <c r="B1824" s="43">
        <v>45872</v>
      </c>
      <c r="C1824" s="10" t="s">
        <v>1866</v>
      </c>
      <c r="D1824" s="10" t="s">
        <v>37</v>
      </c>
      <c r="E1824" s="10" t="s">
        <v>9</v>
      </c>
      <c r="F1824" s="10" t="s">
        <v>11</v>
      </c>
      <c r="G1824" s="10" t="s">
        <v>38</v>
      </c>
      <c r="H1824" s="10" t="s">
        <v>16</v>
      </c>
      <c r="I1824" s="45">
        <v>977</v>
      </c>
      <c r="J1824" s="11">
        <v>0</v>
      </c>
      <c r="K1824" s="45">
        <f t="shared" si="197"/>
        <v>977</v>
      </c>
      <c r="L1824" s="10">
        <v>31</v>
      </c>
      <c r="M1824" s="10">
        <v>3.7</v>
      </c>
      <c r="N1824" s="10" t="b">
        <v>0</v>
      </c>
      <c r="O1824" s="41"/>
      <c r="P1824" s="45">
        <f t="shared" si="198"/>
        <v>410.34</v>
      </c>
      <c r="Q1824" s="45">
        <f t="shared" si="199"/>
        <v>566.66000000000008</v>
      </c>
      <c r="R1824" s="45">
        <v>0</v>
      </c>
      <c r="S1824" s="45">
        <f t="shared" si="200"/>
        <v>0</v>
      </c>
      <c r="T1824" s="45">
        <f t="shared" si="201"/>
        <v>0</v>
      </c>
      <c r="U1824" s="47">
        <f t="shared" si="202"/>
        <v>566.66000000000008</v>
      </c>
    </row>
    <row r="1825" spans="1:21" x14ac:dyDescent="0.3">
      <c r="A1825" s="41" t="str">
        <f t="shared" si="196"/>
        <v>PFORDR</v>
      </c>
      <c r="B1825" s="43">
        <v>45872</v>
      </c>
      <c r="C1825" s="10" t="s">
        <v>1867</v>
      </c>
      <c r="D1825" s="10" t="s">
        <v>65</v>
      </c>
      <c r="E1825" s="10" t="s">
        <v>30</v>
      </c>
      <c r="F1825" s="10" t="s">
        <v>54</v>
      </c>
      <c r="G1825" s="10" t="s">
        <v>5</v>
      </c>
      <c r="H1825" s="10" t="s">
        <v>43</v>
      </c>
      <c r="I1825" s="45">
        <v>2503</v>
      </c>
      <c r="J1825" s="11">
        <v>0.49399999999999999</v>
      </c>
      <c r="K1825" s="45">
        <f t="shared" si="197"/>
        <v>1266.518</v>
      </c>
      <c r="L1825" s="10">
        <v>45</v>
      </c>
      <c r="M1825" s="10">
        <v>2.2999999999999998</v>
      </c>
      <c r="N1825" s="10" t="b">
        <v>0</v>
      </c>
      <c r="O1825" s="41"/>
      <c r="P1825" s="45">
        <f t="shared" si="198"/>
        <v>531.93755999999996</v>
      </c>
      <c r="Q1825" s="45">
        <f t="shared" si="199"/>
        <v>734.58044000000007</v>
      </c>
      <c r="R1825" s="45">
        <v>0</v>
      </c>
      <c r="S1825" s="45">
        <f t="shared" si="200"/>
        <v>0</v>
      </c>
      <c r="T1825" s="45">
        <f t="shared" si="201"/>
        <v>0</v>
      </c>
      <c r="U1825" s="47">
        <f t="shared" si="202"/>
        <v>734.58044000000007</v>
      </c>
    </row>
    <row r="1826" spans="1:21" x14ac:dyDescent="0.3">
      <c r="A1826" s="41" t="str">
        <f t="shared" si="196"/>
        <v>PMANBO</v>
      </c>
      <c r="B1826" s="43">
        <v>45872</v>
      </c>
      <c r="C1826" s="10" t="s">
        <v>1868</v>
      </c>
      <c r="D1826" s="10" t="s">
        <v>31</v>
      </c>
      <c r="E1826" s="10" t="s">
        <v>26</v>
      </c>
      <c r="F1826" s="10" t="s">
        <v>54</v>
      </c>
      <c r="G1826" s="10" t="s">
        <v>27</v>
      </c>
      <c r="H1826" s="10" t="s">
        <v>58</v>
      </c>
      <c r="I1826" s="45">
        <v>2160</v>
      </c>
      <c r="J1826" s="11">
        <v>6.7000000000000004E-2</v>
      </c>
      <c r="K1826" s="45">
        <f t="shared" si="197"/>
        <v>2015.2800000000002</v>
      </c>
      <c r="L1826" s="10">
        <v>35</v>
      </c>
      <c r="M1826" s="10">
        <v>2.6</v>
      </c>
      <c r="N1826" s="10" t="b">
        <v>1</v>
      </c>
      <c r="O1826" s="41" t="s">
        <v>80</v>
      </c>
      <c r="P1826" s="45">
        <f t="shared" si="198"/>
        <v>846.41760000000011</v>
      </c>
      <c r="Q1826" s="45">
        <f t="shared" si="199"/>
        <v>1168.8624</v>
      </c>
      <c r="R1826" s="45">
        <v>150</v>
      </c>
      <c r="S1826" s="45">
        <f t="shared" si="200"/>
        <v>201.52800000000002</v>
      </c>
      <c r="T1826" s="45">
        <f t="shared" si="201"/>
        <v>2015.2800000000002</v>
      </c>
      <c r="U1826" s="47">
        <f t="shared" si="202"/>
        <v>-1197.9456000000002</v>
      </c>
    </row>
    <row r="1827" spans="1:21" x14ac:dyDescent="0.3">
      <c r="A1827" s="41" t="str">
        <f t="shared" si="196"/>
        <v>PGAPTO</v>
      </c>
      <c r="B1827" s="43">
        <v>45872</v>
      </c>
      <c r="C1827" s="10" t="s">
        <v>1869</v>
      </c>
      <c r="D1827" s="10" t="s">
        <v>53</v>
      </c>
      <c r="E1827" s="10" t="s">
        <v>9</v>
      </c>
      <c r="F1827" s="10" t="s">
        <v>11</v>
      </c>
      <c r="G1827" s="10" t="s">
        <v>46</v>
      </c>
      <c r="H1827" s="10" t="s">
        <v>28</v>
      </c>
      <c r="I1827" s="45">
        <v>949</v>
      </c>
      <c r="J1827" s="11">
        <v>0.48299999999999998</v>
      </c>
      <c r="K1827" s="45">
        <f t="shared" si="197"/>
        <v>490.63300000000004</v>
      </c>
      <c r="L1827" s="10">
        <v>9</v>
      </c>
      <c r="M1827" s="10">
        <v>1.1000000000000001</v>
      </c>
      <c r="N1827" s="10" t="b">
        <v>0</v>
      </c>
      <c r="O1827" s="41"/>
      <c r="P1827" s="45">
        <f t="shared" si="198"/>
        <v>206.06586000000001</v>
      </c>
      <c r="Q1827" s="45">
        <f t="shared" si="199"/>
        <v>284.56713999999999</v>
      </c>
      <c r="R1827" s="45">
        <v>0</v>
      </c>
      <c r="S1827" s="45">
        <f t="shared" si="200"/>
        <v>0</v>
      </c>
      <c r="T1827" s="45">
        <f t="shared" si="201"/>
        <v>0</v>
      </c>
      <c r="U1827" s="47">
        <f t="shared" si="202"/>
        <v>284.56713999999999</v>
      </c>
    </row>
    <row r="1828" spans="1:21" x14ac:dyDescent="0.3">
      <c r="A1828" s="41" t="str">
        <f t="shared" si="196"/>
        <v>PGAPOU</v>
      </c>
      <c r="B1828" s="43">
        <v>45873</v>
      </c>
      <c r="C1828" s="10" t="s">
        <v>1870</v>
      </c>
      <c r="D1828" s="10" t="s">
        <v>53</v>
      </c>
      <c r="E1828" s="10" t="s">
        <v>2</v>
      </c>
      <c r="F1828" s="10" t="s">
        <v>4</v>
      </c>
      <c r="G1828" s="10" t="s">
        <v>7</v>
      </c>
      <c r="H1828" s="10" t="s">
        <v>35</v>
      </c>
      <c r="I1828" s="45">
        <v>3368</v>
      </c>
      <c r="J1828" s="11">
        <v>0.16800000000000001</v>
      </c>
      <c r="K1828" s="45">
        <f t="shared" si="197"/>
        <v>2802.1759999999999</v>
      </c>
      <c r="L1828" s="10">
        <v>41</v>
      </c>
      <c r="M1828" s="10">
        <v>1.2</v>
      </c>
      <c r="N1828" s="10" t="b">
        <v>0</v>
      </c>
      <c r="O1828" s="41"/>
      <c r="P1828" s="45">
        <f t="shared" si="198"/>
        <v>1176.91392</v>
      </c>
      <c r="Q1828" s="45">
        <f t="shared" si="199"/>
        <v>1625.26208</v>
      </c>
      <c r="R1828" s="45">
        <v>0</v>
      </c>
      <c r="S1828" s="45">
        <f t="shared" si="200"/>
        <v>0</v>
      </c>
      <c r="T1828" s="45">
        <f t="shared" si="201"/>
        <v>0</v>
      </c>
      <c r="U1828" s="47">
        <f t="shared" si="202"/>
        <v>1625.26208</v>
      </c>
    </row>
    <row r="1829" spans="1:21" x14ac:dyDescent="0.3">
      <c r="A1829" s="41" t="str">
        <f t="shared" si="196"/>
        <v>PANNBO</v>
      </c>
      <c r="B1829" s="43">
        <v>45873</v>
      </c>
      <c r="C1829" s="10" t="s">
        <v>1871</v>
      </c>
      <c r="D1829" s="10" t="s">
        <v>42</v>
      </c>
      <c r="E1829" s="10" t="s">
        <v>26</v>
      </c>
      <c r="F1829" s="10" t="s">
        <v>23</v>
      </c>
      <c r="G1829" s="10" t="s">
        <v>38</v>
      </c>
      <c r="H1829" s="10" t="s">
        <v>28</v>
      </c>
      <c r="I1829" s="45">
        <v>2417</v>
      </c>
      <c r="J1829" s="11">
        <v>0.19899999999999998</v>
      </c>
      <c r="K1829" s="45">
        <f t="shared" si="197"/>
        <v>1936.0170000000001</v>
      </c>
      <c r="L1829" s="10">
        <v>46</v>
      </c>
      <c r="M1829" s="10">
        <v>1</v>
      </c>
      <c r="N1829" s="10" t="b">
        <v>0</v>
      </c>
      <c r="O1829" s="41"/>
      <c r="P1829" s="45">
        <f t="shared" si="198"/>
        <v>813.12713999999994</v>
      </c>
      <c r="Q1829" s="45">
        <f t="shared" si="199"/>
        <v>1122.8898600000002</v>
      </c>
      <c r="R1829" s="45">
        <v>0</v>
      </c>
      <c r="S1829" s="45">
        <f t="shared" si="200"/>
        <v>0</v>
      </c>
      <c r="T1829" s="45">
        <f t="shared" si="201"/>
        <v>0</v>
      </c>
      <c r="U1829" s="47">
        <f t="shared" si="202"/>
        <v>1122.8898600000002</v>
      </c>
    </row>
    <row r="1830" spans="1:21" x14ac:dyDescent="0.3">
      <c r="A1830" s="41" t="str">
        <f t="shared" si="196"/>
        <v>PFORSH</v>
      </c>
      <c r="B1830" s="43">
        <v>45873</v>
      </c>
      <c r="C1830" s="10" t="s">
        <v>1872</v>
      </c>
      <c r="D1830" s="10" t="s">
        <v>65</v>
      </c>
      <c r="E1830" s="10" t="s">
        <v>18</v>
      </c>
      <c r="F1830" s="10" t="s">
        <v>11</v>
      </c>
      <c r="G1830" s="10" t="s">
        <v>49</v>
      </c>
      <c r="H1830" s="10" t="s">
        <v>13</v>
      </c>
      <c r="I1830" s="45">
        <v>4049</v>
      </c>
      <c r="J1830" s="11">
        <v>0.27100000000000002</v>
      </c>
      <c r="K1830" s="45">
        <f t="shared" si="197"/>
        <v>2951.721</v>
      </c>
      <c r="L1830" s="10">
        <v>40</v>
      </c>
      <c r="M1830" s="10"/>
      <c r="N1830" s="10" t="b">
        <v>1</v>
      </c>
      <c r="O1830" s="41" t="s">
        <v>309</v>
      </c>
      <c r="P1830" s="45">
        <f t="shared" si="198"/>
        <v>1239.72282</v>
      </c>
      <c r="Q1830" s="45">
        <f t="shared" si="199"/>
        <v>1711.99818</v>
      </c>
      <c r="R1830" s="45">
        <v>150</v>
      </c>
      <c r="S1830" s="45">
        <f t="shared" si="200"/>
        <v>295.1721</v>
      </c>
      <c r="T1830" s="45">
        <f t="shared" si="201"/>
        <v>2951.721</v>
      </c>
      <c r="U1830" s="47">
        <f t="shared" si="202"/>
        <v>-1684.89492</v>
      </c>
    </row>
    <row r="1831" spans="1:21" x14ac:dyDescent="0.3">
      <c r="A1831" s="41" t="str">
        <f t="shared" si="196"/>
        <v>PFOROU</v>
      </c>
      <c r="B1831" s="43">
        <v>45874</v>
      </c>
      <c r="C1831" s="10" t="s">
        <v>1873</v>
      </c>
      <c r="D1831" s="10" t="s">
        <v>65</v>
      </c>
      <c r="E1831" s="10" t="s">
        <v>2</v>
      </c>
      <c r="F1831" s="10" t="s">
        <v>54</v>
      </c>
      <c r="G1831" s="10" t="s">
        <v>46</v>
      </c>
      <c r="H1831" s="10" t="s">
        <v>58</v>
      </c>
      <c r="I1831" s="45">
        <v>3092</v>
      </c>
      <c r="J1831" s="11">
        <v>5.9000000000000004E-2</v>
      </c>
      <c r="K1831" s="45">
        <f t="shared" si="197"/>
        <v>2909.5719999999997</v>
      </c>
      <c r="L1831" s="10">
        <v>13</v>
      </c>
      <c r="M1831" s="10">
        <v>1.2</v>
      </c>
      <c r="N1831" s="10" t="b">
        <v>0</v>
      </c>
      <c r="O1831" s="41"/>
      <c r="P1831" s="45">
        <f t="shared" si="198"/>
        <v>1222.0202399999998</v>
      </c>
      <c r="Q1831" s="45">
        <f t="shared" si="199"/>
        <v>1687.5517599999998</v>
      </c>
      <c r="R1831" s="45">
        <v>0</v>
      </c>
      <c r="S1831" s="45">
        <f t="shared" si="200"/>
        <v>0</v>
      </c>
      <c r="T1831" s="45">
        <f t="shared" si="201"/>
        <v>0</v>
      </c>
      <c r="U1831" s="47">
        <f t="shared" si="202"/>
        <v>1687.5517599999998</v>
      </c>
    </row>
    <row r="1832" spans="1:21" x14ac:dyDescent="0.3">
      <c r="A1832" s="41" t="str">
        <f t="shared" si="196"/>
        <v>PANNDR</v>
      </c>
      <c r="B1832" s="43">
        <v>45874</v>
      </c>
      <c r="C1832" s="10" t="s">
        <v>1874</v>
      </c>
      <c r="D1832" s="10" t="s">
        <v>42</v>
      </c>
      <c r="E1832" s="10" t="s">
        <v>30</v>
      </c>
      <c r="F1832" s="10" t="s">
        <v>4</v>
      </c>
      <c r="G1832" s="10" t="s">
        <v>38</v>
      </c>
      <c r="H1832" s="10" t="s">
        <v>32</v>
      </c>
      <c r="I1832" s="45">
        <v>2662</v>
      </c>
      <c r="J1832" s="11">
        <v>0</v>
      </c>
      <c r="K1832" s="45">
        <f t="shared" si="197"/>
        <v>2662</v>
      </c>
      <c r="L1832" s="10">
        <v>19</v>
      </c>
      <c r="M1832" s="10">
        <v>3</v>
      </c>
      <c r="N1832" s="10" t="b">
        <v>0</v>
      </c>
      <c r="O1832" s="41"/>
      <c r="P1832" s="45">
        <f t="shared" si="198"/>
        <v>1118.04</v>
      </c>
      <c r="Q1832" s="45">
        <f t="shared" si="199"/>
        <v>1543.96</v>
      </c>
      <c r="R1832" s="45">
        <v>0</v>
      </c>
      <c r="S1832" s="45">
        <f t="shared" si="200"/>
        <v>0</v>
      </c>
      <c r="T1832" s="45">
        <f t="shared" si="201"/>
        <v>0</v>
      </c>
      <c r="U1832" s="47">
        <f t="shared" si="202"/>
        <v>1543.96</v>
      </c>
    </row>
    <row r="1833" spans="1:21" x14ac:dyDescent="0.3">
      <c r="A1833" s="41" t="str">
        <f t="shared" si="196"/>
        <v>PBANSH</v>
      </c>
      <c r="B1833" s="43">
        <v>45874</v>
      </c>
      <c r="C1833" s="10" t="s">
        <v>1875</v>
      </c>
      <c r="D1833" s="10" t="s">
        <v>21</v>
      </c>
      <c r="E1833" s="10" t="s">
        <v>18</v>
      </c>
      <c r="F1833" s="10" t="s">
        <v>11</v>
      </c>
      <c r="G1833" s="10" t="s">
        <v>49</v>
      </c>
      <c r="H1833" s="10" t="s">
        <v>58</v>
      </c>
      <c r="I1833" s="45">
        <v>4335</v>
      </c>
      <c r="J1833" s="11">
        <v>0</v>
      </c>
      <c r="K1833" s="45">
        <f t="shared" si="197"/>
        <v>4335</v>
      </c>
      <c r="L1833" s="10">
        <v>0</v>
      </c>
      <c r="M1833" s="10"/>
      <c r="N1833" s="10" t="b">
        <v>0</v>
      </c>
      <c r="O1833" s="41"/>
      <c r="P1833" s="45">
        <f t="shared" si="198"/>
        <v>1820.7</v>
      </c>
      <c r="Q1833" s="45">
        <f t="shared" si="199"/>
        <v>2514.3000000000002</v>
      </c>
      <c r="R1833" s="45">
        <v>0</v>
      </c>
      <c r="S1833" s="45">
        <f t="shared" si="200"/>
        <v>0</v>
      </c>
      <c r="T1833" s="45">
        <f t="shared" si="201"/>
        <v>0</v>
      </c>
      <c r="U1833" s="47">
        <f t="shared" si="202"/>
        <v>2514.3000000000002</v>
      </c>
    </row>
    <row r="1834" spans="1:21" x14ac:dyDescent="0.3">
      <c r="A1834" s="41" t="str">
        <f t="shared" si="196"/>
        <v>PH&amp;MBO</v>
      </c>
      <c r="B1834" s="43">
        <v>45874</v>
      </c>
      <c r="C1834" s="10" t="s">
        <v>1876</v>
      </c>
      <c r="D1834" s="10" t="s">
        <v>37</v>
      </c>
      <c r="E1834" s="10" t="s">
        <v>26</v>
      </c>
      <c r="F1834" s="10" t="s">
        <v>54</v>
      </c>
      <c r="G1834" s="10" t="s">
        <v>38</v>
      </c>
      <c r="H1834" s="10" t="s">
        <v>35</v>
      </c>
      <c r="I1834" s="45">
        <v>2826</v>
      </c>
      <c r="J1834" s="11">
        <v>0</v>
      </c>
      <c r="K1834" s="45">
        <f t="shared" si="197"/>
        <v>2826</v>
      </c>
      <c r="L1834" s="10">
        <v>43</v>
      </c>
      <c r="M1834" s="10">
        <v>1.6</v>
      </c>
      <c r="N1834" s="10" t="b">
        <v>1</v>
      </c>
      <c r="O1834" s="41" t="s">
        <v>33</v>
      </c>
      <c r="P1834" s="45">
        <f t="shared" si="198"/>
        <v>1186.9199999999998</v>
      </c>
      <c r="Q1834" s="45">
        <f t="shared" si="199"/>
        <v>1639.0800000000002</v>
      </c>
      <c r="R1834" s="45">
        <v>150</v>
      </c>
      <c r="S1834" s="45">
        <f t="shared" si="200"/>
        <v>282.60000000000002</v>
      </c>
      <c r="T1834" s="45">
        <f t="shared" si="201"/>
        <v>2826</v>
      </c>
      <c r="U1834" s="47">
        <f t="shared" si="202"/>
        <v>-1619.52</v>
      </c>
    </row>
    <row r="1835" spans="1:21" x14ac:dyDescent="0.3">
      <c r="A1835" s="41" t="str">
        <f t="shared" si="196"/>
        <v>PANNTO</v>
      </c>
      <c r="B1835" s="43">
        <v>45875</v>
      </c>
      <c r="C1835" s="10" t="s">
        <v>1877</v>
      </c>
      <c r="D1835" s="10" t="s">
        <v>42</v>
      </c>
      <c r="E1835" s="10" t="s">
        <v>9</v>
      </c>
      <c r="F1835" s="10" t="s">
        <v>54</v>
      </c>
      <c r="G1835" s="10" t="s">
        <v>7</v>
      </c>
      <c r="H1835" s="10" t="s">
        <v>35</v>
      </c>
      <c r="I1835" s="45">
        <v>1286</v>
      </c>
      <c r="J1835" s="11">
        <v>0</v>
      </c>
      <c r="K1835" s="45">
        <f t="shared" si="197"/>
        <v>1286</v>
      </c>
      <c r="L1835" s="10">
        <v>1</v>
      </c>
      <c r="M1835" s="10">
        <v>5</v>
      </c>
      <c r="N1835" s="10" t="b">
        <v>0</v>
      </c>
      <c r="O1835" s="41"/>
      <c r="P1835" s="45">
        <f t="shared" si="198"/>
        <v>540.12</v>
      </c>
      <c r="Q1835" s="45">
        <f t="shared" si="199"/>
        <v>745.88</v>
      </c>
      <c r="R1835" s="45">
        <v>0</v>
      </c>
      <c r="S1835" s="45">
        <f t="shared" si="200"/>
        <v>0</v>
      </c>
      <c r="T1835" s="45">
        <f t="shared" si="201"/>
        <v>0</v>
      </c>
      <c r="U1835" s="47">
        <f t="shared" si="202"/>
        <v>745.88</v>
      </c>
    </row>
    <row r="1836" spans="1:21" x14ac:dyDescent="0.3">
      <c r="A1836" s="41" t="str">
        <f t="shared" si="196"/>
        <v>PBANSH</v>
      </c>
      <c r="B1836" s="43">
        <v>45875</v>
      </c>
      <c r="C1836" s="10" t="s">
        <v>1878</v>
      </c>
      <c r="D1836" s="10" t="s">
        <v>21</v>
      </c>
      <c r="E1836" s="10" t="s">
        <v>18</v>
      </c>
      <c r="F1836" s="10" t="s">
        <v>54</v>
      </c>
      <c r="G1836" s="10" t="s">
        <v>27</v>
      </c>
      <c r="H1836" s="10" t="s">
        <v>32</v>
      </c>
      <c r="I1836" s="45">
        <v>3639</v>
      </c>
      <c r="J1836" s="11">
        <v>0</v>
      </c>
      <c r="K1836" s="45">
        <f t="shared" si="197"/>
        <v>3639</v>
      </c>
      <c r="L1836" s="10">
        <v>47</v>
      </c>
      <c r="M1836" s="10">
        <v>3.9</v>
      </c>
      <c r="N1836" s="10" t="b">
        <v>0</v>
      </c>
      <c r="O1836" s="41"/>
      <c r="P1836" s="45">
        <f t="shared" si="198"/>
        <v>1528.3799999999999</v>
      </c>
      <c r="Q1836" s="45">
        <f t="shared" si="199"/>
        <v>2110.62</v>
      </c>
      <c r="R1836" s="45">
        <v>0</v>
      </c>
      <c r="S1836" s="45">
        <f t="shared" si="200"/>
        <v>0</v>
      </c>
      <c r="T1836" s="45">
        <f t="shared" si="201"/>
        <v>0</v>
      </c>
      <c r="U1836" s="47">
        <f t="shared" si="202"/>
        <v>2110.62</v>
      </c>
    </row>
    <row r="1837" spans="1:21" x14ac:dyDescent="0.3">
      <c r="A1837" s="41" t="str">
        <f t="shared" si="196"/>
        <v>PZAROU</v>
      </c>
      <c r="B1837" s="43">
        <v>45875</v>
      </c>
      <c r="C1837" s="10" t="s">
        <v>1879</v>
      </c>
      <c r="D1837" s="10" t="s">
        <v>3</v>
      </c>
      <c r="E1837" s="10" t="s">
        <v>2</v>
      </c>
      <c r="F1837" s="10" t="s">
        <v>23</v>
      </c>
      <c r="G1837" s="10" t="s">
        <v>49</v>
      </c>
      <c r="H1837" s="10" t="s">
        <v>6</v>
      </c>
      <c r="I1837" s="45">
        <v>3920</v>
      </c>
      <c r="J1837" s="11">
        <v>0.502</v>
      </c>
      <c r="K1837" s="45">
        <f t="shared" si="197"/>
        <v>1952.16</v>
      </c>
      <c r="L1837" s="10">
        <v>7</v>
      </c>
      <c r="M1837" s="10">
        <v>3</v>
      </c>
      <c r="N1837" s="10" t="b">
        <v>1</v>
      </c>
      <c r="O1837" s="41" t="s">
        <v>44</v>
      </c>
      <c r="P1837" s="45">
        <f t="shared" si="198"/>
        <v>819.90719999999999</v>
      </c>
      <c r="Q1837" s="45">
        <f t="shared" si="199"/>
        <v>1132.2528000000002</v>
      </c>
      <c r="R1837" s="45">
        <v>150</v>
      </c>
      <c r="S1837" s="45">
        <f t="shared" si="200"/>
        <v>195.21600000000001</v>
      </c>
      <c r="T1837" s="45">
        <f t="shared" si="201"/>
        <v>1952.16</v>
      </c>
      <c r="U1837" s="47">
        <f t="shared" si="202"/>
        <v>-1165.1232</v>
      </c>
    </row>
    <row r="1838" spans="1:21" x14ac:dyDescent="0.3">
      <c r="A1838" s="41" t="str">
        <f t="shared" si="196"/>
        <v>PMANTO</v>
      </c>
      <c r="B1838" s="43">
        <v>45875</v>
      </c>
      <c r="C1838" s="10" t="s">
        <v>1880</v>
      </c>
      <c r="D1838" s="10" t="s">
        <v>31</v>
      </c>
      <c r="E1838" s="10" t="s">
        <v>9</v>
      </c>
      <c r="F1838" s="10" t="s">
        <v>23</v>
      </c>
      <c r="G1838" s="10" t="s">
        <v>5</v>
      </c>
      <c r="H1838" s="10" t="s">
        <v>56</v>
      </c>
      <c r="I1838" s="45">
        <v>1437</v>
      </c>
      <c r="J1838" s="11">
        <v>0</v>
      </c>
      <c r="K1838" s="45">
        <f t="shared" si="197"/>
        <v>1437</v>
      </c>
      <c r="L1838" s="10">
        <v>41</v>
      </c>
      <c r="M1838" s="10">
        <v>4.3</v>
      </c>
      <c r="N1838" s="10" t="b">
        <v>1</v>
      </c>
      <c r="O1838" s="41" t="s">
        <v>33</v>
      </c>
      <c r="P1838" s="45">
        <f t="shared" si="198"/>
        <v>603.54</v>
      </c>
      <c r="Q1838" s="45">
        <f t="shared" si="199"/>
        <v>833.46</v>
      </c>
      <c r="R1838" s="45">
        <v>150</v>
      </c>
      <c r="S1838" s="45">
        <f t="shared" si="200"/>
        <v>143.70000000000002</v>
      </c>
      <c r="T1838" s="45">
        <f t="shared" si="201"/>
        <v>1437</v>
      </c>
      <c r="U1838" s="47">
        <f t="shared" si="202"/>
        <v>-897.24</v>
      </c>
    </row>
    <row r="1839" spans="1:21" x14ac:dyDescent="0.3">
      <c r="A1839" s="41" t="str">
        <f t="shared" si="196"/>
        <v>PFORSH</v>
      </c>
      <c r="B1839" s="43">
        <v>45876</v>
      </c>
      <c r="C1839" s="10" t="s">
        <v>1881</v>
      </c>
      <c r="D1839" s="10" t="s">
        <v>65</v>
      </c>
      <c r="E1839" s="10" t="s">
        <v>18</v>
      </c>
      <c r="F1839" s="10" t="s">
        <v>4</v>
      </c>
      <c r="G1839" s="10" t="s">
        <v>7</v>
      </c>
      <c r="H1839" s="10" t="s">
        <v>43</v>
      </c>
      <c r="I1839" s="45">
        <v>3294</v>
      </c>
      <c r="J1839" s="11">
        <v>0.43099999999999999</v>
      </c>
      <c r="K1839" s="45">
        <f t="shared" si="197"/>
        <v>1874.2859999999998</v>
      </c>
      <c r="L1839" s="10">
        <v>16</v>
      </c>
      <c r="M1839" s="10">
        <v>4.7</v>
      </c>
      <c r="N1839" s="10" t="b">
        <v>0</v>
      </c>
      <c r="O1839" s="41"/>
      <c r="P1839" s="45">
        <f t="shared" si="198"/>
        <v>787.20011999999986</v>
      </c>
      <c r="Q1839" s="45">
        <f t="shared" si="199"/>
        <v>1087.0858800000001</v>
      </c>
      <c r="R1839" s="45">
        <v>0</v>
      </c>
      <c r="S1839" s="45">
        <f t="shared" si="200"/>
        <v>0</v>
      </c>
      <c r="T1839" s="45">
        <f t="shared" si="201"/>
        <v>0</v>
      </c>
      <c r="U1839" s="47">
        <f t="shared" si="202"/>
        <v>1087.0858800000001</v>
      </c>
    </row>
    <row r="1840" spans="1:21" x14ac:dyDescent="0.3">
      <c r="A1840" s="41" t="str">
        <f t="shared" si="196"/>
        <v>PGAPAC</v>
      </c>
      <c r="B1840" s="43">
        <v>45876</v>
      </c>
      <c r="C1840" s="10" t="s">
        <v>1882</v>
      </c>
      <c r="D1840" s="10" t="s">
        <v>53</v>
      </c>
      <c r="E1840" s="10" t="s">
        <v>15</v>
      </c>
      <c r="F1840" s="10" t="s">
        <v>54</v>
      </c>
      <c r="G1840" s="10" t="s">
        <v>7</v>
      </c>
      <c r="H1840" s="10" t="s">
        <v>16</v>
      </c>
      <c r="I1840" s="45">
        <v>167</v>
      </c>
      <c r="J1840" s="11">
        <v>0.38</v>
      </c>
      <c r="K1840" s="45">
        <f t="shared" si="197"/>
        <v>103.54</v>
      </c>
      <c r="L1840" s="10">
        <v>49</v>
      </c>
      <c r="M1840" s="10">
        <v>2.8</v>
      </c>
      <c r="N1840" s="10" t="b">
        <v>1</v>
      </c>
      <c r="O1840" s="41" t="s">
        <v>33</v>
      </c>
      <c r="P1840" s="45">
        <f t="shared" si="198"/>
        <v>43.486800000000002</v>
      </c>
      <c r="Q1840" s="45">
        <f t="shared" si="199"/>
        <v>60.053200000000004</v>
      </c>
      <c r="R1840" s="45">
        <v>150</v>
      </c>
      <c r="S1840" s="45">
        <f t="shared" si="200"/>
        <v>10.354000000000001</v>
      </c>
      <c r="T1840" s="45">
        <f t="shared" si="201"/>
        <v>103.54</v>
      </c>
      <c r="U1840" s="47">
        <f t="shared" si="202"/>
        <v>-203.8408</v>
      </c>
    </row>
    <row r="1841" spans="1:21" x14ac:dyDescent="0.3">
      <c r="A1841" s="41" t="str">
        <f t="shared" si="196"/>
        <v>PZARSH</v>
      </c>
      <c r="B1841" s="43">
        <v>45876</v>
      </c>
      <c r="C1841" s="10" t="s">
        <v>1883</v>
      </c>
      <c r="D1841" s="10" t="s">
        <v>3</v>
      </c>
      <c r="E1841" s="10" t="s">
        <v>18</v>
      </c>
      <c r="F1841" s="10" t="s">
        <v>54</v>
      </c>
      <c r="G1841" s="10" t="s">
        <v>5</v>
      </c>
      <c r="H1841" s="10" t="s">
        <v>6</v>
      </c>
      <c r="I1841" s="45">
        <v>3855</v>
      </c>
      <c r="J1841" s="11">
        <v>0</v>
      </c>
      <c r="K1841" s="45">
        <f t="shared" si="197"/>
        <v>3855</v>
      </c>
      <c r="L1841" s="10">
        <v>18</v>
      </c>
      <c r="M1841" s="10">
        <v>3</v>
      </c>
      <c r="N1841" s="10" t="b">
        <v>0</v>
      </c>
      <c r="O1841" s="41"/>
      <c r="P1841" s="45">
        <f t="shared" si="198"/>
        <v>1619.1</v>
      </c>
      <c r="Q1841" s="45">
        <f t="shared" si="199"/>
        <v>2235.9</v>
      </c>
      <c r="R1841" s="45">
        <v>0</v>
      </c>
      <c r="S1841" s="45">
        <f t="shared" si="200"/>
        <v>0</v>
      </c>
      <c r="T1841" s="45">
        <f t="shared" si="201"/>
        <v>0</v>
      </c>
      <c r="U1841" s="47">
        <f t="shared" si="202"/>
        <v>2235.9</v>
      </c>
    </row>
    <row r="1842" spans="1:21" x14ac:dyDescent="0.3">
      <c r="A1842" s="41" t="str">
        <f t="shared" si="196"/>
        <v>PUNIBO</v>
      </c>
      <c r="B1842" s="43">
        <v>45877</v>
      </c>
      <c r="C1842" s="10" t="s">
        <v>1884</v>
      </c>
      <c r="D1842" s="10" t="s">
        <v>10</v>
      </c>
      <c r="E1842" s="10" t="s">
        <v>26</v>
      </c>
      <c r="F1842" s="10" t="s">
        <v>54</v>
      </c>
      <c r="G1842" s="10" t="s">
        <v>12</v>
      </c>
      <c r="H1842" s="10" t="s">
        <v>58</v>
      </c>
      <c r="I1842" s="45">
        <v>2901</v>
      </c>
      <c r="J1842" s="11">
        <v>0</v>
      </c>
      <c r="K1842" s="45">
        <f t="shared" si="197"/>
        <v>2901</v>
      </c>
      <c r="L1842" s="10">
        <v>45</v>
      </c>
      <c r="M1842" s="10">
        <v>1.8</v>
      </c>
      <c r="N1842" s="10" t="b">
        <v>1</v>
      </c>
      <c r="O1842" s="41" t="s">
        <v>33</v>
      </c>
      <c r="P1842" s="45">
        <f t="shared" si="198"/>
        <v>1218.4199999999998</v>
      </c>
      <c r="Q1842" s="45">
        <f t="shared" si="199"/>
        <v>1682.5800000000002</v>
      </c>
      <c r="R1842" s="45">
        <v>150</v>
      </c>
      <c r="S1842" s="45">
        <f t="shared" si="200"/>
        <v>290.10000000000002</v>
      </c>
      <c r="T1842" s="45">
        <f t="shared" si="201"/>
        <v>2901</v>
      </c>
      <c r="U1842" s="47">
        <f t="shared" si="202"/>
        <v>-1658.52</v>
      </c>
    </row>
    <row r="1843" spans="1:21" x14ac:dyDescent="0.3">
      <c r="A1843" s="41" t="str">
        <f t="shared" si="196"/>
        <v>PZARTO</v>
      </c>
      <c r="B1843" s="43">
        <v>45877</v>
      </c>
      <c r="C1843" s="10" t="s">
        <v>1885</v>
      </c>
      <c r="D1843" s="10" t="s">
        <v>3</v>
      </c>
      <c r="E1843" s="10" t="s">
        <v>9</v>
      </c>
      <c r="F1843" s="10" t="s">
        <v>11</v>
      </c>
      <c r="G1843" s="10" t="s">
        <v>46</v>
      </c>
      <c r="H1843" s="10" t="s">
        <v>47</v>
      </c>
      <c r="I1843" s="45">
        <v>1242</v>
      </c>
      <c r="J1843" s="11">
        <v>0</v>
      </c>
      <c r="K1843" s="45">
        <f t="shared" si="197"/>
        <v>1242</v>
      </c>
      <c r="L1843" s="10">
        <v>15</v>
      </c>
      <c r="M1843" s="10">
        <v>1.1000000000000001</v>
      </c>
      <c r="N1843" s="10" t="b">
        <v>0</v>
      </c>
      <c r="O1843" s="41"/>
      <c r="P1843" s="45">
        <f t="shared" si="198"/>
        <v>521.64</v>
      </c>
      <c r="Q1843" s="45">
        <f t="shared" si="199"/>
        <v>720.36</v>
      </c>
      <c r="R1843" s="45">
        <v>0</v>
      </c>
      <c r="S1843" s="45">
        <f t="shared" si="200"/>
        <v>0</v>
      </c>
      <c r="T1843" s="45">
        <f t="shared" si="201"/>
        <v>0</v>
      </c>
      <c r="U1843" s="47">
        <f t="shared" si="202"/>
        <v>720.36</v>
      </c>
    </row>
    <row r="1844" spans="1:21" x14ac:dyDescent="0.3">
      <c r="A1844" s="41" t="str">
        <f t="shared" si="196"/>
        <v>PGAPSH</v>
      </c>
      <c r="B1844" s="43">
        <v>45877</v>
      </c>
      <c r="C1844" s="10" t="s">
        <v>1886</v>
      </c>
      <c r="D1844" s="10" t="s">
        <v>53</v>
      </c>
      <c r="E1844" s="10" t="s">
        <v>18</v>
      </c>
      <c r="F1844" s="10" t="s">
        <v>54</v>
      </c>
      <c r="G1844" s="10" t="s">
        <v>5</v>
      </c>
      <c r="H1844" s="10" t="s">
        <v>35</v>
      </c>
      <c r="I1844" s="45">
        <v>4136</v>
      </c>
      <c r="J1844" s="11">
        <v>0</v>
      </c>
      <c r="K1844" s="45">
        <f t="shared" si="197"/>
        <v>4136</v>
      </c>
      <c r="L1844" s="10">
        <v>40</v>
      </c>
      <c r="M1844" s="10"/>
      <c r="N1844" s="10" t="b">
        <v>0</v>
      </c>
      <c r="O1844" s="41"/>
      <c r="P1844" s="45">
        <f t="shared" si="198"/>
        <v>1737.12</v>
      </c>
      <c r="Q1844" s="45">
        <f t="shared" si="199"/>
        <v>2398.88</v>
      </c>
      <c r="R1844" s="45">
        <v>0</v>
      </c>
      <c r="S1844" s="45">
        <f t="shared" si="200"/>
        <v>0</v>
      </c>
      <c r="T1844" s="45">
        <f t="shared" si="201"/>
        <v>0</v>
      </c>
      <c r="U1844" s="47">
        <f t="shared" si="202"/>
        <v>2398.88</v>
      </c>
    </row>
    <row r="1845" spans="1:21" x14ac:dyDescent="0.3">
      <c r="A1845" s="41" t="str">
        <f t="shared" si="196"/>
        <v>PMANDR</v>
      </c>
      <c r="B1845" s="43">
        <v>45877</v>
      </c>
      <c r="C1845" s="10" t="s">
        <v>1887</v>
      </c>
      <c r="D1845" s="10" t="s">
        <v>31</v>
      </c>
      <c r="E1845" s="10" t="s">
        <v>30</v>
      </c>
      <c r="F1845" s="10" t="s">
        <v>23</v>
      </c>
      <c r="G1845" s="10" t="s">
        <v>27</v>
      </c>
      <c r="H1845" s="10" t="s">
        <v>13</v>
      </c>
      <c r="I1845" s="45">
        <v>2176</v>
      </c>
      <c r="J1845" s="11">
        <v>0</v>
      </c>
      <c r="K1845" s="45">
        <f t="shared" si="197"/>
        <v>2176</v>
      </c>
      <c r="L1845" s="10">
        <v>5</v>
      </c>
      <c r="M1845" s="10">
        <v>1.6</v>
      </c>
      <c r="N1845" s="10" t="b">
        <v>0</v>
      </c>
      <c r="O1845" s="41"/>
      <c r="P1845" s="45">
        <f t="shared" si="198"/>
        <v>913.92</v>
      </c>
      <c r="Q1845" s="45">
        <f t="shared" si="199"/>
        <v>1262.08</v>
      </c>
      <c r="R1845" s="45">
        <v>0</v>
      </c>
      <c r="S1845" s="45">
        <f t="shared" si="200"/>
        <v>0</v>
      </c>
      <c r="T1845" s="45">
        <f t="shared" si="201"/>
        <v>0</v>
      </c>
      <c r="U1845" s="47">
        <f t="shared" si="202"/>
        <v>1262.08</v>
      </c>
    </row>
    <row r="1846" spans="1:21" x14ac:dyDescent="0.3">
      <c r="A1846" s="41" t="str">
        <f t="shared" si="196"/>
        <v>PGAPAC</v>
      </c>
      <c r="B1846" s="43">
        <v>45878</v>
      </c>
      <c r="C1846" s="10" t="s">
        <v>1888</v>
      </c>
      <c r="D1846" s="10" t="s">
        <v>53</v>
      </c>
      <c r="E1846" s="10" t="s">
        <v>15</v>
      </c>
      <c r="F1846" s="10" t="s">
        <v>54</v>
      </c>
      <c r="G1846" s="10" t="s">
        <v>7</v>
      </c>
      <c r="H1846" s="10" t="s">
        <v>32</v>
      </c>
      <c r="I1846" s="45">
        <v>363</v>
      </c>
      <c r="J1846" s="11">
        <v>0</v>
      </c>
      <c r="K1846" s="45">
        <f t="shared" si="197"/>
        <v>363</v>
      </c>
      <c r="L1846" s="10">
        <v>7</v>
      </c>
      <c r="M1846" s="10">
        <v>4</v>
      </c>
      <c r="N1846" s="10" t="b">
        <v>1</v>
      </c>
      <c r="O1846" s="41" t="s">
        <v>50</v>
      </c>
      <c r="P1846" s="45">
        <f t="shared" si="198"/>
        <v>152.46</v>
      </c>
      <c r="Q1846" s="45">
        <f t="shared" si="199"/>
        <v>210.54</v>
      </c>
      <c r="R1846" s="45">
        <v>150</v>
      </c>
      <c r="S1846" s="45">
        <f t="shared" si="200"/>
        <v>36.300000000000004</v>
      </c>
      <c r="T1846" s="45">
        <f t="shared" si="201"/>
        <v>363</v>
      </c>
      <c r="U1846" s="47">
        <f t="shared" si="202"/>
        <v>-338.76</v>
      </c>
    </row>
    <row r="1847" spans="1:21" x14ac:dyDescent="0.3">
      <c r="A1847" s="41" t="str">
        <f t="shared" si="196"/>
        <v>PGAPDR</v>
      </c>
      <c r="B1847" s="43">
        <v>45878</v>
      </c>
      <c r="C1847" s="10" t="s">
        <v>1889</v>
      </c>
      <c r="D1847" s="10" t="s">
        <v>53</v>
      </c>
      <c r="E1847" s="10" t="s">
        <v>30</v>
      </c>
      <c r="F1847" s="10" t="s">
        <v>23</v>
      </c>
      <c r="G1847" s="10" t="s">
        <v>5</v>
      </c>
      <c r="H1847" s="10" t="s">
        <v>58</v>
      </c>
      <c r="I1847" s="45">
        <v>2520</v>
      </c>
      <c r="J1847" s="11">
        <v>0</v>
      </c>
      <c r="K1847" s="45">
        <f t="shared" si="197"/>
        <v>2520</v>
      </c>
      <c r="L1847" s="10">
        <v>29</v>
      </c>
      <c r="M1847" s="10">
        <v>3.5</v>
      </c>
      <c r="N1847" s="10" t="b">
        <v>0</v>
      </c>
      <c r="O1847" s="41"/>
      <c r="P1847" s="45">
        <f t="shared" si="198"/>
        <v>1058.3999999999999</v>
      </c>
      <c r="Q1847" s="45">
        <f t="shared" si="199"/>
        <v>1461.6000000000001</v>
      </c>
      <c r="R1847" s="45">
        <v>0</v>
      </c>
      <c r="S1847" s="45">
        <f t="shared" si="200"/>
        <v>0</v>
      </c>
      <c r="T1847" s="45">
        <f t="shared" si="201"/>
        <v>0</v>
      </c>
      <c r="U1847" s="47">
        <f t="shared" si="202"/>
        <v>1461.6000000000001</v>
      </c>
    </row>
    <row r="1848" spans="1:21" x14ac:dyDescent="0.3">
      <c r="A1848" s="41" t="str">
        <f t="shared" si="196"/>
        <v>PH&amp;MBO</v>
      </c>
      <c r="B1848" s="43">
        <v>45878</v>
      </c>
      <c r="C1848" s="10" t="s">
        <v>1890</v>
      </c>
      <c r="D1848" s="10" t="s">
        <v>37</v>
      </c>
      <c r="E1848" s="10" t="s">
        <v>26</v>
      </c>
      <c r="F1848" s="10" t="s">
        <v>4</v>
      </c>
      <c r="G1848" s="10" t="s">
        <v>27</v>
      </c>
      <c r="H1848" s="10" t="s">
        <v>43</v>
      </c>
      <c r="I1848" s="45">
        <v>2012</v>
      </c>
      <c r="J1848" s="11">
        <v>0</v>
      </c>
      <c r="K1848" s="45">
        <f t="shared" si="197"/>
        <v>2012</v>
      </c>
      <c r="L1848" s="10">
        <v>10</v>
      </c>
      <c r="M1848" s="10"/>
      <c r="N1848" s="10" t="b">
        <v>0</v>
      </c>
      <c r="O1848" s="41"/>
      <c r="P1848" s="45">
        <f t="shared" si="198"/>
        <v>845.04</v>
      </c>
      <c r="Q1848" s="45">
        <f t="shared" si="199"/>
        <v>1166.96</v>
      </c>
      <c r="R1848" s="45">
        <v>0</v>
      </c>
      <c r="S1848" s="45">
        <f t="shared" si="200"/>
        <v>0</v>
      </c>
      <c r="T1848" s="45">
        <f t="shared" si="201"/>
        <v>0</v>
      </c>
      <c r="U1848" s="47">
        <f t="shared" si="202"/>
        <v>1166.96</v>
      </c>
    </row>
    <row r="1849" spans="1:21" x14ac:dyDescent="0.3">
      <c r="A1849" s="41" t="str">
        <f t="shared" si="196"/>
        <v>PFORDR</v>
      </c>
      <c r="B1849" s="43">
        <v>45878</v>
      </c>
      <c r="C1849" s="10" t="s">
        <v>1891</v>
      </c>
      <c r="D1849" s="10" t="s">
        <v>65</v>
      </c>
      <c r="E1849" s="10" t="s">
        <v>30</v>
      </c>
      <c r="F1849" s="10" t="s">
        <v>23</v>
      </c>
      <c r="G1849" s="10" t="s">
        <v>46</v>
      </c>
      <c r="H1849" s="10" t="s">
        <v>32</v>
      </c>
      <c r="I1849" s="45">
        <v>2298</v>
      </c>
      <c r="J1849" s="11">
        <v>0.54600000000000004</v>
      </c>
      <c r="K1849" s="45">
        <f t="shared" si="197"/>
        <v>1043.2919999999999</v>
      </c>
      <c r="L1849" s="10">
        <v>14</v>
      </c>
      <c r="M1849" s="10">
        <v>4.4000000000000004</v>
      </c>
      <c r="N1849" s="10" t="b">
        <v>1</v>
      </c>
      <c r="O1849" s="41" t="s">
        <v>33</v>
      </c>
      <c r="P1849" s="45">
        <f t="shared" si="198"/>
        <v>438.18263999999994</v>
      </c>
      <c r="Q1849" s="45">
        <f t="shared" si="199"/>
        <v>605.10935999999992</v>
      </c>
      <c r="R1849" s="45">
        <v>150</v>
      </c>
      <c r="S1849" s="45">
        <f t="shared" si="200"/>
        <v>104.3292</v>
      </c>
      <c r="T1849" s="45">
        <f t="shared" si="201"/>
        <v>1043.2919999999999</v>
      </c>
      <c r="U1849" s="47">
        <f t="shared" si="202"/>
        <v>-692.51184000000001</v>
      </c>
    </row>
    <row r="1850" spans="1:21" x14ac:dyDescent="0.3">
      <c r="A1850" s="41" t="str">
        <f t="shared" si="196"/>
        <v>PBANBO</v>
      </c>
      <c r="B1850" s="43">
        <v>45879</v>
      </c>
      <c r="C1850" s="10" t="s">
        <v>1892</v>
      </c>
      <c r="D1850" s="10" t="s">
        <v>21</v>
      </c>
      <c r="E1850" s="10" t="s">
        <v>26</v>
      </c>
      <c r="F1850" s="10" t="s">
        <v>23</v>
      </c>
      <c r="G1850" s="10" t="s">
        <v>49</v>
      </c>
      <c r="H1850" s="10" t="s">
        <v>32</v>
      </c>
      <c r="I1850" s="45">
        <v>2384</v>
      </c>
      <c r="J1850" s="11">
        <v>0.129</v>
      </c>
      <c r="K1850" s="45">
        <f t="shared" si="197"/>
        <v>2076.4639999999999</v>
      </c>
      <c r="L1850" s="10">
        <v>9</v>
      </c>
      <c r="M1850" s="10"/>
      <c r="N1850" s="10" t="b">
        <v>1</v>
      </c>
      <c r="O1850" s="41" t="s">
        <v>19</v>
      </c>
      <c r="P1850" s="45">
        <f t="shared" si="198"/>
        <v>872.11487999999997</v>
      </c>
      <c r="Q1850" s="45">
        <f t="shared" si="199"/>
        <v>1204.3491199999999</v>
      </c>
      <c r="R1850" s="45">
        <v>150</v>
      </c>
      <c r="S1850" s="45">
        <f t="shared" si="200"/>
        <v>207.6464</v>
      </c>
      <c r="T1850" s="45">
        <f t="shared" si="201"/>
        <v>2076.4639999999999</v>
      </c>
      <c r="U1850" s="47">
        <f t="shared" si="202"/>
        <v>-1229.7612800000002</v>
      </c>
    </row>
    <row r="1851" spans="1:21" x14ac:dyDescent="0.3">
      <c r="A1851" s="41" t="str">
        <f t="shared" si="196"/>
        <v>PH&amp;MBO</v>
      </c>
      <c r="B1851" s="43">
        <v>45879</v>
      </c>
      <c r="C1851" s="10" t="s">
        <v>1893</v>
      </c>
      <c r="D1851" s="10" t="s">
        <v>37</v>
      </c>
      <c r="E1851" s="10" t="s">
        <v>26</v>
      </c>
      <c r="F1851" s="10" t="s">
        <v>54</v>
      </c>
      <c r="G1851" s="10" t="s">
        <v>38</v>
      </c>
      <c r="H1851" s="10" t="s">
        <v>13</v>
      </c>
      <c r="I1851" s="45">
        <v>2825</v>
      </c>
      <c r="J1851" s="11">
        <v>0.43</v>
      </c>
      <c r="K1851" s="45">
        <f t="shared" si="197"/>
        <v>1610.2500000000002</v>
      </c>
      <c r="L1851" s="10">
        <v>30</v>
      </c>
      <c r="M1851" s="10">
        <v>3.5</v>
      </c>
      <c r="N1851" s="10" t="b">
        <v>1</v>
      </c>
      <c r="O1851" s="41" t="s">
        <v>33</v>
      </c>
      <c r="P1851" s="45">
        <f t="shared" si="198"/>
        <v>676.30500000000006</v>
      </c>
      <c r="Q1851" s="45">
        <f t="shared" si="199"/>
        <v>933.94500000000016</v>
      </c>
      <c r="R1851" s="45">
        <v>150</v>
      </c>
      <c r="S1851" s="45">
        <f t="shared" si="200"/>
        <v>161.02500000000003</v>
      </c>
      <c r="T1851" s="45">
        <f t="shared" si="201"/>
        <v>1610.2500000000002</v>
      </c>
      <c r="U1851" s="47">
        <f t="shared" si="202"/>
        <v>-987.33000000000015</v>
      </c>
    </row>
    <row r="1852" spans="1:21" x14ac:dyDescent="0.3">
      <c r="A1852" s="41" t="str">
        <f t="shared" si="196"/>
        <v>PANNAC</v>
      </c>
      <c r="B1852" s="43">
        <v>45879</v>
      </c>
      <c r="C1852" s="10" t="s">
        <v>1894</v>
      </c>
      <c r="D1852" s="10" t="s">
        <v>42</v>
      </c>
      <c r="E1852" s="10" t="s">
        <v>15</v>
      </c>
      <c r="F1852" s="10" t="s">
        <v>11</v>
      </c>
      <c r="G1852" s="10" t="s">
        <v>7</v>
      </c>
      <c r="H1852" s="10" t="s">
        <v>35</v>
      </c>
      <c r="I1852" s="45">
        <v>425</v>
      </c>
      <c r="J1852" s="11">
        <v>6.0999999999999999E-2</v>
      </c>
      <c r="K1852" s="45">
        <f t="shared" si="197"/>
        <v>399.07500000000005</v>
      </c>
      <c r="L1852" s="10">
        <v>31</v>
      </c>
      <c r="M1852" s="10"/>
      <c r="N1852" s="10" t="b">
        <v>0</v>
      </c>
      <c r="O1852" s="41"/>
      <c r="P1852" s="45">
        <f t="shared" si="198"/>
        <v>167.61150000000001</v>
      </c>
      <c r="Q1852" s="45">
        <f t="shared" si="199"/>
        <v>231.46350000000004</v>
      </c>
      <c r="R1852" s="45">
        <v>0</v>
      </c>
      <c r="S1852" s="45">
        <f t="shared" si="200"/>
        <v>0</v>
      </c>
      <c r="T1852" s="45">
        <f t="shared" si="201"/>
        <v>0</v>
      </c>
      <c r="U1852" s="47">
        <f t="shared" si="202"/>
        <v>231.46350000000004</v>
      </c>
    </row>
    <row r="1853" spans="1:21" x14ac:dyDescent="0.3">
      <c r="A1853" s="41" t="str">
        <f t="shared" si="196"/>
        <v>PGAPBO</v>
      </c>
      <c r="B1853" s="43">
        <v>45880</v>
      </c>
      <c r="C1853" s="10" t="s">
        <v>1895</v>
      </c>
      <c r="D1853" s="10" t="s">
        <v>53</v>
      </c>
      <c r="E1853" s="10" t="s">
        <v>26</v>
      </c>
      <c r="F1853" s="10" t="s">
        <v>11</v>
      </c>
      <c r="G1853" s="10" t="s">
        <v>46</v>
      </c>
      <c r="H1853" s="10" t="s">
        <v>13</v>
      </c>
      <c r="I1853" s="45">
        <v>2522</v>
      </c>
      <c r="J1853" s="11">
        <v>0</v>
      </c>
      <c r="K1853" s="45">
        <f t="shared" si="197"/>
        <v>2522</v>
      </c>
      <c r="L1853" s="10">
        <v>41</v>
      </c>
      <c r="M1853" s="10">
        <v>4</v>
      </c>
      <c r="N1853" s="10" t="b">
        <v>1</v>
      </c>
      <c r="O1853" s="41" t="s">
        <v>33</v>
      </c>
      <c r="P1853" s="45">
        <f t="shared" si="198"/>
        <v>1059.24</v>
      </c>
      <c r="Q1853" s="45">
        <f t="shared" si="199"/>
        <v>1462.76</v>
      </c>
      <c r="R1853" s="45">
        <v>150</v>
      </c>
      <c r="S1853" s="45">
        <f t="shared" si="200"/>
        <v>252.20000000000002</v>
      </c>
      <c r="T1853" s="45">
        <f t="shared" si="201"/>
        <v>2522</v>
      </c>
      <c r="U1853" s="47">
        <f t="shared" si="202"/>
        <v>-1461.44</v>
      </c>
    </row>
    <row r="1854" spans="1:21" x14ac:dyDescent="0.3">
      <c r="A1854" s="41" t="str">
        <f t="shared" si="196"/>
        <v>PGAPAC</v>
      </c>
      <c r="B1854" s="43">
        <v>45880</v>
      </c>
      <c r="C1854" s="10" t="s">
        <v>1896</v>
      </c>
      <c r="D1854" s="10" t="s">
        <v>53</v>
      </c>
      <c r="E1854" s="10" t="s">
        <v>15</v>
      </c>
      <c r="F1854" s="10" t="s">
        <v>23</v>
      </c>
      <c r="G1854" s="10" t="s">
        <v>7</v>
      </c>
      <c r="H1854" s="10" t="s">
        <v>35</v>
      </c>
      <c r="I1854" s="45">
        <v>291</v>
      </c>
      <c r="J1854" s="11">
        <v>6.4000000000000001E-2</v>
      </c>
      <c r="K1854" s="45">
        <f t="shared" si="197"/>
        <v>272.37599999999998</v>
      </c>
      <c r="L1854" s="10">
        <v>45</v>
      </c>
      <c r="M1854" s="10"/>
      <c r="N1854" s="10" t="b">
        <v>1</v>
      </c>
      <c r="O1854" s="41" t="s">
        <v>33</v>
      </c>
      <c r="P1854" s="45">
        <f t="shared" si="198"/>
        <v>114.39791999999998</v>
      </c>
      <c r="Q1854" s="45">
        <f t="shared" si="199"/>
        <v>157.97807999999998</v>
      </c>
      <c r="R1854" s="45">
        <v>150</v>
      </c>
      <c r="S1854" s="45">
        <f t="shared" si="200"/>
        <v>27.2376</v>
      </c>
      <c r="T1854" s="45">
        <f t="shared" si="201"/>
        <v>272.37599999999998</v>
      </c>
      <c r="U1854" s="47">
        <f t="shared" si="202"/>
        <v>-291.63551999999999</v>
      </c>
    </row>
    <row r="1855" spans="1:21" x14ac:dyDescent="0.3">
      <c r="A1855" s="41" t="str">
        <f t="shared" si="196"/>
        <v>PANNTO</v>
      </c>
      <c r="B1855" s="43">
        <v>45880</v>
      </c>
      <c r="C1855" s="10" t="s">
        <v>1897</v>
      </c>
      <c r="D1855" s="10" t="s">
        <v>42</v>
      </c>
      <c r="E1855" s="10" t="s">
        <v>9</v>
      </c>
      <c r="F1855" s="10" t="s">
        <v>54</v>
      </c>
      <c r="G1855" s="10" t="s">
        <v>27</v>
      </c>
      <c r="H1855" s="10" t="s">
        <v>88</v>
      </c>
      <c r="I1855" s="45">
        <v>1293</v>
      </c>
      <c r="J1855" s="11">
        <v>7.400000000000001E-2</v>
      </c>
      <c r="K1855" s="45">
        <f t="shared" si="197"/>
        <v>1197.318</v>
      </c>
      <c r="L1855" s="10">
        <v>31</v>
      </c>
      <c r="M1855" s="10">
        <v>3.8</v>
      </c>
      <c r="N1855" s="10" t="b">
        <v>0</v>
      </c>
      <c r="O1855" s="41"/>
      <c r="P1855" s="45">
        <f t="shared" si="198"/>
        <v>502.87356</v>
      </c>
      <c r="Q1855" s="45">
        <f t="shared" si="199"/>
        <v>694.44443999999999</v>
      </c>
      <c r="R1855" s="45">
        <v>0</v>
      </c>
      <c r="S1855" s="45">
        <f t="shared" si="200"/>
        <v>0</v>
      </c>
      <c r="T1855" s="45">
        <f t="shared" si="201"/>
        <v>0</v>
      </c>
      <c r="U1855" s="47">
        <f t="shared" si="202"/>
        <v>694.44443999999999</v>
      </c>
    </row>
    <row r="1856" spans="1:21" x14ac:dyDescent="0.3">
      <c r="A1856" s="41" t="str">
        <f t="shared" si="196"/>
        <v>PFORDR</v>
      </c>
      <c r="B1856" s="43">
        <v>45880</v>
      </c>
      <c r="C1856" s="10" t="s">
        <v>1898</v>
      </c>
      <c r="D1856" s="10" t="s">
        <v>65</v>
      </c>
      <c r="E1856" s="10" t="s">
        <v>30</v>
      </c>
      <c r="F1856" s="10" t="s">
        <v>11</v>
      </c>
      <c r="G1856" s="10" t="s">
        <v>7</v>
      </c>
      <c r="H1856" s="10" t="s">
        <v>32</v>
      </c>
      <c r="I1856" s="45">
        <v>2063</v>
      </c>
      <c r="J1856" s="11">
        <v>0</v>
      </c>
      <c r="K1856" s="45">
        <f t="shared" si="197"/>
        <v>2063</v>
      </c>
      <c r="L1856" s="10">
        <v>1</v>
      </c>
      <c r="M1856" s="10">
        <v>3.7</v>
      </c>
      <c r="N1856" s="10" t="b">
        <v>1</v>
      </c>
      <c r="O1856" s="41" t="s">
        <v>44</v>
      </c>
      <c r="P1856" s="45">
        <f t="shared" si="198"/>
        <v>866.45999999999992</v>
      </c>
      <c r="Q1856" s="45">
        <f t="shared" si="199"/>
        <v>1196.54</v>
      </c>
      <c r="R1856" s="45">
        <v>150</v>
      </c>
      <c r="S1856" s="45">
        <f t="shared" si="200"/>
        <v>206.3</v>
      </c>
      <c r="T1856" s="45">
        <f t="shared" si="201"/>
        <v>2063</v>
      </c>
      <c r="U1856" s="47">
        <f t="shared" si="202"/>
        <v>-1222.76</v>
      </c>
    </row>
    <row r="1857" spans="1:21" x14ac:dyDescent="0.3">
      <c r="A1857" s="41" t="str">
        <f t="shared" si="196"/>
        <v>PMANBO</v>
      </c>
      <c r="B1857" s="43">
        <v>45881</v>
      </c>
      <c r="C1857" s="10" t="s">
        <v>1899</v>
      </c>
      <c r="D1857" s="10" t="s">
        <v>31</v>
      </c>
      <c r="E1857" s="10" t="s">
        <v>26</v>
      </c>
      <c r="F1857" s="10" t="s">
        <v>4</v>
      </c>
      <c r="G1857" s="10" t="s">
        <v>12</v>
      </c>
      <c r="H1857" s="10" t="s">
        <v>58</v>
      </c>
      <c r="I1857" s="45">
        <v>2294</v>
      </c>
      <c r="J1857" s="11">
        <v>0.56299999999999994</v>
      </c>
      <c r="K1857" s="45">
        <f t="shared" si="197"/>
        <v>1002.4780000000002</v>
      </c>
      <c r="L1857" s="10">
        <v>20</v>
      </c>
      <c r="M1857" s="10">
        <v>1.3</v>
      </c>
      <c r="N1857" s="10" t="b">
        <v>0</v>
      </c>
      <c r="O1857" s="41"/>
      <c r="P1857" s="45">
        <f t="shared" si="198"/>
        <v>421.04076000000003</v>
      </c>
      <c r="Q1857" s="45">
        <f t="shared" si="199"/>
        <v>581.4372400000002</v>
      </c>
      <c r="R1857" s="45">
        <v>0</v>
      </c>
      <c r="S1857" s="45">
        <f t="shared" si="200"/>
        <v>0</v>
      </c>
      <c r="T1857" s="45">
        <f t="shared" si="201"/>
        <v>0</v>
      </c>
      <c r="U1857" s="47">
        <f t="shared" si="202"/>
        <v>581.4372400000002</v>
      </c>
    </row>
    <row r="1858" spans="1:21" x14ac:dyDescent="0.3">
      <c r="A1858" s="41" t="str">
        <f t="shared" ref="A1858:A1921" si="203">UPPER("P"&amp;LEFT(D1858,3)&amp;LEFT(E1858,2))</f>
        <v>PMANBO</v>
      </c>
      <c r="B1858" s="43">
        <v>45881</v>
      </c>
      <c r="C1858" s="10" t="s">
        <v>1900</v>
      </c>
      <c r="D1858" s="10" t="s">
        <v>31</v>
      </c>
      <c r="E1858" s="10" t="s">
        <v>26</v>
      </c>
      <c r="F1858" s="10" t="s">
        <v>54</v>
      </c>
      <c r="G1858" s="10" t="s">
        <v>38</v>
      </c>
      <c r="H1858" s="10" t="s">
        <v>56</v>
      </c>
      <c r="I1858" s="45">
        <v>2941</v>
      </c>
      <c r="J1858" s="11">
        <v>0</v>
      </c>
      <c r="K1858" s="45">
        <f t="shared" si="197"/>
        <v>2941</v>
      </c>
      <c r="L1858" s="10">
        <v>50</v>
      </c>
      <c r="M1858" s="10">
        <v>2.9</v>
      </c>
      <c r="N1858" s="10" t="b">
        <v>0</v>
      </c>
      <c r="O1858" s="41"/>
      <c r="P1858" s="45">
        <f t="shared" si="198"/>
        <v>1235.22</v>
      </c>
      <c r="Q1858" s="45">
        <f t="shared" si="199"/>
        <v>1705.78</v>
      </c>
      <c r="R1858" s="45">
        <v>0</v>
      </c>
      <c r="S1858" s="45">
        <f t="shared" si="200"/>
        <v>0</v>
      </c>
      <c r="T1858" s="45">
        <f t="shared" si="201"/>
        <v>0</v>
      </c>
      <c r="U1858" s="47">
        <f t="shared" si="202"/>
        <v>1705.78</v>
      </c>
    </row>
    <row r="1859" spans="1:21" x14ac:dyDescent="0.3">
      <c r="A1859" s="41" t="str">
        <f t="shared" si="203"/>
        <v>PANNBO</v>
      </c>
      <c r="B1859" s="43">
        <v>45881</v>
      </c>
      <c r="C1859" s="10" t="s">
        <v>1901</v>
      </c>
      <c r="D1859" s="10" t="s">
        <v>42</v>
      </c>
      <c r="E1859" s="10" t="s">
        <v>26</v>
      </c>
      <c r="F1859" s="10" t="s">
        <v>4</v>
      </c>
      <c r="G1859" s="10" t="s">
        <v>7</v>
      </c>
      <c r="H1859" s="10" t="s">
        <v>28</v>
      </c>
      <c r="I1859" s="45">
        <v>2171</v>
      </c>
      <c r="J1859" s="11">
        <v>0.14699999999999999</v>
      </c>
      <c r="K1859" s="45">
        <f t="shared" ref="K1859:K1922" si="204">I1859*(1-J1859)</f>
        <v>1851.8630000000001</v>
      </c>
      <c r="L1859" s="10">
        <v>15</v>
      </c>
      <c r="M1859" s="10">
        <v>3.1</v>
      </c>
      <c r="N1859" s="10" t="b">
        <v>1</v>
      </c>
      <c r="O1859" s="41" t="s">
        <v>33</v>
      </c>
      <c r="P1859" s="45">
        <f t="shared" ref="P1859:P1922" si="205">K1859*0.42</f>
        <v>777.78246000000001</v>
      </c>
      <c r="Q1859" s="45">
        <f t="shared" ref="Q1859:Q1922" si="206">K1859-P1859</f>
        <v>1074.0805399999999</v>
      </c>
      <c r="R1859" s="45">
        <v>150</v>
      </c>
      <c r="S1859" s="45">
        <f t="shared" ref="S1859:S1922" si="207">IF(N1859=TRUE,K1859*0.1,0)</f>
        <v>185.18630000000002</v>
      </c>
      <c r="T1859" s="45">
        <f t="shared" ref="T1859:T1922" si="208">IF(N1859=TRUE,K1859,0)</f>
        <v>1851.8630000000001</v>
      </c>
      <c r="U1859" s="47">
        <f t="shared" ref="U1859:U1922" si="209">Q1859-R1859-S1859-T1859</f>
        <v>-1112.9687600000002</v>
      </c>
    </row>
    <row r="1860" spans="1:21" x14ac:dyDescent="0.3">
      <c r="A1860" s="41" t="str">
        <f t="shared" si="203"/>
        <v>PGAPDR</v>
      </c>
      <c r="B1860" s="43">
        <v>45881</v>
      </c>
      <c r="C1860" s="10" t="s">
        <v>1902</v>
      </c>
      <c r="D1860" s="10" t="s">
        <v>53</v>
      </c>
      <c r="E1860" s="10" t="s">
        <v>30</v>
      </c>
      <c r="F1860" s="10" t="s">
        <v>54</v>
      </c>
      <c r="G1860" s="10" t="s">
        <v>38</v>
      </c>
      <c r="H1860" s="10" t="s">
        <v>88</v>
      </c>
      <c r="I1860" s="45">
        <v>2845</v>
      </c>
      <c r="J1860" s="11">
        <v>0.34</v>
      </c>
      <c r="K1860" s="45">
        <f t="shared" si="204"/>
        <v>1877.6999999999998</v>
      </c>
      <c r="L1860" s="10">
        <v>24</v>
      </c>
      <c r="M1860" s="10">
        <v>1.7</v>
      </c>
      <c r="N1860" s="10" t="b">
        <v>1</v>
      </c>
      <c r="O1860" s="41" t="s">
        <v>44</v>
      </c>
      <c r="P1860" s="45">
        <f t="shared" si="205"/>
        <v>788.6339999999999</v>
      </c>
      <c r="Q1860" s="45">
        <f t="shared" si="206"/>
        <v>1089.0659999999998</v>
      </c>
      <c r="R1860" s="45">
        <v>150</v>
      </c>
      <c r="S1860" s="45">
        <f t="shared" si="207"/>
        <v>187.76999999999998</v>
      </c>
      <c r="T1860" s="45">
        <f t="shared" si="208"/>
        <v>1877.6999999999998</v>
      </c>
      <c r="U1860" s="47">
        <f t="shared" si="209"/>
        <v>-1126.404</v>
      </c>
    </row>
    <row r="1861" spans="1:21" x14ac:dyDescent="0.3">
      <c r="A1861" s="41" t="str">
        <f t="shared" si="203"/>
        <v>PANNDR</v>
      </c>
      <c r="B1861" s="43">
        <v>45882</v>
      </c>
      <c r="C1861" s="10" t="s">
        <v>1903</v>
      </c>
      <c r="D1861" s="10" t="s">
        <v>42</v>
      </c>
      <c r="E1861" s="10" t="s">
        <v>30</v>
      </c>
      <c r="F1861" s="10" t="s">
        <v>54</v>
      </c>
      <c r="G1861" s="10" t="s">
        <v>27</v>
      </c>
      <c r="H1861" s="10" t="s">
        <v>28</v>
      </c>
      <c r="I1861" s="45">
        <v>2825</v>
      </c>
      <c r="J1861" s="11">
        <v>0</v>
      </c>
      <c r="K1861" s="45">
        <f t="shared" si="204"/>
        <v>2825</v>
      </c>
      <c r="L1861" s="10">
        <v>15</v>
      </c>
      <c r="M1861" s="10">
        <v>4.0999999999999996</v>
      </c>
      <c r="N1861" s="10" t="b">
        <v>0</v>
      </c>
      <c r="O1861" s="41"/>
      <c r="P1861" s="45">
        <f t="shared" si="205"/>
        <v>1186.5</v>
      </c>
      <c r="Q1861" s="45">
        <f t="shared" si="206"/>
        <v>1638.5</v>
      </c>
      <c r="R1861" s="45">
        <v>0</v>
      </c>
      <c r="S1861" s="45">
        <f t="shared" si="207"/>
        <v>0</v>
      </c>
      <c r="T1861" s="45">
        <f t="shared" si="208"/>
        <v>0</v>
      </c>
      <c r="U1861" s="47">
        <f t="shared" si="209"/>
        <v>1638.5</v>
      </c>
    </row>
    <row r="1862" spans="1:21" x14ac:dyDescent="0.3">
      <c r="A1862" s="41" t="str">
        <f t="shared" si="203"/>
        <v>PFORAC</v>
      </c>
      <c r="B1862" s="43">
        <v>45882</v>
      </c>
      <c r="C1862" s="10" t="s">
        <v>1904</v>
      </c>
      <c r="D1862" s="10" t="s">
        <v>65</v>
      </c>
      <c r="E1862" s="10" t="s">
        <v>15</v>
      </c>
      <c r="F1862" s="10" t="s">
        <v>4</v>
      </c>
      <c r="G1862" s="10" t="s">
        <v>7</v>
      </c>
      <c r="H1862" s="10" t="s">
        <v>56</v>
      </c>
      <c r="I1862" s="45">
        <v>223</v>
      </c>
      <c r="J1862" s="11">
        <v>0</v>
      </c>
      <c r="K1862" s="45">
        <f t="shared" si="204"/>
        <v>223</v>
      </c>
      <c r="L1862" s="10">
        <v>38</v>
      </c>
      <c r="M1862" s="10">
        <v>1.6</v>
      </c>
      <c r="N1862" s="10" t="b">
        <v>0</v>
      </c>
      <c r="O1862" s="41"/>
      <c r="P1862" s="45">
        <f t="shared" si="205"/>
        <v>93.66</v>
      </c>
      <c r="Q1862" s="45">
        <f t="shared" si="206"/>
        <v>129.34</v>
      </c>
      <c r="R1862" s="45">
        <v>0</v>
      </c>
      <c r="S1862" s="45">
        <f t="shared" si="207"/>
        <v>0</v>
      </c>
      <c r="T1862" s="45">
        <f t="shared" si="208"/>
        <v>0</v>
      </c>
      <c r="U1862" s="47">
        <f t="shared" si="209"/>
        <v>129.34</v>
      </c>
    </row>
    <row r="1863" spans="1:21" x14ac:dyDescent="0.3">
      <c r="A1863" s="41" t="str">
        <f t="shared" si="203"/>
        <v>PH&amp;MBO</v>
      </c>
      <c r="B1863" s="43">
        <v>45882</v>
      </c>
      <c r="C1863" s="10" t="s">
        <v>1905</v>
      </c>
      <c r="D1863" s="10" t="s">
        <v>37</v>
      </c>
      <c r="E1863" s="10" t="s">
        <v>26</v>
      </c>
      <c r="F1863" s="10" t="s">
        <v>23</v>
      </c>
      <c r="G1863" s="10" t="s">
        <v>27</v>
      </c>
      <c r="H1863" s="10" t="s">
        <v>58</v>
      </c>
      <c r="I1863" s="45">
        <v>2312</v>
      </c>
      <c r="J1863" s="11">
        <v>0</v>
      </c>
      <c r="K1863" s="45">
        <f t="shared" si="204"/>
        <v>2312</v>
      </c>
      <c r="L1863" s="10">
        <v>0</v>
      </c>
      <c r="M1863" s="10">
        <v>4.8</v>
      </c>
      <c r="N1863" s="10" t="b">
        <v>0</v>
      </c>
      <c r="O1863" s="41"/>
      <c r="P1863" s="45">
        <f t="shared" si="205"/>
        <v>971.04</v>
      </c>
      <c r="Q1863" s="45">
        <f t="shared" si="206"/>
        <v>1340.96</v>
      </c>
      <c r="R1863" s="45">
        <v>0</v>
      </c>
      <c r="S1863" s="45">
        <f t="shared" si="207"/>
        <v>0</v>
      </c>
      <c r="T1863" s="45">
        <f t="shared" si="208"/>
        <v>0</v>
      </c>
      <c r="U1863" s="47">
        <f t="shared" si="209"/>
        <v>1340.96</v>
      </c>
    </row>
    <row r="1864" spans="1:21" x14ac:dyDescent="0.3">
      <c r="A1864" s="41" t="str">
        <f t="shared" si="203"/>
        <v>PUNIBO</v>
      </c>
      <c r="B1864" s="43">
        <v>45882</v>
      </c>
      <c r="C1864" s="10" t="s">
        <v>1906</v>
      </c>
      <c r="D1864" s="10" t="s">
        <v>10</v>
      </c>
      <c r="E1864" s="10" t="s">
        <v>26</v>
      </c>
      <c r="F1864" s="10" t="s">
        <v>54</v>
      </c>
      <c r="G1864" s="10" t="s">
        <v>46</v>
      </c>
      <c r="H1864" s="10" t="s">
        <v>47</v>
      </c>
      <c r="I1864" s="45">
        <v>2329</v>
      </c>
      <c r="J1864" s="11">
        <v>0.4</v>
      </c>
      <c r="K1864" s="45">
        <f t="shared" si="204"/>
        <v>1397.3999999999999</v>
      </c>
      <c r="L1864" s="10">
        <v>48</v>
      </c>
      <c r="M1864" s="10">
        <v>3.1</v>
      </c>
      <c r="N1864" s="10" t="b">
        <v>0</v>
      </c>
      <c r="O1864" s="41"/>
      <c r="P1864" s="45">
        <f t="shared" si="205"/>
        <v>586.9079999999999</v>
      </c>
      <c r="Q1864" s="45">
        <f t="shared" si="206"/>
        <v>810.49199999999996</v>
      </c>
      <c r="R1864" s="45">
        <v>0</v>
      </c>
      <c r="S1864" s="45">
        <f t="shared" si="207"/>
        <v>0</v>
      </c>
      <c r="T1864" s="45">
        <f t="shared" si="208"/>
        <v>0</v>
      </c>
      <c r="U1864" s="47">
        <f t="shared" si="209"/>
        <v>810.49199999999996</v>
      </c>
    </row>
    <row r="1865" spans="1:21" x14ac:dyDescent="0.3">
      <c r="A1865" s="41" t="str">
        <f t="shared" si="203"/>
        <v>PBANBO</v>
      </c>
      <c r="B1865" s="43">
        <v>45883</v>
      </c>
      <c r="C1865" s="10" t="s">
        <v>1907</v>
      </c>
      <c r="D1865" s="10" t="s">
        <v>21</v>
      </c>
      <c r="E1865" s="10" t="s">
        <v>26</v>
      </c>
      <c r="F1865" s="10" t="s">
        <v>54</v>
      </c>
      <c r="G1865" s="10" t="s">
        <v>5</v>
      </c>
      <c r="H1865" s="10" t="s">
        <v>88</v>
      </c>
      <c r="I1865" s="45">
        <v>2355</v>
      </c>
      <c r="J1865" s="11">
        <v>0</v>
      </c>
      <c r="K1865" s="45">
        <f t="shared" si="204"/>
        <v>2355</v>
      </c>
      <c r="L1865" s="10">
        <v>29</v>
      </c>
      <c r="M1865" s="10">
        <v>1.3</v>
      </c>
      <c r="N1865" s="10" t="b">
        <v>1</v>
      </c>
      <c r="O1865" s="41" t="s">
        <v>33</v>
      </c>
      <c r="P1865" s="45">
        <f t="shared" si="205"/>
        <v>989.09999999999991</v>
      </c>
      <c r="Q1865" s="45">
        <f t="shared" si="206"/>
        <v>1365.9</v>
      </c>
      <c r="R1865" s="45">
        <v>150</v>
      </c>
      <c r="S1865" s="45">
        <f t="shared" si="207"/>
        <v>235.5</v>
      </c>
      <c r="T1865" s="45">
        <f t="shared" si="208"/>
        <v>2355</v>
      </c>
      <c r="U1865" s="47">
        <f t="shared" si="209"/>
        <v>-1374.6</v>
      </c>
    </row>
    <row r="1866" spans="1:21" x14ac:dyDescent="0.3">
      <c r="A1866" s="41" t="str">
        <f t="shared" si="203"/>
        <v>PFORDR</v>
      </c>
      <c r="B1866" s="43">
        <v>45883</v>
      </c>
      <c r="C1866" s="10" t="s">
        <v>1908</v>
      </c>
      <c r="D1866" s="10" t="s">
        <v>65</v>
      </c>
      <c r="E1866" s="10" t="s">
        <v>30</v>
      </c>
      <c r="F1866" s="10" t="s">
        <v>23</v>
      </c>
      <c r="G1866" s="10" t="s">
        <v>27</v>
      </c>
      <c r="H1866" s="10" t="s">
        <v>32</v>
      </c>
      <c r="I1866" s="45">
        <v>1813</v>
      </c>
      <c r="J1866" s="11">
        <v>0.35</v>
      </c>
      <c r="K1866" s="45">
        <f t="shared" si="204"/>
        <v>1178.45</v>
      </c>
      <c r="L1866" s="10">
        <v>44</v>
      </c>
      <c r="M1866" s="10"/>
      <c r="N1866" s="10" t="b">
        <v>1</v>
      </c>
      <c r="O1866" s="41" t="s">
        <v>33</v>
      </c>
      <c r="P1866" s="45">
        <f t="shared" si="205"/>
        <v>494.94900000000001</v>
      </c>
      <c r="Q1866" s="45">
        <f t="shared" si="206"/>
        <v>683.50099999999998</v>
      </c>
      <c r="R1866" s="45">
        <v>150</v>
      </c>
      <c r="S1866" s="45">
        <f t="shared" si="207"/>
        <v>117.84500000000001</v>
      </c>
      <c r="T1866" s="45">
        <f t="shared" si="208"/>
        <v>1178.45</v>
      </c>
      <c r="U1866" s="47">
        <f t="shared" si="209"/>
        <v>-762.7940000000001</v>
      </c>
    </row>
    <row r="1867" spans="1:21" x14ac:dyDescent="0.3">
      <c r="A1867" s="41" t="str">
        <f t="shared" si="203"/>
        <v>PGAPSH</v>
      </c>
      <c r="B1867" s="43">
        <v>45883</v>
      </c>
      <c r="C1867" s="10" t="s">
        <v>1909</v>
      </c>
      <c r="D1867" s="10" t="s">
        <v>53</v>
      </c>
      <c r="E1867" s="10" t="s">
        <v>18</v>
      </c>
      <c r="F1867" s="10" t="s">
        <v>23</v>
      </c>
      <c r="G1867" s="10" t="s">
        <v>12</v>
      </c>
      <c r="H1867" s="10" t="s">
        <v>56</v>
      </c>
      <c r="I1867" s="45">
        <v>3929</v>
      </c>
      <c r="J1867" s="11">
        <v>0.21600000000000003</v>
      </c>
      <c r="K1867" s="45">
        <f t="shared" si="204"/>
        <v>3080.3360000000002</v>
      </c>
      <c r="L1867" s="10">
        <v>14</v>
      </c>
      <c r="M1867" s="10">
        <v>4.7</v>
      </c>
      <c r="N1867" s="10" t="b">
        <v>0</v>
      </c>
      <c r="O1867" s="41"/>
      <c r="P1867" s="45">
        <f t="shared" si="205"/>
        <v>1293.7411200000001</v>
      </c>
      <c r="Q1867" s="45">
        <f t="shared" si="206"/>
        <v>1786.5948800000001</v>
      </c>
      <c r="R1867" s="45">
        <v>0</v>
      </c>
      <c r="S1867" s="45">
        <f t="shared" si="207"/>
        <v>0</v>
      </c>
      <c r="T1867" s="45">
        <f t="shared" si="208"/>
        <v>0</v>
      </c>
      <c r="U1867" s="47">
        <f t="shared" si="209"/>
        <v>1786.5948800000001</v>
      </c>
    </row>
    <row r="1868" spans="1:21" x14ac:dyDescent="0.3">
      <c r="A1868" s="41" t="str">
        <f t="shared" si="203"/>
        <v>PH&amp;MTO</v>
      </c>
      <c r="B1868" s="43">
        <v>45883</v>
      </c>
      <c r="C1868" s="10" t="s">
        <v>1910</v>
      </c>
      <c r="D1868" s="10" t="s">
        <v>37</v>
      </c>
      <c r="E1868" s="10" t="s">
        <v>9</v>
      </c>
      <c r="F1868" s="10" t="s">
        <v>4</v>
      </c>
      <c r="G1868" s="10" t="s">
        <v>12</v>
      </c>
      <c r="H1868" s="10" t="s">
        <v>16</v>
      </c>
      <c r="I1868" s="45">
        <v>1380</v>
      </c>
      <c r="J1868" s="11">
        <v>0</v>
      </c>
      <c r="K1868" s="45">
        <f t="shared" si="204"/>
        <v>1380</v>
      </c>
      <c r="L1868" s="10">
        <v>0</v>
      </c>
      <c r="M1868" s="10">
        <v>1.5</v>
      </c>
      <c r="N1868" s="10" t="b">
        <v>1</v>
      </c>
      <c r="O1868" s="41" t="s">
        <v>44</v>
      </c>
      <c r="P1868" s="45">
        <f t="shared" si="205"/>
        <v>579.6</v>
      </c>
      <c r="Q1868" s="45">
        <f t="shared" si="206"/>
        <v>800.4</v>
      </c>
      <c r="R1868" s="45">
        <v>150</v>
      </c>
      <c r="S1868" s="45">
        <f t="shared" si="207"/>
        <v>138</v>
      </c>
      <c r="T1868" s="45">
        <f t="shared" si="208"/>
        <v>1380</v>
      </c>
      <c r="U1868" s="47">
        <f t="shared" si="209"/>
        <v>-867.6</v>
      </c>
    </row>
    <row r="1869" spans="1:21" x14ac:dyDescent="0.3">
      <c r="A1869" s="41" t="str">
        <f t="shared" si="203"/>
        <v>PBANTO</v>
      </c>
      <c r="B1869" s="43">
        <v>45884</v>
      </c>
      <c r="C1869" s="10" t="s">
        <v>1911</v>
      </c>
      <c r="D1869" s="10" t="s">
        <v>21</v>
      </c>
      <c r="E1869" s="10" t="s">
        <v>9</v>
      </c>
      <c r="F1869" s="10" t="s">
        <v>11</v>
      </c>
      <c r="G1869" s="10" t="s">
        <v>38</v>
      </c>
      <c r="H1869" s="10" t="s">
        <v>47</v>
      </c>
      <c r="I1869" s="45">
        <v>1395</v>
      </c>
      <c r="J1869" s="11">
        <v>0</v>
      </c>
      <c r="K1869" s="45">
        <f t="shared" si="204"/>
        <v>1395</v>
      </c>
      <c r="L1869" s="10">
        <v>27</v>
      </c>
      <c r="M1869" s="10">
        <v>1.2</v>
      </c>
      <c r="N1869" s="10" t="b">
        <v>0</v>
      </c>
      <c r="O1869" s="41"/>
      <c r="P1869" s="45">
        <f t="shared" si="205"/>
        <v>585.9</v>
      </c>
      <c r="Q1869" s="45">
        <f t="shared" si="206"/>
        <v>809.1</v>
      </c>
      <c r="R1869" s="45">
        <v>0</v>
      </c>
      <c r="S1869" s="45">
        <f t="shared" si="207"/>
        <v>0</v>
      </c>
      <c r="T1869" s="45">
        <f t="shared" si="208"/>
        <v>0</v>
      </c>
      <c r="U1869" s="47">
        <f t="shared" si="209"/>
        <v>809.1</v>
      </c>
    </row>
    <row r="1870" spans="1:21" x14ac:dyDescent="0.3">
      <c r="A1870" s="41" t="str">
        <f t="shared" si="203"/>
        <v>PFORTO</v>
      </c>
      <c r="B1870" s="43">
        <v>45884</v>
      </c>
      <c r="C1870" s="10" t="s">
        <v>1912</v>
      </c>
      <c r="D1870" s="10" t="s">
        <v>65</v>
      </c>
      <c r="E1870" s="10" t="s">
        <v>9</v>
      </c>
      <c r="F1870" s="10" t="s">
        <v>11</v>
      </c>
      <c r="G1870" s="10" t="s">
        <v>7</v>
      </c>
      <c r="H1870" s="10" t="s">
        <v>88</v>
      </c>
      <c r="I1870" s="45">
        <v>1020</v>
      </c>
      <c r="J1870" s="11">
        <v>0.48499999999999999</v>
      </c>
      <c r="K1870" s="45">
        <f t="shared" si="204"/>
        <v>525.30000000000007</v>
      </c>
      <c r="L1870" s="10">
        <v>36</v>
      </c>
      <c r="M1870" s="10">
        <v>1.6</v>
      </c>
      <c r="N1870" s="10" t="b">
        <v>1</v>
      </c>
      <c r="O1870" s="41" t="s">
        <v>44</v>
      </c>
      <c r="P1870" s="45">
        <f t="shared" si="205"/>
        <v>220.62600000000003</v>
      </c>
      <c r="Q1870" s="45">
        <f t="shared" si="206"/>
        <v>304.67400000000004</v>
      </c>
      <c r="R1870" s="45">
        <v>150</v>
      </c>
      <c r="S1870" s="45">
        <f t="shared" si="207"/>
        <v>52.530000000000008</v>
      </c>
      <c r="T1870" s="45">
        <f t="shared" si="208"/>
        <v>525.30000000000007</v>
      </c>
      <c r="U1870" s="47">
        <f t="shared" si="209"/>
        <v>-423.15600000000006</v>
      </c>
    </row>
    <row r="1871" spans="1:21" x14ac:dyDescent="0.3">
      <c r="A1871" s="41" t="str">
        <f t="shared" si="203"/>
        <v>PH&amp;MDR</v>
      </c>
      <c r="B1871" s="43">
        <v>45884</v>
      </c>
      <c r="C1871" s="10" t="s">
        <v>1913</v>
      </c>
      <c r="D1871" s="10" t="s">
        <v>37</v>
      </c>
      <c r="E1871" s="10" t="s">
        <v>30</v>
      </c>
      <c r="F1871" s="10" t="s">
        <v>23</v>
      </c>
      <c r="G1871" s="10" t="s">
        <v>12</v>
      </c>
      <c r="H1871" s="10" t="s">
        <v>47</v>
      </c>
      <c r="I1871" s="45">
        <v>2202</v>
      </c>
      <c r="J1871" s="11">
        <v>0.33799999999999997</v>
      </c>
      <c r="K1871" s="45">
        <f t="shared" si="204"/>
        <v>1457.7240000000002</v>
      </c>
      <c r="L1871" s="10">
        <v>33</v>
      </c>
      <c r="M1871" s="10"/>
      <c r="N1871" s="10" t="b">
        <v>0</v>
      </c>
      <c r="O1871" s="41"/>
      <c r="P1871" s="45">
        <f t="shared" si="205"/>
        <v>612.24408000000005</v>
      </c>
      <c r="Q1871" s="45">
        <f t="shared" si="206"/>
        <v>845.47992000000011</v>
      </c>
      <c r="R1871" s="45">
        <v>0</v>
      </c>
      <c r="S1871" s="45">
        <f t="shared" si="207"/>
        <v>0</v>
      </c>
      <c r="T1871" s="45">
        <f t="shared" si="208"/>
        <v>0</v>
      </c>
      <c r="U1871" s="47">
        <f t="shared" si="209"/>
        <v>845.47992000000011</v>
      </c>
    </row>
    <row r="1872" spans="1:21" x14ac:dyDescent="0.3">
      <c r="A1872" s="41" t="str">
        <f t="shared" si="203"/>
        <v>PZARAC</v>
      </c>
      <c r="B1872" s="43">
        <v>45885</v>
      </c>
      <c r="C1872" s="10" t="s">
        <v>1914</v>
      </c>
      <c r="D1872" s="10" t="s">
        <v>3</v>
      </c>
      <c r="E1872" s="10" t="s">
        <v>15</v>
      </c>
      <c r="F1872" s="10" t="s">
        <v>11</v>
      </c>
      <c r="G1872" s="10" t="s">
        <v>7</v>
      </c>
      <c r="H1872" s="10" t="s">
        <v>6</v>
      </c>
      <c r="I1872" s="45">
        <v>219</v>
      </c>
      <c r="J1872" s="11">
        <v>7.8E-2</v>
      </c>
      <c r="K1872" s="45">
        <f t="shared" si="204"/>
        <v>201.91800000000001</v>
      </c>
      <c r="L1872" s="10">
        <v>4</v>
      </c>
      <c r="M1872" s="10">
        <v>1.3</v>
      </c>
      <c r="N1872" s="10" t="b">
        <v>1</v>
      </c>
      <c r="O1872" s="41" t="s">
        <v>80</v>
      </c>
      <c r="P1872" s="45">
        <f t="shared" si="205"/>
        <v>84.80556</v>
      </c>
      <c r="Q1872" s="45">
        <f t="shared" si="206"/>
        <v>117.11244000000001</v>
      </c>
      <c r="R1872" s="45">
        <v>150</v>
      </c>
      <c r="S1872" s="45">
        <f t="shared" si="207"/>
        <v>20.191800000000001</v>
      </c>
      <c r="T1872" s="45">
        <f t="shared" si="208"/>
        <v>201.91800000000001</v>
      </c>
      <c r="U1872" s="47">
        <f t="shared" si="209"/>
        <v>-254.99736000000001</v>
      </c>
    </row>
    <row r="1873" spans="1:21" x14ac:dyDescent="0.3">
      <c r="A1873" s="41" t="str">
        <f t="shared" si="203"/>
        <v>PGAPSH</v>
      </c>
      <c r="B1873" s="43">
        <v>45885</v>
      </c>
      <c r="C1873" s="10" t="s">
        <v>1915</v>
      </c>
      <c r="D1873" s="10" t="s">
        <v>53</v>
      </c>
      <c r="E1873" s="10" t="s">
        <v>18</v>
      </c>
      <c r="F1873" s="10" t="s">
        <v>54</v>
      </c>
      <c r="G1873" s="10" t="s">
        <v>49</v>
      </c>
      <c r="H1873" s="10" t="s">
        <v>16</v>
      </c>
      <c r="I1873" s="45">
        <v>3275</v>
      </c>
      <c r="J1873" s="11">
        <v>0</v>
      </c>
      <c r="K1873" s="45">
        <f t="shared" si="204"/>
        <v>3275</v>
      </c>
      <c r="L1873" s="10">
        <v>8</v>
      </c>
      <c r="M1873" s="10">
        <v>2.2999999999999998</v>
      </c>
      <c r="N1873" s="10" t="b">
        <v>1</v>
      </c>
      <c r="O1873" s="41" t="s">
        <v>50</v>
      </c>
      <c r="P1873" s="45">
        <f t="shared" si="205"/>
        <v>1375.5</v>
      </c>
      <c r="Q1873" s="45">
        <f t="shared" si="206"/>
        <v>1899.5</v>
      </c>
      <c r="R1873" s="45">
        <v>150</v>
      </c>
      <c r="S1873" s="45">
        <f t="shared" si="207"/>
        <v>327.5</v>
      </c>
      <c r="T1873" s="45">
        <f t="shared" si="208"/>
        <v>3275</v>
      </c>
      <c r="U1873" s="47">
        <f t="shared" si="209"/>
        <v>-1853</v>
      </c>
    </row>
    <row r="1874" spans="1:21" x14ac:dyDescent="0.3">
      <c r="A1874" s="41" t="str">
        <f t="shared" si="203"/>
        <v>PH&amp;MOU</v>
      </c>
      <c r="B1874" s="43">
        <v>45885</v>
      </c>
      <c r="C1874" s="10" t="s">
        <v>1916</v>
      </c>
      <c r="D1874" s="10" t="s">
        <v>37</v>
      </c>
      <c r="E1874" s="10" t="s">
        <v>2</v>
      </c>
      <c r="F1874" s="10" t="s">
        <v>11</v>
      </c>
      <c r="G1874" s="10" t="s">
        <v>27</v>
      </c>
      <c r="H1874" s="10" t="s">
        <v>7</v>
      </c>
      <c r="I1874" s="45">
        <v>3250</v>
      </c>
      <c r="J1874" s="11">
        <v>0.38100000000000001</v>
      </c>
      <c r="K1874" s="45">
        <f t="shared" si="204"/>
        <v>2011.75</v>
      </c>
      <c r="L1874" s="10">
        <v>14</v>
      </c>
      <c r="M1874" s="10">
        <v>3.9</v>
      </c>
      <c r="N1874" s="10" t="b">
        <v>1</v>
      </c>
      <c r="O1874" s="41" t="s">
        <v>33</v>
      </c>
      <c r="P1874" s="45">
        <f t="shared" si="205"/>
        <v>844.93499999999995</v>
      </c>
      <c r="Q1874" s="45">
        <f t="shared" si="206"/>
        <v>1166.8150000000001</v>
      </c>
      <c r="R1874" s="45">
        <v>150</v>
      </c>
      <c r="S1874" s="45">
        <f t="shared" si="207"/>
        <v>201.17500000000001</v>
      </c>
      <c r="T1874" s="45">
        <f t="shared" si="208"/>
        <v>2011.75</v>
      </c>
      <c r="U1874" s="47">
        <f t="shared" si="209"/>
        <v>-1196.1099999999999</v>
      </c>
    </row>
    <row r="1875" spans="1:21" x14ac:dyDescent="0.3">
      <c r="A1875" s="41" t="str">
        <f t="shared" si="203"/>
        <v>PBANDR</v>
      </c>
      <c r="B1875" s="43">
        <v>45885</v>
      </c>
      <c r="C1875" s="10" t="s">
        <v>1917</v>
      </c>
      <c r="D1875" s="10" t="s">
        <v>21</v>
      </c>
      <c r="E1875" s="10" t="s">
        <v>30</v>
      </c>
      <c r="F1875" s="10" t="s">
        <v>11</v>
      </c>
      <c r="G1875" s="10" t="s">
        <v>5</v>
      </c>
      <c r="H1875" s="10" t="s">
        <v>35</v>
      </c>
      <c r="I1875" s="45">
        <v>2802</v>
      </c>
      <c r="J1875" s="11">
        <v>5.0999999999999997E-2</v>
      </c>
      <c r="K1875" s="45">
        <f t="shared" si="204"/>
        <v>2659.098</v>
      </c>
      <c r="L1875" s="10">
        <v>8</v>
      </c>
      <c r="M1875" s="10">
        <v>4.4000000000000004</v>
      </c>
      <c r="N1875" s="10" t="b">
        <v>1</v>
      </c>
      <c r="O1875" s="41" t="s">
        <v>44</v>
      </c>
      <c r="P1875" s="45">
        <f t="shared" si="205"/>
        <v>1116.82116</v>
      </c>
      <c r="Q1875" s="45">
        <f t="shared" si="206"/>
        <v>1542.27684</v>
      </c>
      <c r="R1875" s="45">
        <v>150</v>
      </c>
      <c r="S1875" s="45">
        <f t="shared" si="207"/>
        <v>265.90980000000002</v>
      </c>
      <c r="T1875" s="45">
        <f t="shared" si="208"/>
        <v>2659.098</v>
      </c>
      <c r="U1875" s="47">
        <f t="shared" si="209"/>
        <v>-1532.7309599999999</v>
      </c>
    </row>
    <row r="1876" spans="1:21" x14ac:dyDescent="0.3">
      <c r="A1876" s="41" t="str">
        <f t="shared" si="203"/>
        <v>PBANSH</v>
      </c>
      <c r="B1876" s="43">
        <v>45886</v>
      </c>
      <c r="C1876" s="10" t="s">
        <v>1918</v>
      </c>
      <c r="D1876" s="10" t="s">
        <v>21</v>
      </c>
      <c r="E1876" s="10" t="s">
        <v>18</v>
      </c>
      <c r="F1876" s="10" t="s">
        <v>23</v>
      </c>
      <c r="G1876" s="10" t="s">
        <v>46</v>
      </c>
      <c r="H1876" s="10" t="s">
        <v>56</v>
      </c>
      <c r="I1876" s="45">
        <v>4130</v>
      </c>
      <c r="J1876" s="11">
        <v>0</v>
      </c>
      <c r="K1876" s="45">
        <f t="shared" si="204"/>
        <v>4130</v>
      </c>
      <c r="L1876" s="10">
        <v>44</v>
      </c>
      <c r="M1876" s="10">
        <v>4.4000000000000004</v>
      </c>
      <c r="N1876" s="10" t="b">
        <v>0</v>
      </c>
      <c r="O1876" s="41"/>
      <c r="P1876" s="45">
        <f t="shared" si="205"/>
        <v>1734.6</v>
      </c>
      <c r="Q1876" s="45">
        <f t="shared" si="206"/>
        <v>2395.4</v>
      </c>
      <c r="R1876" s="45">
        <v>0</v>
      </c>
      <c r="S1876" s="45">
        <f t="shared" si="207"/>
        <v>0</v>
      </c>
      <c r="T1876" s="45">
        <f t="shared" si="208"/>
        <v>0</v>
      </c>
      <c r="U1876" s="47">
        <f t="shared" si="209"/>
        <v>2395.4</v>
      </c>
    </row>
    <row r="1877" spans="1:21" x14ac:dyDescent="0.3">
      <c r="A1877" s="41" t="str">
        <f t="shared" si="203"/>
        <v>PANNBO</v>
      </c>
      <c r="B1877" s="43">
        <v>45886</v>
      </c>
      <c r="C1877" s="10" t="s">
        <v>1919</v>
      </c>
      <c r="D1877" s="10" t="s">
        <v>42</v>
      </c>
      <c r="E1877" s="10" t="s">
        <v>26</v>
      </c>
      <c r="F1877" s="10" t="s">
        <v>11</v>
      </c>
      <c r="G1877" s="10" t="s">
        <v>46</v>
      </c>
      <c r="H1877" s="10" t="s">
        <v>16</v>
      </c>
      <c r="I1877" s="45">
        <v>2046</v>
      </c>
      <c r="J1877" s="11">
        <v>9.6999999999999989E-2</v>
      </c>
      <c r="K1877" s="45">
        <f t="shared" si="204"/>
        <v>1847.538</v>
      </c>
      <c r="L1877" s="10">
        <v>23</v>
      </c>
      <c r="M1877" s="10">
        <v>2.6</v>
      </c>
      <c r="N1877" s="10" t="b">
        <v>0</v>
      </c>
      <c r="O1877" s="41"/>
      <c r="P1877" s="45">
        <f t="shared" si="205"/>
        <v>775.96596</v>
      </c>
      <c r="Q1877" s="45">
        <f t="shared" si="206"/>
        <v>1071.57204</v>
      </c>
      <c r="R1877" s="45">
        <v>0</v>
      </c>
      <c r="S1877" s="45">
        <f t="shared" si="207"/>
        <v>0</v>
      </c>
      <c r="T1877" s="45">
        <f t="shared" si="208"/>
        <v>0</v>
      </c>
      <c r="U1877" s="47">
        <f t="shared" si="209"/>
        <v>1071.57204</v>
      </c>
    </row>
    <row r="1878" spans="1:21" x14ac:dyDescent="0.3">
      <c r="A1878" s="41" t="str">
        <f t="shared" si="203"/>
        <v>PGAPTO</v>
      </c>
      <c r="B1878" s="43">
        <v>45886</v>
      </c>
      <c r="C1878" s="10" t="s">
        <v>1920</v>
      </c>
      <c r="D1878" s="10" t="s">
        <v>53</v>
      </c>
      <c r="E1878" s="10" t="s">
        <v>9</v>
      </c>
      <c r="F1878" s="10" t="s">
        <v>4</v>
      </c>
      <c r="G1878" s="10" t="s">
        <v>12</v>
      </c>
      <c r="H1878" s="10" t="s">
        <v>13</v>
      </c>
      <c r="I1878" s="45">
        <v>984</v>
      </c>
      <c r="J1878" s="11">
        <v>0</v>
      </c>
      <c r="K1878" s="45">
        <f t="shared" si="204"/>
        <v>984</v>
      </c>
      <c r="L1878" s="10">
        <v>23</v>
      </c>
      <c r="M1878" s="10">
        <v>1.3</v>
      </c>
      <c r="N1878" s="10" t="b">
        <v>0</v>
      </c>
      <c r="O1878" s="41"/>
      <c r="P1878" s="45">
        <f t="shared" si="205"/>
        <v>413.28</v>
      </c>
      <c r="Q1878" s="45">
        <f t="shared" si="206"/>
        <v>570.72</v>
      </c>
      <c r="R1878" s="45">
        <v>0</v>
      </c>
      <c r="S1878" s="45">
        <f t="shared" si="207"/>
        <v>0</v>
      </c>
      <c r="T1878" s="45">
        <f t="shared" si="208"/>
        <v>0</v>
      </c>
      <c r="U1878" s="47">
        <f t="shared" si="209"/>
        <v>570.72</v>
      </c>
    </row>
    <row r="1879" spans="1:21" x14ac:dyDescent="0.3">
      <c r="A1879" s="41" t="str">
        <f t="shared" si="203"/>
        <v>PANNOU</v>
      </c>
      <c r="B1879" s="43">
        <v>45886</v>
      </c>
      <c r="C1879" s="10" t="s">
        <v>1921</v>
      </c>
      <c r="D1879" s="10" t="s">
        <v>42</v>
      </c>
      <c r="E1879" s="10" t="s">
        <v>2</v>
      </c>
      <c r="F1879" s="10" t="s">
        <v>54</v>
      </c>
      <c r="G1879" s="10" t="s">
        <v>38</v>
      </c>
      <c r="H1879" s="10" t="s">
        <v>6</v>
      </c>
      <c r="I1879" s="45">
        <v>3542</v>
      </c>
      <c r="J1879" s="11">
        <v>0</v>
      </c>
      <c r="K1879" s="45">
        <f t="shared" si="204"/>
        <v>3542</v>
      </c>
      <c r="L1879" s="10">
        <v>20</v>
      </c>
      <c r="M1879" s="10">
        <v>2.6</v>
      </c>
      <c r="N1879" s="10" t="b">
        <v>0</v>
      </c>
      <c r="O1879" s="41"/>
      <c r="P1879" s="45">
        <f t="shared" si="205"/>
        <v>1487.6399999999999</v>
      </c>
      <c r="Q1879" s="45">
        <f t="shared" si="206"/>
        <v>2054.36</v>
      </c>
      <c r="R1879" s="45">
        <v>0</v>
      </c>
      <c r="S1879" s="45">
        <f t="shared" si="207"/>
        <v>0</v>
      </c>
      <c r="T1879" s="45">
        <f t="shared" si="208"/>
        <v>0</v>
      </c>
      <c r="U1879" s="47">
        <f t="shared" si="209"/>
        <v>2054.36</v>
      </c>
    </row>
    <row r="1880" spans="1:21" x14ac:dyDescent="0.3">
      <c r="A1880" s="41" t="str">
        <f t="shared" si="203"/>
        <v>PFORDR</v>
      </c>
      <c r="B1880" s="43">
        <v>45887</v>
      </c>
      <c r="C1880" s="10" t="s">
        <v>1922</v>
      </c>
      <c r="D1880" s="10" t="s">
        <v>65</v>
      </c>
      <c r="E1880" s="10" t="s">
        <v>30</v>
      </c>
      <c r="F1880" s="10" t="s">
        <v>4</v>
      </c>
      <c r="G1880" s="10" t="s">
        <v>38</v>
      </c>
      <c r="H1880" s="10" t="s">
        <v>35</v>
      </c>
      <c r="I1880" s="45">
        <v>2211</v>
      </c>
      <c r="J1880" s="11">
        <v>0.40299999999999997</v>
      </c>
      <c r="K1880" s="45">
        <f t="shared" si="204"/>
        <v>1319.9669999999999</v>
      </c>
      <c r="L1880" s="10">
        <v>41</v>
      </c>
      <c r="M1880" s="10">
        <v>4.7</v>
      </c>
      <c r="N1880" s="10" t="b">
        <v>0</v>
      </c>
      <c r="O1880" s="41"/>
      <c r="P1880" s="45">
        <f t="shared" si="205"/>
        <v>554.38613999999995</v>
      </c>
      <c r="Q1880" s="45">
        <f t="shared" si="206"/>
        <v>765.58085999999992</v>
      </c>
      <c r="R1880" s="45">
        <v>0</v>
      </c>
      <c r="S1880" s="45">
        <f t="shared" si="207"/>
        <v>0</v>
      </c>
      <c r="T1880" s="45">
        <f t="shared" si="208"/>
        <v>0</v>
      </c>
      <c r="U1880" s="47">
        <f t="shared" si="209"/>
        <v>765.58085999999992</v>
      </c>
    </row>
    <row r="1881" spans="1:21" x14ac:dyDescent="0.3">
      <c r="A1881" s="41" t="str">
        <f t="shared" si="203"/>
        <v>PUNIOU</v>
      </c>
      <c r="B1881" s="43">
        <v>45887</v>
      </c>
      <c r="C1881" s="10" t="s">
        <v>1923</v>
      </c>
      <c r="D1881" s="10" t="s">
        <v>10</v>
      </c>
      <c r="E1881" s="10" t="s">
        <v>2</v>
      </c>
      <c r="F1881" s="10" t="s">
        <v>4</v>
      </c>
      <c r="G1881" s="10" t="s">
        <v>27</v>
      </c>
      <c r="H1881" s="10" t="s">
        <v>88</v>
      </c>
      <c r="I1881" s="45">
        <v>3802</v>
      </c>
      <c r="J1881" s="11">
        <v>0.10199999999999999</v>
      </c>
      <c r="K1881" s="45">
        <f t="shared" si="204"/>
        <v>3414.1959999999999</v>
      </c>
      <c r="L1881" s="10">
        <v>36</v>
      </c>
      <c r="M1881" s="10">
        <v>1.4</v>
      </c>
      <c r="N1881" s="10" t="b">
        <v>1</v>
      </c>
      <c r="O1881" s="41" t="s">
        <v>44</v>
      </c>
      <c r="P1881" s="45">
        <f t="shared" si="205"/>
        <v>1433.9623199999999</v>
      </c>
      <c r="Q1881" s="45">
        <f t="shared" si="206"/>
        <v>1980.23368</v>
      </c>
      <c r="R1881" s="45">
        <v>150</v>
      </c>
      <c r="S1881" s="45">
        <f t="shared" si="207"/>
        <v>341.4196</v>
      </c>
      <c r="T1881" s="45">
        <f t="shared" si="208"/>
        <v>3414.1959999999999</v>
      </c>
      <c r="U1881" s="47">
        <f t="shared" si="209"/>
        <v>-1925.3819199999998</v>
      </c>
    </row>
    <row r="1882" spans="1:21" x14ac:dyDescent="0.3">
      <c r="A1882" s="41" t="str">
        <f t="shared" si="203"/>
        <v>PH&amp;MAC</v>
      </c>
      <c r="B1882" s="43">
        <v>45887</v>
      </c>
      <c r="C1882" s="10" t="s">
        <v>1924</v>
      </c>
      <c r="D1882" s="10" t="s">
        <v>37</v>
      </c>
      <c r="E1882" s="10" t="s">
        <v>15</v>
      </c>
      <c r="F1882" s="10" t="s">
        <v>11</v>
      </c>
      <c r="G1882" s="10" t="s">
        <v>7</v>
      </c>
      <c r="H1882" s="10" t="s">
        <v>35</v>
      </c>
      <c r="I1882" s="45">
        <v>151</v>
      </c>
      <c r="J1882" s="11">
        <v>0</v>
      </c>
      <c r="K1882" s="45">
        <f t="shared" si="204"/>
        <v>151</v>
      </c>
      <c r="L1882" s="10">
        <v>50</v>
      </c>
      <c r="M1882" s="10">
        <v>2.5</v>
      </c>
      <c r="N1882" s="10" t="b">
        <v>0</v>
      </c>
      <c r="O1882" s="41"/>
      <c r="P1882" s="45">
        <f t="shared" si="205"/>
        <v>63.419999999999995</v>
      </c>
      <c r="Q1882" s="45">
        <f t="shared" si="206"/>
        <v>87.580000000000013</v>
      </c>
      <c r="R1882" s="45">
        <v>0</v>
      </c>
      <c r="S1882" s="45">
        <f t="shared" si="207"/>
        <v>0</v>
      </c>
      <c r="T1882" s="45">
        <f t="shared" si="208"/>
        <v>0</v>
      </c>
      <c r="U1882" s="47">
        <f t="shared" si="209"/>
        <v>87.580000000000013</v>
      </c>
    </row>
    <row r="1883" spans="1:21" x14ac:dyDescent="0.3">
      <c r="A1883" s="41" t="str">
        <f t="shared" si="203"/>
        <v>PH&amp;MOU</v>
      </c>
      <c r="B1883" s="43">
        <v>45887</v>
      </c>
      <c r="C1883" s="10" t="s">
        <v>1925</v>
      </c>
      <c r="D1883" s="10" t="s">
        <v>37</v>
      </c>
      <c r="E1883" s="10" t="s">
        <v>2</v>
      </c>
      <c r="F1883" s="10" t="s">
        <v>4</v>
      </c>
      <c r="G1883" s="10" t="s">
        <v>7</v>
      </c>
      <c r="H1883" s="10" t="s">
        <v>43</v>
      </c>
      <c r="I1883" s="45">
        <v>3759</v>
      </c>
      <c r="J1883" s="11">
        <v>0</v>
      </c>
      <c r="K1883" s="45">
        <f t="shared" si="204"/>
        <v>3759</v>
      </c>
      <c r="L1883" s="10">
        <v>41</v>
      </c>
      <c r="M1883" s="10">
        <v>3.5</v>
      </c>
      <c r="N1883" s="10" t="b">
        <v>0</v>
      </c>
      <c r="O1883" s="41"/>
      <c r="P1883" s="45">
        <f t="shared" si="205"/>
        <v>1578.78</v>
      </c>
      <c r="Q1883" s="45">
        <f t="shared" si="206"/>
        <v>2180.2200000000003</v>
      </c>
      <c r="R1883" s="45">
        <v>0</v>
      </c>
      <c r="S1883" s="45">
        <f t="shared" si="207"/>
        <v>0</v>
      </c>
      <c r="T1883" s="45">
        <f t="shared" si="208"/>
        <v>0</v>
      </c>
      <c r="U1883" s="47">
        <f t="shared" si="209"/>
        <v>2180.2200000000003</v>
      </c>
    </row>
    <row r="1884" spans="1:21" x14ac:dyDescent="0.3">
      <c r="A1884" s="41" t="str">
        <f t="shared" si="203"/>
        <v>PUNIAC</v>
      </c>
      <c r="B1884" s="43">
        <v>45888</v>
      </c>
      <c r="C1884" s="10" t="s">
        <v>1926</v>
      </c>
      <c r="D1884" s="10" t="s">
        <v>10</v>
      </c>
      <c r="E1884" s="10" t="s">
        <v>15</v>
      </c>
      <c r="F1884" s="10" t="s">
        <v>4</v>
      </c>
      <c r="G1884" s="10" t="s">
        <v>7</v>
      </c>
      <c r="H1884" s="10" t="s">
        <v>32</v>
      </c>
      <c r="I1884" s="45">
        <v>228</v>
      </c>
      <c r="J1884" s="11">
        <v>0</v>
      </c>
      <c r="K1884" s="45">
        <f t="shared" si="204"/>
        <v>228</v>
      </c>
      <c r="L1884" s="10">
        <v>48</v>
      </c>
      <c r="M1884" s="10">
        <v>3.1</v>
      </c>
      <c r="N1884" s="10" t="b">
        <v>0</v>
      </c>
      <c r="O1884" s="41"/>
      <c r="P1884" s="45">
        <f t="shared" si="205"/>
        <v>95.759999999999991</v>
      </c>
      <c r="Q1884" s="45">
        <f t="shared" si="206"/>
        <v>132.24</v>
      </c>
      <c r="R1884" s="45">
        <v>0</v>
      </c>
      <c r="S1884" s="45">
        <f t="shared" si="207"/>
        <v>0</v>
      </c>
      <c r="T1884" s="45">
        <f t="shared" si="208"/>
        <v>0</v>
      </c>
      <c r="U1884" s="47">
        <f t="shared" si="209"/>
        <v>132.24</v>
      </c>
    </row>
    <row r="1885" spans="1:21" x14ac:dyDescent="0.3">
      <c r="A1885" s="41" t="str">
        <f t="shared" si="203"/>
        <v>PANNOU</v>
      </c>
      <c r="B1885" s="43">
        <v>45888</v>
      </c>
      <c r="C1885" s="10" t="s">
        <v>1927</v>
      </c>
      <c r="D1885" s="10" t="s">
        <v>42</v>
      </c>
      <c r="E1885" s="10" t="s">
        <v>2</v>
      </c>
      <c r="F1885" s="10" t="s">
        <v>54</v>
      </c>
      <c r="G1885" s="10" t="s">
        <v>27</v>
      </c>
      <c r="H1885" s="10" t="s">
        <v>88</v>
      </c>
      <c r="I1885" s="45">
        <v>4405</v>
      </c>
      <c r="J1885" s="11">
        <v>0</v>
      </c>
      <c r="K1885" s="45">
        <f t="shared" si="204"/>
        <v>4405</v>
      </c>
      <c r="L1885" s="10">
        <v>4</v>
      </c>
      <c r="M1885" s="10">
        <v>2.4</v>
      </c>
      <c r="N1885" s="10" t="b">
        <v>0</v>
      </c>
      <c r="O1885" s="41"/>
      <c r="P1885" s="45">
        <f t="shared" si="205"/>
        <v>1850.1</v>
      </c>
      <c r="Q1885" s="45">
        <f t="shared" si="206"/>
        <v>2554.9</v>
      </c>
      <c r="R1885" s="45">
        <v>0</v>
      </c>
      <c r="S1885" s="45">
        <f t="shared" si="207"/>
        <v>0</v>
      </c>
      <c r="T1885" s="45">
        <f t="shared" si="208"/>
        <v>0</v>
      </c>
      <c r="U1885" s="47">
        <f t="shared" si="209"/>
        <v>2554.9</v>
      </c>
    </row>
    <row r="1886" spans="1:21" x14ac:dyDescent="0.3">
      <c r="A1886" s="41" t="str">
        <f t="shared" si="203"/>
        <v>PMANTO</v>
      </c>
      <c r="B1886" s="43">
        <v>45888</v>
      </c>
      <c r="C1886" s="10" t="s">
        <v>1928</v>
      </c>
      <c r="D1886" s="10" t="s">
        <v>31</v>
      </c>
      <c r="E1886" s="10" t="s">
        <v>9</v>
      </c>
      <c r="F1886" s="10" t="s">
        <v>23</v>
      </c>
      <c r="G1886" s="10" t="s">
        <v>27</v>
      </c>
      <c r="H1886" s="10" t="s">
        <v>56</v>
      </c>
      <c r="I1886" s="45">
        <v>1453</v>
      </c>
      <c r="J1886" s="11">
        <v>2.7000000000000003E-2</v>
      </c>
      <c r="K1886" s="45">
        <f t="shared" si="204"/>
        <v>1413.769</v>
      </c>
      <c r="L1886" s="10">
        <v>42</v>
      </c>
      <c r="M1886" s="10">
        <v>4.4000000000000004</v>
      </c>
      <c r="N1886" s="10" t="b">
        <v>1</v>
      </c>
      <c r="O1886" s="41" t="s">
        <v>50</v>
      </c>
      <c r="P1886" s="45">
        <f t="shared" si="205"/>
        <v>593.78297999999995</v>
      </c>
      <c r="Q1886" s="45">
        <f t="shared" si="206"/>
        <v>819.98602000000005</v>
      </c>
      <c r="R1886" s="45">
        <v>150</v>
      </c>
      <c r="S1886" s="45">
        <f t="shared" si="207"/>
        <v>141.37690000000001</v>
      </c>
      <c r="T1886" s="45">
        <f t="shared" si="208"/>
        <v>1413.769</v>
      </c>
      <c r="U1886" s="47">
        <f t="shared" si="209"/>
        <v>-885.15987999999993</v>
      </c>
    </row>
    <row r="1887" spans="1:21" x14ac:dyDescent="0.3">
      <c r="A1887" s="41" t="str">
        <f t="shared" si="203"/>
        <v>PZAROU</v>
      </c>
      <c r="B1887" s="43">
        <v>45888</v>
      </c>
      <c r="C1887" s="10" t="s">
        <v>1929</v>
      </c>
      <c r="D1887" s="10" t="s">
        <v>3</v>
      </c>
      <c r="E1887" s="10" t="s">
        <v>2</v>
      </c>
      <c r="F1887" s="10" t="s">
        <v>23</v>
      </c>
      <c r="G1887" s="10" t="s">
        <v>46</v>
      </c>
      <c r="H1887" s="10" t="s">
        <v>6</v>
      </c>
      <c r="I1887" s="45">
        <v>3781</v>
      </c>
      <c r="J1887" s="11">
        <v>0</v>
      </c>
      <c r="K1887" s="45">
        <f t="shared" si="204"/>
        <v>3781</v>
      </c>
      <c r="L1887" s="10">
        <v>10</v>
      </c>
      <c r="M1887" s="10"/>
      <c r="N1887" s="10" t="b">
        <v>0</v>
      </c>
      <c r="O1887" s="41"/>
      <c r="P1887" s="45">
        <f t="shared" si="205"/>
        <v>1588.02</v>
      </c>
      <c r="Q1887" s="45">
        <f t="shared" si="206"/>
        <v>2192.98</v>
      </c>
      <c r="R1887" s="45">
        <v>0</v>
      </c>
      <c r="S1887" s="45">
        <f t="shared" si="207"/>
        <v>0</v>
      </c>
      <c r="T1887" s="45">
        <f t="shared" si="208"/>
        <v>0</v>
      </c>
      <c r="U1887" s="47">
        <f t="shared" si="209"/>
        <v>2192.98</v>
      </c>
    </row>
    <row r="1888" spans="1:21" x14ac:dyDescent="0.3">
      <c r="A1888" s="41" t="str">
        <f t="shared" si="203"/>
        <v>PUNISH</v>
      </c>
      <c r="B1888" s="43">
        <v>45889</v>
      </c>
      <c r="C1888" s="10" t="s">
        <v>1930</v>
      </c>
      <c r="D1888" s="10" t="s">
        <v>10</v>
      </c>
      <c r="E1888" s="10" t="s">
        <v>18</v>
      </c>
      <c r="F1888" s="10" t="s">
        <v>54</v>
      </c>
      <c r="G1888" s="10" t="s">
        <v>12</v>
      </c>
      <c r="H1888" s="10" t="s">
        <v>32</v>
      </c>
      <c r="I1888" s="45">
        <v>3424</v>
      </c>
      <c r="J1888" s="11">
        <v>0</v>
      </c>
      <c r="K1888" s="45">
        <f t="shared" si="204"/>
        <v>3424</v>
      </c>
      <c r="L1888" s="10">
        <v>14</v>
      </c>
      <c r="M1888" s="10">
        <v>2.1</v>
      </c>
      <c r="N1888" s="10" t="b">
        <v>0</v>
      </c>
      <c r="O1888" s="41"/>
      <c r="P1888" s="45">
        <f t="shared" si="205"/>
        <v>1438.08</v>
      </c>
      <c r="Q1888" s="45">
        <f t="shared" si="206"/>
        <v>1985.92</v>
      </c>
      <c r="R1888" s="45">
        <v>0</v>
      </c>
      <c r="S1888" s="45">
        <f t="shared" si="207"/>
        <v>0</v>
      </c>
      <c r="T1888" s="45">
        <f t="shared" si="208"/>
        <v>0</v>
      </c>
      <c r="U1888" s="47">
        <f t="shared" si="209"/>
        <v>1985.92</v>
      </c>
    </row>
    <row r="1889" spans="1:21" x14ac:dyDescent="0.3">
      <c r="A1889" s="41" t="str">
        <f t="shared" si="203"/>
        <v>PANNBO</v>
      </c>
      <c r="B1889" s="43">
        <v>45889</v>
      </c>
      <c r="C1889" s="10" t="s">
        <v>1931</v>
      </c>
      <c r="D1889" s="10" t="s">
        <v>42</v>
      </c>
      <c r="E1889" s="10" t="s">
        <v>26</v>
      </c>
      <c r="F1889" s="10" t="s">
        <v>11</v>
      </c>
      <c r="G1889" s="10" t="s">
        <v>27</v>
      </c>
      <c r="H1889" s="10" t="s">
        <v>47</v>
      </c>
      <c r="I1889" s="45">
        <v>2232</v>
      </c>
      <c r="J1889" s="11">
        <v>0.58099999999999996</v>
      </c>
      <c r="K1889" s="45">
        <f t="shared" si="204"/>
        <v>935.20800000000008</v>
      </c>
      <c r="L1889" s="10">
        <v>33</v>
      </c>
      <c r="M1889" s="10">
        <v>4</v>
      </c>
      <c r="N1889" s="10" t="b">
        <v>0</v>
      </c>
      <c r="O1889" s="41"/>
      <c r="P1889" s="45">
        <f t="shared" si="205"/>
        <v>392.78736000000004</v>
      </c>
      <c r="Q1889" s="45">
        <f t="shared" si="206"/>
        <v>542.42064000000005</v>
      </c>
      <c r="R1889" s="45">
        <v>0</v>
      </c>
      <c r="S1889" s="45">
        <f t="shared" si="207"/>
        <v>0</v>
      </c>
      <c r="T1889" s="45">
        <f t="shared" si="208"/>
        <v>0</v>
      </c>
      <c r="U1889" s="47">
        <f t="shared" si="209"/>
        <v>542.42064000000005</v>
      </c>
    </row>
    <row r="1890" spans="1:21" x14ac:dyDescent="0.3">
      <c r="A1890" s="41" t="str">
        <f t="shared" si="203"/>
        <v>PMANTO</v>
      </c>
      <c r="B1890" s="43">
        <v>45889</v>
      </c>
      <c r="C1890" s="10" t="s">
        <v>1932</v>
      </c>
      <c r="D1890" s="10" t="s">
        <v>31</v>
      </c>
      <c r="E1890" s="10" t="s">
        <v>9</v>
      </c>
      <c r="F1890" s="10" t="s">
        <v>4</v>
      </c>
      <c r="G1890" s="10" t="s">
        <v>5</v>
      </c>
      <c r="H1890" s="10" t="s">
        <v>47</v>
      </c>
      <c r="I1890" s="45">
        <v>1043</v>
      </c>
      <c r="J1890" s="11">
        <v>0</v>
      </c>
      <c r="K1890" s="45">
        <f t="shared" si="204"/>
        <v>1043</v>
      </c>
      <c r="L1890" s="10">
        <v>28</v>
      </c>
      <c r="M1890" s="10">
        <v>3.9</v>
      </c>
      <c r="N1890" s="10" t="b">
        <v>0</v>
      </c>
      <c r="O1890" s="41"/>
      <c r="P1890" s="45">
        <f t="shared" si="205"/>
        <v>438.06</v>
      </c>
      <c r="Q1890" s="45">
        <f t="shared" si="206"/>
        <v>604.94000000000005</v>
      </c>
      <c r="R1890" s="45">
        <v>0</v>
      </c>
      <c r="S1890" s="45">
        <f t="shared" si="207"/>
        <v>0</v>
      </c>
      <c r="T1890" s="45">
        <f t="shared" si="208"/>
        <v>0</v>
      </c>
      <c r="U1890" s="47">
        <f t="shared" si="209"/>
        <v>604.94000000000005</v>
      </c>
    </row>
    <row r="1891" spans="1:21" x14ac:dyDescent="0.3">
      <c r="A1891" s="41" t="str">
        <f t="shared" si="203"/>
        <v>PBANSH</v>
      </c>
      <c r="B1891" s="43">
        <v>45889</v>
      </c>
      <c r="C1891" s="10" t="s">
        <v>1933</v>
      </c>
      <c r="D1891" s="10" t="s">
        <v>21</v>
      </c>
      <c r="E1891" s="10" t="s">
        <v>18</v>
      </c>
      <c r="F1891" s="10" t="s">
        <v>11</v>
      </c>
      <c r="G1891" s="10" t="s">
        <v>12</v>
      </c>
      <c r="H1891" s="10" t="s">
        <v>43</v>
      </c>
      <c r="I1891" s="45">
        <v>3739</v>
      </c>
      <c r="J1891" s="11">
        <v>0</v>
      </c>
      <c r="K1891" s="45">
        <f t="shared" si="204"/>
        <v>3739</v>
      </c>
      <c r="L1891" s="10">
        <v>18</v>
      </c>
      <c r="M1891" s="10">
        <v>4.5999999999999996</v>
      </c>
      <c r="N1891" s="10" t="b">
        <v>0</v>
      </c>
      <c r="O1891" s="41"/>
      <c r="P1891" s="45">
        <f t="shared" si="205"/>
        <v>1570.3799999999999</v>
      </c>
      <c r="Q1891" s="45">
        <f t="shared" si="206"/>
        <v>2168.62</v>
      </c>
      <c r="R1891" s="45">
        <v>0</v>
      </c>
      <c r="S1891" s="45">
        <f t="shared" si="207"/>
        <v>0</v>
      </c>
      <c r="T1891" s="45">
        <f t="shared" si="208"/>
        <v>0</v>
      </c>
      <c r="U1891" s="47">
        <f t="shared" si="209"/>
        <v>2168.62</v>
      </c>
    </row>
    <row r="1892" spans="1:21" x14ac:dyDescent="0.3">
      <c r="A1892" s="41" t="str">
        <f t="shared" si="203"/>
        <v>PFORBO</v>
      </c>
      <c r="B1892" s="43">
        <v>45890</v>
      </c>
      <c r="C1892" s="10" t="s">
        <v>1934</v>
      </c>
      <c r="D1892" s="10" t="s">
        <v>65</v>
      </c>
      <c r="E1892" s="10" t="s">
        <v>26</v>
      </c>
      <c r="F1892" s="10" t="s">
        <v>54</v>
      </c>
      <c r="G1892" s="10" t="s">
        <v>7</v>
      </c>
      <c r="H1892" s="10" t="s">
        <v>16</v>
      </c>
      <c r="I1892" s="45">
        <v>2889</v>
      </c>
      <c r="J1892" s="11">
        <v>0.18100000000000002</v>
      </c>
      <c r="K1892" s="45">
        <f t="shared" si="204"/>
        <v>2366.0909999999999</v>
      </c>
      <c r="L1892" s="10">
        <v>23</v>
      </c>
      <c r="M1892" s="10">
        <v>2.8</v>
      </c>
      <c r="N1892" s="10" t="b">
        <v>0</v>
      </c>
      <c r="O1892" s="41"/>
      <c r="P1892" s="45">
        <f t="shared" si="205"/>
        <v>993.75821999999994</v>
      </c>
      <c r="Q1892" s="45">
        <f t="shared" si="206"/>
        <v>1372.33278</v>
      </c>
      <c r="R1892" s="45">
        <v>0</v>
      </c>
      <c r="S1892" s="45">
        <f t="shared" si="207"/>
        <v>0</v>
      </c>
      <c r="T1892" s="45">
        <f t="shared" si="208"/>
        <v>0</v>
      </c>
      <c r="U1892" s="47">
        <f t="shared" si="209"/>
        <v>1372.33278</v>
      </c>
    </row>
    <row r="1893" spans="1:21" x14ac:dyDescent="0.3">
      <c r="A1893" s="41" t="str">
        <f t="shared" si="203"/>
        <v>PFOROU</v>
      </c>
      <c r="B1893" s="43">
        <v>45890</v>
      </c>
      <c r="C1893" s="10" t="s">
        <v>1935</v>
      </c>
      <c r="D1893" s="10" t="s">
        <v>65</v>
      </c>
      <c r="E1893" s="10" t="s">
        <v>2</v>
      </c>
      <c r="F1893" s="10" t="s">
        <v>4</v>
      </c>
      <c r="G1893" s="10" t="s">
        <v>12</v>
      </c>
      <c r="H1893" s="10" t="s">
        <v>58</v>
      </c>
      <c r="I1893" s="45">
        <v>3647</v>
      </c>
      <c r="J1893" s="11">
        <v>0.18899999999999997</v>
      </c>
      <c r="K1893" s="45">
        <f t="shared" si="204"/>
        <v>2957.7170000000001</v>
      </c>
      <c r="L1893" s="10">
        <v>50</v>
      </c>
      <c r="M1893" s="10"/>
      <c r="N1893" s="10" t="b">
        <v>1</v>
      </c>
      <c r="O1893" s="41" t="s">
        <v>44</v>
      </c>
      <c r="P1893" s="45">
        <f t="shared" si="205"/>
        <v>1242.2411400000001</v>
      </c>
      <c r="Q1893" s="45">
        <f t="shared" si="206"/>
        <v>1715.47586</v>
      </c>
      <c r="R1893" s="45">
        <v>150</v>
      </c>
      <c r="S1893" s="45">
        <f t="shared" si="207"/>
        <v>295.77170000000001</v>
      </c>
      <c r="T1893" s="45">
        <f t="shared" si="208"/>
        <v>2957.7170000000001</v>
      </c>
      <c r="U1893" s="47">
        <f t="shared" si="209"/>
        <v>-1688.0128400000001</v>
      </c>
    </row>
    <row r="1894" spans="1:21" x14ac:dyDescent="0.3">
      <c r="A1894" s="41" t="str">
        <f t="shared" si="203"/>
        <v>PBANOU</v>
      </c>
      <c r="B1894" s="43">
        <v>45890</v>
      </c>
      <c r="C1894" s="10" t="s">
        <v>1936</v>
      </c>
      <c r="D1894" s="10" t="s">
        <v>21</v>
      </c>
      <c r="E1894" s="10" t="s">
        <v>2</v>
      </c>
      <c r="F1894" s="10" t="s">
        <v>4</v>
      </c>
      <c r="G1894" s="10" t="s">
        <v>5</v>
      </c>
      <c r="H1894" s="10" t="s">
        <v>88</v>
      </c>
      <c r="I1894" s="45">
        <v>3084</v>
      </c>
      <c r="J1894" s="11">
        <v>0</v>
      </c>
      <c r="K1894" s="45">
        <f t="shared" si="204"/>
        <v>3084</v>
      </c>
      <c r="L1894" s="10">
        <v>0</v>
      </c>
      <c r="M1894" s="10">
        <v>2.4</v>
      </c>
      <c r="N1894" s="10" t="b">
        <v>0</v>
      </c>
      <c r="O1894" s="41"/>
      <c r="P1894" s="45">
        <f t="shared" si="205"/>
        <v>1295.28</v>
      </c>
      <c r="Q1894" s="45">
        <f t="shared" si="206"/>
        <v>1788.72</v>
      </c>
      <c r="R1894" s="45">
        <v>0</v>
      </c>
      <c r="S1894" s="45">
        <f t="shared" si="207"/>
        <v>0</v>
      </c>
      <c r="T1894" s="45">
        <f t="shared" si="208"/>
        <v>0</v>
      </c>
      <c r="U1894" s="47">
        <f t="shared" si="209"/>
        <v>1788.72</v>
      </c>
    </row>
    <row r="1895" spans="1:21" x14ac:dyDescent="0.3">
      <c r="A1895" s="41" t="str">
        <f t="shared" si="203"/>
        <v>PH&amp;MSH</v>
      </c>
      <c r="B1895" s="43">
        <v>45890</v>
      </c>
      <c r="C1895" s="10" t="s">
        <v>1937</v>
      </c>
      <c r="D1895" s="10" t="s">
        <v>37</v>
      </c>
      <c r="E1895" s="10" t="s">
        <v>18</v>
      </c>
      <c r="F1895" s="10" t="s">
        <v>11</v>
      </c>
      <c r="G1895" s="10" t="s">
        <v>5</v>
      </c>
      <c r="H1895" s="10" t="s">
        <v>32</v>
      </c>
      <c r="I1895" s="45">
        <v>4012</v>
      </c>
      <c r="J1895" s="11">
        <v>0.16200000000000001</v>
      </c>
      <c r="K1895" s="45">
        <f t="shared" si="204"/>
        <v>3362.056</v>
      </c>
      <c r="L1895" s="10">
        <v>36</v>
      </c>
      <c r="M1895" s="10">
        <v>1.5</v>
      </c>
      <c r="N1895" s="10" t="b">
        <v>0</v>
      </c>
      <c r="O1895" s="41"/>
      <c r="P1895" s="45">
        <f t="shared" si="205"/>
        <v>1412.0635199999999</v>
      </c>
      <c r="Q1895" s="45">
        <f t="shared" si="206"/>
        <v>1949.9924800000001</v>
      </c>
      <c r="R1895" s="45">
        <v>0</v>
      </c>
      <c r="S1895" s="45">
        <f t="shared" si="207"/>
        <v>0</v>
      </c>
      <c r="T1895" s="45">
        <f t="shared" si="208"/>
        <v>0</v>
      </c>
      <c r="U1895" s="47">
        <f t="shared" si="209"/>
        <v>1949.9924800000001</v>
      </c>
    </row>
    <row r="1896" spans="1:21" x14ac:dyDescent="0.3">
      <c r="A1896" s="41" t="str">
        <f t="shared" si="203"/>
        <v>PBANSH</v>
      </c>
      <c r="B1896" s="43">
        <v>45891</v>
      </c>
      <c r="C1896" s="10" t="s">
        <v>1938</v>
      </c>
      <c r="D1896" s="10" t="s">
        <v>21</v>
      </c>
      <c r="E1896" s="10" t="s">
        <v>18</v>
      </c>
      <c r="F1896" s="10" t="s">
        <v>23</v>
      </c>
      <c r="G1896" s="10" t="s">
        <v>12</v>
      </c>
      <c r="H1896" s="10" t="s">
        <v>6</v>
      </c>
      <c r="I1896" s="45">
        <v>4278</v>
      </c>
      <c r="J1896" s="11">
        <v>0</v>
      </c>
      <c r="K1896" s="45">
        <f t="shared" si="204"/>
        <v>4278</v>
      </c>
      <c r="L1896" s="10">
        <v>39</v>
      </c>
      <c r="M1896" s="10">
        <v>4.4000000000000004</v>
      </c>
      <c r="N1896" s="10" t="b">
        <v>1</v>
      </c>
      <c r="O1896" s="41" t="s">
        <v>309</v>
      </c>
      <c r="P1896" s="45">
        <f t="shared" si="205"/>
        <v>1796.76</v>
      </c>
      <c r="Q1896" s="45">
        <f t="shared" si="206"/>
        <v>2481.2399999999998</v>
      </c>
      <c r="R1896" s="45">
        <v>150</v>
      </c>
      <c r="S1896" s="45">
        <f t="shared" si="207"/>
        <v>427.8</v>
      </c>
      <c r="T1896" s="45">
        <f t="shared" si="208"/>
        <v>4278</v>
      </c>
      <c r="U1896" s="47">
        <f t="shared" si="209"/>
        <v>-2374.5600000000004</v>
      </c>
    </row>
    <row r="1897" spans="1:21" x14ac:dyDescent="0.3">
      <c r="A1897" s="41" t="str">
        <f t="shared" si="203"/>
        <v>PUNIAC</v>
      </c>
      <c r="B1897" s="43">
        <v>45891</v>
      </c>
      <c r="C1897" s="10" t="s">
        <v>1939</v>
      </c>
      <c r="D1897" s="10" t="s">
        <v>10</v>
      </c>
      <c r="E1897" s="10" t="s">
        <v>15</v>
      </c>
      <c r="F1897" s="10" t="s">
        <v>11</v>
      </c>
      <c r="G1897" s="10" t="s">
        <v>7</v>
      </c>
      <c r="H1897" s="10" t="s">
        <v>32</v>
      </c>
      <c r="I1897" s="45">
        <v>274</v>
      </c>
      <c r="J1897" s="11">
        <v>0.27300000000000002</v>
      </c>
      <c r="K1897" s="45">
        <f t="shared" si="204"/>
        <v>199.19800000000001</v>
      </c>
      <c r="L1897" s="10">
        <v>48</v>
      </c>
      <c r="M1897" s="10">
        <v>3.4</v>
      </c>
      <c r="N1897" s="10" t="b">
        <v>0</v>
      </c>
      <c r="O1897" s="41"/>
      <c r="P1897" s="45">
        <f t="shared" si="205"/>
        <v>83.663160000000005</v>
      </c>
      <c r="Q1897" s="45">
        <f t="shared" si="206"/>
        <v>115.53484</v>
      </c>
      <c r="R1897" s="45">
        <v>0</v>
      </c>
      <c r="S1897" s="45">
        <f t="shared" si="207"/>
        <v>0</v>
      </c>
      <c r="T1897" s="45">
        <f t="shared" si="208"/>
        <v>0</v>
      </c>
      <c r="U1897" s="47">
        <f t="shared" si="209"/>
        <v>115.53484</v>
      </c>
    </row>
    <row r="1898" spans="1:21" x14ac:dyDescent="0.3">
      <c r="A1898" s="41" t="str">
        <f t="shared" si="203"/>
        <v>PUNIBO</v>
      </c>
      <c r="B1898" s="43">
        <v>45891</v>
      </c>
      <c r="C1898" s="10" t="s">
        <v>1940</v>
      </c>
      <c r="D1898" s="10" t="s">
        <v>10</v>
      </c>
      <c r="E1898" s="10" t="s">
        <v>26</v>
      </c>
      <c r="F1898" s="10" t="s">
        <v>11</v>
      </c>
      <c r="G1898" s="10" t="s">
        <v>27</v>
      </c>
      <c r="H1898" s="10" t="s">
        <v>35</v>
      </c>
      <c r="I1898" s="45">
        <v>2879</v>
      </c>
      <c r="J1898" s="11">
        <v>0</v>
      </c>
      <c r="K1898" s="45">
        <f t="shared" si="204"/>
        <v>2879</v>
      </c>
      <c r="L1898" s="10">
        <v>36</v>
      </c>
      <c r="M1898" s="10">
        <v>2.6</v>
      </c>
      <c r="N1898" s="10" t="b">
        <v>0</v>
      </c>
      <c r="O1898" s="41"/>
      <c r="P1898" s="45">
        <f t="shared" si="205"/>
        <v>1209.18</v>
      </c>
      <c r="Q1898" s="45">
        <f t="shared" si="206"/>
        <v>1669.82</v>
      </c>
      <c r="R1898" s="45">
        <v>0</v>
      </c>
      <c r="S1898" s="45">
        <f t="shared" si="207"/>
        <v>0</v>
      </c>
      <c r="T1898" s="45">
        <f t="shared" si="208"/>
        <v>0</v>
      </c>
      <c r="U1898" s="47">
        <f t="shared" si="209"/>
        <v>1669.82</v>
      </c>
    </row>
    <row r="1899" spans="1:21" x14ac:dyDescent="0.3">
      <c r="A1899" s="41" t="str">
        <f t="shared" si="203"/>
        <v>PBANOU</v>
      </c>
      <c r="B1899" s="43">
        <v>45892</v>
      </c>
      <c r="C1899" s="10" t="s">
        <v>1941</v>
      </c>
      <c r="D1899" s="10" t="s">
        <v>21</v>
      </c>
      <c r="E1899" s="10" t="s">
        <v>2</v>
      </c>
      <c r="F1899" s="10" t="s">
        <v>4</v>
      </c>
      <c r="G1899" s="10" t="s">
        <v>27</v>
      </c>
      <c r="H1899" s="10" t="s">
        <v>28</v>
      </c>
      <c r="I1899" s="45">
        <v>3244</v>
      </c>
      <c r="J1899" s="11">
        <v>2.7000000000000003E-2</v>
      </c>
      <c r="K1899" s="45">
        <f t="shared" si="204"/>
        <v>3156.4119999999998</v>
      </c>
      <c r="L1899" s="10">
        <v>15</v>
      </c>
      <c r="M1899" s="10">
        <v>3.5</v>
      </c>
      <c r="N1899" s="10" t="b">
        <v>0</v>
      </c>
      <c r="O1899" s="41"/>
      <c r="P1899" s="45">
        <f t="shared" si="205"/>
        <v>1325.6930399999999</v>
      </c>
      <c r="Q1899" s="45">
        <f t="shared" si="206"/>
        <v>1830.7189599999999</v>
      </c>
      <c r="R1899" s="45">
        <v>0</v>
      </c>
      <c r="S1899" s="45">
        <f t="shared" si="207"/>
        <v>0</v>
      </c>
      <c r="T1899" s="45">
        <f t="shared" si="208"/>
        <v>0</v>
      </c>
      <c r="U1899" s="47">
        <f t="shared" si="209"/>
        <v>1830.7189599999999</v>
      </c>
    </row>
    <row r="1900" spans="1:21" x14ac:dyDescent="0.3">
      <c r="A1900" s="41" t="str">
        <f t="shared" si="203"/>
        <v>PFORBO</v>
      </c>
      <c r="B1900" s="43">
        <v>45892</v>
      </c>
      <c r="C1900" s="10" t="s">
        <v>1942</v>
      </c>
      <c r="D1900" s="10" t="s">
        <v>65</v>
      </c>
      <c r="E1900" s="10" t="s">
        <v>26</v>
      </c>
      <c r="F1900" s="10" t="s">
        <v>54</v>
      </c>
      <c r="G1900" s="10" t="s">
        <v>27</v>
      </c>
      <c r="H1900" s="10" t="s">
        <v>28</v>
      </c>
      <c r="I1900" s="45">
        <v>2942</v>
      </c>
      <c r="J1900" s="11">
        <v>7.8E-2</v>
      </c>
      <c r="K1900" s="45">
        <f t="shared" si="204"/>
        <v>2712.5240000000003</v>
      </c>
      <c r="L1900" s="10">
        <v>4</v>
      </c>
      <c r="M1900" s="10">
        <v>1.1000000000000001</v>
      </c>
      <c r="N1900" s="10" t="b">
        <v>1</v>
      </c>
      <c r="O1900" s="41" t="s">
        <v>44</v>
      </c>
      <c r="P1900" s="45">
        <f t="shared" si="205"/>
        <v>1139.26008</v>
      </c>
      <c r="Q1900" s="45">
        <f t="shared" si="206"/>
        <v>1573.2639200000003</v>
      </c>
      <c r="R1900" s="45">
        <v>150</v>
      </c>
      <c r="S1900" s="45">
        <f t="shared" si="207"/>
        <v>271.25240000000002</v>
      </c>
      <c r="T1900" s="45">
        <f t="shared" si="208"/>
        <v>2712.5240000000003</v>
      </c>
      <c r="U1900" s="47">
        <f t="shared" si="209"/>
        <v>-1560.5124800000001</v>
      </c>
    </row>
    <row r="1901" spans="1:21" x14ac:dyDescent="0.3">
      <c r="A1901" s="41" t="str">
        <f t="shared" si="203"/>
        <v>PBANSH</v>
      </c>
      <c r="B1901" s="43">
        <v>45892</v>
      </c>
      <c r="C1901" s="10" t="s">
        <v>1943</v>
      </c>
      <c r="D1901" s="10" t="s">
        <v>21</v>
      </c>
      <c r="E1901" s="10" t="s">
        <v>18</v>
      </c>
      <c r="F1901" s="10" t="s">
        <v>4</v>
      </c>
      <c r="G1901" s="10" t="s">
        <v>38</v>
      </c>
      <c r="H1901" s="10" t="s">
        <v>6</v>
      </c>
      <c r="I1901" s="45">
        <v>3629</v>
      </c>
      <c r="J1901" s="11">
        <v>0</v>
      </c>
      <c r="K1901" s="45">
        <f t="shared" si="204"/>
        <v>3629</v>
      </c>
      <c r="L1901" s="10">
        <v>49</v>
      </c>
      <c r="M1901" s="10">
        <v>3.6</v>
      </c>
      <c r="N1901" s="10" t="b">
        <v>0</v>
      </c>
      <c r="O1901" s="41"/>
      <c r="P1901" s="45">
        <f t="shared" si="205"/>
        <v>1524.1799999999998</v>
      </c>
      <c r="Q1901" s="45">
        <f t="shared" si="206"/>
        <v>2104.8200000000002</v>
      </c>
      <c r="R1901" s="45">
        <v>0</v>
      </c>
      <c r="S1901" s="45">
        <f t="shared" si="207"/>
        <v>0</v>
      </c>
      <c r="T1901" s="45">
        <f t="shared" si="208"/>
        <v>0</v>
      </c>
      <c r="U1901" s="47">
        <f t="shared" si="209"/>
        <v>2104.8200000000002</v>
      </c>
    </row>
    <row r="1902" spans="1:21" x14ac:dyDescent="0.3">
      <c r="A1902" s="41" t="str">
        <f t="shared" si="203"/>
        <v>PANNOU</v>
      </c>
      <c r="B1902" s="43">
        <v>45892</v>
      </c>
      <c r="C1902" s="10" t="s">
        <v>1944</v>
      </c>
      <c r="D1902" s="10" t="s">
        <v>42</v>
      </c>
      <c r="E1902" s="10" t="s">
        <v>2</v>
      </c>
      <c r="F1902" s="10" t="s">
        <v>54</v>
      </c>
      <c r="G1902" s="10" t="s">
        <v>27</v>
      </c>
      <c r="H1902" s="10" t="s">
        <v>47</v>
      </c>
      <c r="I1902" s="45">
        <v>3696</v>
      </c>
      <c r="J1902" s="11">
        <v>0</v>
      </c>
      <c r="K1902" s="45">
        <f t="shared" si="204"/>
        <v>3696</v>
      </c>
      <c r="L1902" s="10">
        <v>38</v>
      </c>
      <c r="M1902" s="10"/>
      <c r="N1902" s="10" t="b">
        <v>0</v>
      </c>
      <c r="O1902" s="41"/>
      <c r="P1902" s="45">
        <f t="shared" si="205"/>
        <v>1552.32</v>
      </c>
      <c r="Q1902" s="45">
        <f t="shared" si="206"/>
        <v>2143.6800000000003</v>
      </c>
      <c r="R1902" s="45">
        <v>0</v>
      </c>
      <c r="S1902" s="45">
        <f t="shared" si="207"/>
        <v>0</v>
      </c>
      <c r="T1902" s="45">
        <f t="shared" si="208"/>
        <v>0</v>
      </c>
      <c r="U1902" s="47">
        <f t="shared" si="209"/>
        <v>2143.6800000000003</v>
      </c>
    </row>
    <row r="1903" spans="1:21" x14ac:dyDescent="0.3">
      <c r="A1903" s="41" t="str">
        <f t="shared" si="203"/>
        <v>PZARTO</v>
      </c>
      <c r="B1903" s="43">
        <v>45893</v>
      </c>
      <c r="C1903" s="10" t="s">
        <v>1945</v>
      </c>
      <c r="D1903" s="10" t="s">
        <v>3</v>
      </c>
      <c r="E1903" s="10" t="s">
        <v>9</v>
      </c>
      <c r="F1903" s="10" t="s">
        <v>11</v>
      </c>
      <c r="G1903" s="10" t="s">
        <v>5</v>
      </c>
      <c r="H1903" s="10" t="s">
        <v>32</v>
      </c>
      <c r="I1903" s="45">
        <v>1368</v>
      </c>
      <c r="J1903" s="11">
        <v>0</v>
      </c>
      <c r="K1903" s="45">
        <f t="shared" si="204"/>
        <v>1368</v>
      </c>
      <c r="L1903" s="10">
        <v>0</v>
      </c>
      <c r="M1903" s="10">
        <v>4.5999999999999996</v>
      </c>
      <c r="N1903" s="10" t="b">
        <v>0</v>
      </c>
      <c r="O1903" s="41"/>
      <c r="P1903" s="45">
        <f t="shared" si="205"/>
        <v>574.55999999999995</v>
      </c>
      <c r="Q1903" s="45">
        <f t="shared" si="206"/>
        <v>793.44</v>
      </c>
      <c r="R1903" s="45">
        <v>0</v>
      </c>
      <c r="S1903" s="45">
        <f t="shared" si="207"/>
        <v>0</v>
      </c>
      <c r="T1903" s="45">
        <f t="shared" si="208"/>
        <v>0</v>
      </c>
      <c r="U1903" s="47">
        <f t="shared" si="209"/>
        <v>793.44</v>
      </c>
    </row>
    <row r="1904" spans="1:21" x14ac:dyDescent="0.3">
      <c r="A1904" s="41" t="str">
        <f t="shared" si="203"/>
        <v>PGAPTO</v>
      </c>
      <c r="B1904" s="43">
        <v>45893</v>
      </c>
      <c r="C1904" s="10" t="s">
        <v>1946</v>
      </c>
      <c r="D1904" s="10" t="s">
        <v>53</v>
      </c>
      <c r="E1904" s="10" t="s">
        <v>9</v>
      </c>
      <c r="F1904" s="10" t="s">
        <v>54</v>
      </c>
      <c r="G1904" s="10" t="s">
        <v>12</v>
      </c>
      <c r="H1904" s="10" t="s">
        <v>35</v>
      </c>
      <c r="I1904" s="45">
        <v>1240</v>
      </c>
      <c r="J1904" s="11">
        <v>0.377</v>
      </c>
      <c r="K1904" s="45">
        <f t="shared" si="204"/>
        <v>772.52</v>
      </c>
      <c r="L1904" s="10">
        <v>5</v>
      </c>
      <c r="M1904" s="10">
        <v>2.6</v>
      </c>
      <c r="N1904" s="10" t="b">
        <v>0</v>
      </c>
      <c r="O1904" s="41"/>
      <c r="P1904" s="45">
        <f t="shared" si="205"/>
        <v>324.45839999999998</v>
      </c>
      <c r="Q1904" s="45">
        <f t="shared" si="206"/>
        <v>448.0616</v>
      </c>
      <c r="R1904" s="45">
        <v>0</v>
      </c>
      <c r="S1904" s="45">
        <f t="shared" si="207"/>
        <v>0</v>
      </c>
      <c r="T1904" s="45">
        <f t="shared" si="208"/>
        <v>0</v>
      </c>
      <c r="U1904" s="47">
        <f t="shared" si="209"/>
        <v>448.0616</v>
      </c>
    </row>
    <row r="1905" spans="1:21" x14ac:dyDescent="0.3">
      <c r="A1905" s="41" t="str">
        <f t="shared" si="203"/>
        <v>PGAPBO</v>
      </c>
      <c r="B1905" s="43">
        <v>45893</v>
      </c>
      <c r="C1905" s="10" t="s">
        <v>1947</v>
      </c>
      <c r="D1905" s="10" t="s">
        <v>53</v>
      </c>
      <c r="E1905" s="10" t="s">
        <v>26</v>
      </c>
      <c r="F1905" s="10" t="s">
        <v>54</v>
      </c>
      <c r="G1905" s="10" t="s">
        <v>5</v>
      </c>
      <c r="H1905" s="10" t="s">
        <v>47</v>
      </c>
      <c r="I1905" s="45">
        <v>2676</v>
      </c>
      <c r="J1905" s="11">
        <v>0.24199999999999999</v>
      </c>
      <c r="K1905" s="45">
        <f t="shared" si="204"/>
        <v>2028.4080000000001</v>
      </c>
      <c r="L1905" s="10">
        <v>44</v>
      </c>
      <c r="M1905" s="10"/>
      <c r="N1905" s="10" t="b">
        <v>0</v>
      </c>
      <c r="O1905" s="41"/>
      <c r="P1905" s="45">
        <f t="shared" si="205"/>
        <v>851.93136000000004</v>
      </c>
      <c r="Q1905" s="45">
        <f t="shared" si="206"/>
        <v>1176.4766400000001</v>
      </c>
      <c r="R1905" s="45">
        <v>0</v>
      </c>
      <c r="S1905" s="45">
        <f t="shared" si="207"/>
        <v>0</v>
      </c>
      <c r="T1905" s="45">
        <f t="shared" si="208"/>
        <v>0</v>
      </c>
      <c r="U1905" s="47">
        <f t="shared" si="209"/>
        <v>1176.4766400000001</v>
      </c>
    </row>
    <row r="1906" spans="1:21" x14ac:dyDescent="0.3">
      <c r="A1906" s="41" t="str">
        <f t="shared" si="203"/>
        <v>PMANTO</v>
      </c>
      <c r="B1906" s="43">
        <v>45893</v>
      </c>
      <c r="C1906" s="10" t="s">
        <v>1948</v>
      </c>
      <c r="D1906" s="10" t="s">
        <v>31</v>
      </c>
      <c r="E1906" s="10" t="s">
        <v>9</v>
      </c>
      <c r="F1906" s="10" t="s">
        <v>23</v>
      </c>
      <c r="G1906" s="10" t="s">
        <v>5</v>
      </c>
      <c r="H1906" s="10" t="s">
        <v>13</v>
      </c>
      <c r="I1906" s="45">
        <v>1164</v>
      </c>
      <c r="J1906" s="11">
        <v>0</v>
      </c>
      <c r="K1906" s="45">
        <f t="shared" si="204"/>
        <v>1164</v>
      </c>
      <c r="L1906" s="10">
        <v>1</v>
      </c>
      <c r="M1906" s="10">
        <v>1.8</v>
      </c>
      <c r="N1906" s="10" t="b">
        <v>1</v>
      </c>
      <c r="O1906" s="41" t="s">
        <v>50</v>
      </c>
      <c r="P1906" s="45">
        <f t="shared" si="205"/>
        <v>488.88</v>
      </c>
      <c r="Q1906" s="45">
        <f t="shared" si="206"/>
        <v>675.12</v>
      </c>
      <c r="R1906" s="45">
        <v>150</v>
      </c>
      <c r="S1906" s="45">
        <f t="shared" si="207"/>
        <v>116.4</v>
      </c>
      <c r="T1906" s="45">
        <f t="shared" si="208"/>
        <v>1164</v>
      </c>
      <c r="U1906" s="47">
        <f t="shared" si="209"/>
        <v>-755.28</v>
      </c>
    </row>
    <row r="1907" spans="1:21" x14ac:dyDescent="0.3">
      <c r="A1907" s="41" t="str">
        <f t="shared" si="203"/>
        <v>PZARAC</v>
      </c>
      <c r="B1907" s="43">
        <v>45894</v>
      </c>
      <c r="C1907" s="10" t="s">
        <v>1949</v>
      </c>
      <c r="D1907" s="10" t="s">
        <v>3</v>
      </c>
      <c r="E1907" s="10" t="s">
        <v>15</v>
      </c>
      <c r="F1907" s="10" t="s">
        <v>11</v>
      </c>
      <c r="G1907" s="10" t="s">
        <v>7</v>
      </c>
      <c r="H1907" s="10" t="s">
        <v>7</v>
      </c>
      <c r="I1907" s="45">
        <v>263</v>
      </c>
      <c r="J1907" s="11">
        <v>0</v>
      </c>
      <c r="K1907" s="45">
        <f t="shared" si="204"/>
        <v>263</v>
      </c>
      <c r="L1907" s="10">
        <v>25</v>
      </c>
      <c r="M1907" s="10">
        <v>2.8</v>
      </c>
      <c r="N1907" s="10" t="b">
        <v>0</v>
      </c>
      <c r="O1907" s="41"/>
      <c r="P1907" s="45">
        <f t="shared" si="205"/>
        <v>110.46</v>
      </c>
      <c r="Q1907" s="45">
        <f t="shared" si="206"/>
        <v>152.54000000000002</v>
      </c>
      <c r="R1907" s="45">
        <v>0</v>
      </c>
      <c r="S1907" s="45">
        <f t="shared" si="207"/>
        <v>0</v>
      </c>
      <c r="T1907" s="45">
        <f t="shared" si="208"/>
        <v>0</v>
      </c>
      <c r="U1907" s="47">
        <f t="shared" si="209"/>
        <v>152.54000000000002</v>
      </c>
    </row>
    <row r="1908" spans="1:21" x14ac:dyDescent="0.3">
      <c r="A1908" s="41" t="str">
        <f t="shared" si="203"/>
        <v>PZARTO</v>
      </c>
      <c r="B1908" s="43">
        <v>45894</v>
      </c>
      <c r="C1908" s="10" t="s">
        <v>1950</v>
      </c>
      <c r="D1908" s="10" t="s">
        <v>3</v>
      </c>
      <c r="E1908" s="10" t="s">
        <v>9</v>
      </c>
      <c r="F1908" s="10" t="s">
        <v>4</v>
      </c>
      <c r="G1908" s="10" t="s">
        <v>38</v>
      </c>
      <c r="H1908" s="10" t="s">
        <v>6</v>
      </c>
      <c r="I1908" s="45">
        <v>1255</v>
      </c>
      <c r="J1908" s="11">
        <v>0</v>
      </c>
      <c r="K1908" s="45">
        <f t="shared" si="204"/>
        <v>1255</v>
      </c>
      <c r="L1908" s="10">
        <v>39</v>
      </c>
      <c r="M1908" s="10">
        <v>4.4000000000000004</v>
      </c>
      <c r="N1908" s="10" t="b">
        <v>0</v>
      </c>
      <c r="O1908" s="41"/>
      <c r="P1908" s="45">
        <f t="shared" si="205"/>
        <v>527.1</v>
      </c>
      <c r="Q1908" s="45">
        <f t="shared" si="206"/>
        <v>727.9</v>
      </c>
      <c r="R1908" s="45">
        <v>0</v>
      </c>
      <c r="S1908" s="45">
        <f t="shared" si="207"/>
        <v>0</v>
      </c>
      <c r="T1908" s="45">
        <f t="shared" si="208"/>
        <v>0</v>
      </c>
      <c r="U1908" s="47">
        <f t="shared" si="209"/>
        <v>727.9</v>
      </c>
    </row>
    <row r="1909" spans="1:21" x14ac:dyDescent="0.3">
      <c r="A1909" s="41" t="str">
        <f t="shared" si="203"/>
        <v>PFORDR</v>
      </c>
      <c r="B1909" s="43">
        <v>45894</v>
      </c>
      <c r="C1909" s="10" t="s">
        <v>1951</v>
      </c>
      <c r="D1909" s="10" t="s">
        <v>65</v>
      </c>
      <c r="E1909" s="10" t="s">
        <v>30</v>
      </c>
      <c r="F1909" s="10" t="s">
        <v>54</v>
      </c>
      <c r="G1909" s="10" t="s">
        <v>46</v>
      </c>
      <c r="H1909" s="10" t="s">
        <v>88</v>
      </c>
      <c r="I1909" s="45">
        <v>2304</v>
      </c>
      <c r="J1909" s="11">
        <v>0</v>
      </c>
      <c r="K1909" s="45">
        <f t="shared" si="204"/>
        <v>2304</v>
      </c>
      <c r="L1909" s="10">
        <v>27</v>
      </c>
      <c r="M1909" s="10">
        <v>2.7</v>
      </c>
      <c r="N1909" s="10" t="b">
        <v>0</v>
      </c>
      <c r="O1909" s="41"/>
      <c r="P1909" s="45">
        <f t="shared" si="205"/>
        <v>967.68</v>
      </c>
      <c r="Q1909" s="45">
        <f t="shared" si="206"/>
        <v>1336.3200000000002</v>
      </c>
      <c r="R1909" s="45">
        <v>0</v>
      </c>
      <c r="S1909" s="45">
        <f t="shared" si="207"/>
        <v>0</v>
      </c>
      <c r="T1909" s="45">
        <f t="shared" si="208"/>
        <v>0</v>
      </c>
      <c r="U1909" s="47">
        <f t="shared" si="209"/>
        <v>1336.3200000000002</v>
      </c>
    </row>
    <row r="1910" spans="1:21" x14ac:dyDescent="0.3">
      <c r="A1910" s="41" t="str">
        <f t="shared" si="203"/>
        <v>PUNIBO</v>
      </c>
      <c r="B1910" s="43">
        <v>45894</v>
      </c>
      <c r="C1910" s="10" t="s">
        <v>1952</v>
      </c>
      <c r="D1910" s="10" t="s">
        <v>10</v>
      </c>
      <c r="E1910" s="10" t="s">
        <v>26</v>
      </c>
      <c r="F1910" s="10" t="s">
        <v>4</v>
      </c>
      <c r="G1910" s="10" t="s">
        <v>46</v>
      </c>
      <c r="H1910" s="10" t="s">
        <v>13</v>
      </c>
      <c r="I1910" s="45">
        <v>2330</v>
      </c>
      <c r="J1910" s="11">
        <v>0.26</v>
      </c>
      <c r="K1910" s="45">
        <f t="shared" si="204"/>
        <v>1724.2</v>
      </c>
      <c r="L1910" s="10">
        <v>16</v>
      </c>
      <c r="M1910" s="10"/>
      <c r="N1910" s="10" t="b">
        <v>1</v>
      </c>
      <c r="O1910" s="41" t="s">
        <v>33</v>
      </c>
      <c r="P1910" s="45">
        <f t="shared" si="205"/>
        <v>724.16399999999999</v>
      </c>
      <c r="Q1910" s="45">
        <f t="shared" si="206"/>
        <v>1000.0360000000001</v>
      </c>
      <c r="R1910" s="45">
        <v>150</v>
      </c>
      <c r="S1910" s="45">
        <f t="shared" si="207"/>
        <v>172.42000000000002</v>
      </c>
      <c r="T1910" s="45">
        <f t="shared" si="208"/>
        <v>1724.2</v>
      </c>
      <c r="U1910" s="47">
        <f t="shared" si="209"/>
        <v>-1046.5840000000001</v>
      </c>
    </row>
    <row r="1911" spans="1:21" x14ac:dyDescent="0.3">
      <c r="A1911" s="41" t="str">
        <f t="shared" si="203"/>
        <v>PFORAC</v>
      </c>
      <c r="B1911" s="43">
        <v>45895</v>
      </c>
      <c r="C1911" s="10" t="s">
        <v>1953</v>
      </c>
      <c r="D1911" s="10" t="s">
        <v>65</v>
      </c>
      <c r="E1911" s="10" t="s">
        <v>15</v>
      </c>
      <c r="F1911" s="10" t="s">
        <v>54</v>
      </c>
      <c r="G1911" s="10" t="s">
        <v>7</v>
      </c>
      <c r="H1911" s="10" t="s">
        <v>47</v>
      </c>
      <c r="I1911" s="45">
        <v>239</v>
      </c>
      <c r="J1911" s="11">
        <v>0</v>
      </c>
      <c r="K1911" s="45">
        <f t="shared" si="204"/>
        <v>239</v>
      </c>
      <c r="L1911" s="10">
        <v>8</v>
      </c>
      <c r="M1911" s="10">
        <v>4.8</v>
      </c>
      <c r="N1911" s="10" t="b">
        <v>1</v>
      </c>
      <c r="O1911" s="41" t="s">
        <v>44</v>
      </c>
      <c r="P1911" s="45">
        <f t="shared" si="205"/>
        <v>100.38</v>
      </c>
      <c r="Q1911" s="45">
        <f t="shared" si="206"/>
        <v>138.62</v>
      </c>
      <c r="R1911" s="45">
        <v>150</v>
      </c>
      <c r="S1911" s="45">
        <f t="shared" si="207"/>
        <v>23.900000000000002</v>
      </c>
      <c r="T1911" s="45">
        <f t="shared" si="208"/>
        <v>239</v>
      </c>
      <c r="U1911" s="47">
        <f t="shared" si="209"/>
        <v>-274.27999999999997</v>
      </c>
    </row>
    <row r="1912" spans="1:21" x14ac:dyDescent="0.3">
      <c r="A1912" s="41" t="str">
        <f t="shared" si="203"/>
        <v>PANNOU</v>
      </c>
      <c r="B1912" s="43">
        <v>45895</v>
      </c>
      <c r="C1912" s="10" t="s">
        <v>1954</v>
      </c>
      <c r="D1912" s="10" t="s">
        <v>42</v>
      </c>
      <c r="E1912" s="10" t="s">
        <v>2</v>
      </c>
      <c r="F1912" s="10" t="s">
        <v>23</v>
      </c>
      <c r="G1912" s="10" t="s">
        <v>27</v>
      </c>
      <c r="H1912" s="10" t="s">
        <v>47</v>
      </c>
      <c r="I1912" s="45">
        <v>3575</v>
      </c>
      <c r="J1912" s="11">
        <v>0.53700000000000003</v>
      </c>
      <c r="K1912" s="45">
        <f t="shared" si="204"/>
        <v>1655.2249999999999</v>
      </c>
      <c r="L1912" s="10">
        <v>2</v>
      </c>
      <c r="M1912" s="10">
        <v>3.2</v>
      </c>
      <c r="N1912" s="10" t="b">
        <v>0</v>
      </c>
      <c r="O1912" s="41"/>
      <c r="P1912" s="45">
        <f t="shared" si="205"/>
        <v>695.19449999999995</v>
      </c>
      <c r="Q1912" s="45">
        <f t="shared" si="206"/>
        <v>960.03049999999996</v>
      </c>
      <c r="R1912" s="45">
        <v>0</v>
      </c>
      <c r="S1912" s="45">
        <f t="shared" si="207"/>
        <v>0</v>
      </c>
      <c r="T1912" s="45">
        <f t="shared" si="208"/>
        <v>0</v>
      </c>
      <c r="U1912" s="47">
        <f t="shared" si="209"/>
        <v>960.03049999999996</v>
      </c>
    </row>
    <row r="1913" spans="1:21" x14ac:dyDescent="0.3">
      <c r="A1913" s="41" t="str">
        <f t="shared" si="203"/>
        <v>PMANAC</v>
      </c>
      <c r="B1913" s="43">
        <v>45895</v>
      </c>
      <c r="C1913" s="10" t="s">
        <v>1955</v>
      </c>
      <c r="D1913" s="10" t="s">
        <v>31</v>
      </c>
      <c r="E1913" s="10" t="s">
        <v>15</v>
      </c>
      <c r="F1913" s="10" t="s">
        <v>23</v>
      </c>
      <c r="G1913" s="10" t="s">
        <v>7</v>
      </c>
      <c r="H1913" s="10" t="s">
        <v>28</v>
      </c>
      <c r="I1913" s="45">
        <v>186</v>
      </c>
      <c r="J1913" s="11">
        <v>0</v>
      </c>
      <c r="K1913" s="45">
        <f t="shared" si="204"/>
        <v>186</v>
      </c>
      <c r="L1913" s="10">
        <v>16</v>
      </c>
      <c r="M1913" s="10">
        <v>4.4000000000000004</v>
      </c>
      <c r="N1913" s="10" t="b">
        <v>0</v>
      </c>
      <c r="O1913" s="41"/>
      <c r="P1913" s="45">
        <f t="shared" si="205"/>
        <v>78.11999999999999</v>
      </c>
      <c r="Q1913" s="45">
        <f t="shared" si="206"/>
        <v>107.88000000000001</v>
      </c>
      <c r="R1913" s="45">
        <v>0</v>
      </c>
      <c r="S1913" s="45">
        <f t="shared" si="207"/>
        <v>0</v>
      </c>
      <c r="T1913" s="45">
        <f t="shared" si="208"/>
        <v>0</v>
      </c>
      <c r="U1913" s="47">
        <f t="shared" si="209"/>
        <v>107.88000000000001</v>
      </c>
    </row>
    <row r="1914" spans="1:21" x14ac:dyDescent="0.3">
      <c r="A1914" s="41" t="str">
        <f t="shared" si="203"/>
        <v>PZARSH</v>
      </c>
      <c r="B1914" s="43">
        <v>45895</v>
      </c>
      <c r="C1914" s="10" t="s">
        <v>1956</v>
      </c>
      <c r="D1914" s="10" t="s">
        <v>3</v>
      </c>
      <c r="E1914" s="10" t="s">
        <v>18</v>
      </c>
      <c r="F1914" s="10" t="s">
        <v>23</v>
      </c>
      <c r="G1914" s="10" t="s">
        <v>46</v>
      </c>
      <c r="H1914" s="10" t="s">
        <v>16</v>
      </c>
      <c r="I1914" s="45">
        <v>4014</v>
      </c>
      <c r="J1914" s="11">
        <v>0.24199999999999999</v>
      </c>
      <c r="K1914" s="45">
        <f t="shared" si="204"/>
        <v>3042.6120000000001</v>
      </c>
      <c r="L1914" s="10">
        <v>8</v>
      </c>
      <c r="M1914" s="10">
        <v>3.7</v>
      </c>
      <c r="N1914" s="10" t="b">
        <v>0</v>
      </c>
      <c r="O1914" s="41"/>
      <c r="P1914" s="45">
        <f t="shared" si="205"/>
        <v>1277.8970400000001</v>
      </c>
      <c r="Q1914" s="45">
        <f t="shared" si="206"/>
        <v>1764.71496</v>
      </c>
      <c r="R1914" s="45">
        <v>0</v>
      </c>
      <c r="S1914" s="45">
        <f t="shared" si="207"/>
        <v>0</v>
      </c>
      <c r="T1914" s="45">
        <f t="shared" si="208"/>
        <v>0</v>
      </c>
      <c r="U1914" s="47">
        <f t="shared" si="209"/>
        <v>1764.71496</v>
      </c>
    </row>
    <row r="1915" spans="1:21" x14ac:dyDescent="0.3">
      <c r="A1915" s="41" t="str">
        <f t="shared" si="203"/>
        <v>PMANOU</v>
      </c>
      <c r="B1915" s="43">
        <v>45896</v>
      </c>
      <c r="C1915" s="10" t="s">
        <v>1957</v>
      </c>
      <c r="D1915" s="10" t="s">
        <v>31</v>
      </c>
      <c r="E1915" s="10" t="s">
        <v>2</v>
      </c>
      <c r="F1915" s="10" t="s">
        <v>23</v>
      </c>
      <c r="G1915" s="10" t="s">
        <v>27</v>
      </c>
      <c r="H1915" s="10" t="s">
        <v>35</v>
      </c>
      <c r="I1915" s="45">
        <v>3423</v>
      </c>
      <c r="J1915" s="11">
        <v>0</v>
      </c>
      <c r="K1915" s="45">
        <f t="shared" si="204"/>
        <v>3423</v>
      </c>
      <c r="L1915" s="10">
        <v>49</v>
      </c>
      <c r="M1915" s="10">
        <v>4</v>
      </c>
      <c r="N1915" s="10" t="b">
        <v>1</v>
      </c>
      <c r="O1915" s="41" t="s">
        <v>33</v>
      </c>
      <c r="P1915" s="45">
        <f t="shared" si="205"/>
        <v>1437.6599999999999</v>
      </c>
      <c r="Q1915" s="45">
        <f t="shared" si="206"/>
        <v>1985.3400000000001</v>
      </c>
      <c r="R1915" s="45">
        <v>150</v>
      </c>
      <c r="S1915" s="45">
        <f t="shared" si="207"/>
        <v>342.3</v>
      </c>
      <c r="T1915" s="45">
        <f t="shared" si="208"/>
        <v>3423</v>
      </c>
      <c r="U1915" s="47">
        <f t="shared" si="209"/>
        <v>-1929.9599999999998</v>
      </c>
    </row>
    <row r="1916" spans="1:21" x14ac:dyDescent="0.3">
      <c r="A1916" s="41" t="str">
        <f t="shared" si="203"/>
        <v>PBANSH</v>
      </c>
      <c r="B1916" s="43">
        <v>45896</v>
      </c>
      <c r="C1916" s="10" t="s">
        <v>1958</v>
      </c>
      <c r="D1916" s="10" t="s">
        <v>21</v>
      </c>
      <c r="E1916" s="10" t="s">
        <v>18</v>
      </c>
      <c r="F1916" s="10" t="s">
        <v>4</v>
      </c>
      <c r="G1916" s="10" t="s">
        <v>46</v>
      </c>
      <c r="H1916" s="10" t="s">
        <v>35</v>
      </c>
      <c r="I1916" s="45">
        <v>3816</v>
      </c>
      <c r="J1916" s="11">
        <v>0</v>
      </c>
      <c r="K1916" s="45">
        <f t="shared" si="204"/>
        <v>3816</v>
      </c>
      <c r="L1916" s="10">
        <v>23</v>
      </c>
      <c r="M1916" s="10">
        <v>2.9</v>
      </c>
      <c r="N1916" s="10" t="b">
        <v>1</v>
      </c>
      <c r="O1916" s="41" t="s">
        <v>44</v>
      </c>
      <c r="P1916" s="45">
        <f t="shared" si="205"/>
        <v>1602.72</v>
      </c>
      <c r="Q1916" s="45">
        <f t="shared" si="206"/>
        <v>2213.2799999999997</v>
      </c>
      <c r="R1916" s="45">
        <v>150</v>
      </c>
      <c r="S1916" s="45">
        <f t="shared" si="207"/>
        <v>381.6</v>
      </c>
      <c r="T1916" s="45">
        <f t="shared" si="208"/>
        <v>3816</v>
      </c>
      <c r="U1916" s="47">
        <f t="shared" si="209"/>
        <v>-2134.3200000000002</v>
      </c>
    </row>
    <row r="1917" spans="1:21" x14ac:dyDescent="0.3">
      <c r="A1917" s="41" t="str">
        <f t="shared" si="203"/>
        <v>PANNTO</v>
      </c>
      <c r="B1917" s="43">
        <v>45896</v>
      </c>
      <c r="C1917" s="10" t="s">
        <v>1959</v>
      </c>
      <c r="D1917" s="10" t="s">
        <v>42</v>
      </c>
      <c r="E1917" s="10" t="s">
        <v>9</v>
      </c>
      <c r="F1917" s="10" t="s">
        <v>54</v>
      </c>
      <c r="G1917" s="10" t="s">
        <v>49</v>
      </c>
      <c r="H1917" s="10" t="s">
        <v>13</v>
      </c>
      <c r="I1917" s="45">
        <v>1675</v>
      </c>
      <c r="J1917" s="11">
        <v>0</v>
      </c>
      <c r="K1917" s="45">
        <f t="shared" si="204"/>
        <v>1675</v>
      </c>
      <c r="L1917" s="10">
        <v>37</v>
      </c>
      <c r="M1917" s="10">
        <v>2.2000000000000002</v>
      </c>
      <c r="N1917" s="10" t="b">
        <v>0</v>
      </c>
      <c r="O1917" s="41"/>
      <c r="P1917" s="45">
        <f t="shared" si="205"/>
        <v>703.5</v>
      </c>
      <c r="Q1917" s="45">
        <f t="shared" si="206"/>
        <v>971.5</v>
      </c>
      <c r="R1917" s="45">
        <v>0</v>
      </c>
      <c r="S1917" s="45">
        <f t="shared" si="207"/>
        <v>0</v>
      </c>
      <c r="T1917" s="45">
        <f t="shared" si="208"/>
        <v>0</v>
      </c>
      <c r="U1917" s="47">
        <f t="shared" si="209"/>
        <v>971.5</v>
      </c>
    </row>
    <row r="1918" spans="1:21" x14ac:dyDescent="0.3">
      <c r="A1918" s="41" t="str">
        <f t="shared" si="203"/>
        <v>PZAROU</v>
      </c>
      <c r="B1918" s="43">
        <v>45896</v>
      </c>
      <c r="C1918" s="10" t="s">
        <v>1960</v>
      </c>
      <c r="D1918" s="10" t="s">
        <v>3</v>
      </c>
      <c r="E1918" s="10" t="s">
        <v>2</v>
      </c>
      <c r="F1918" s="10" t="s">
        <v>11</v>
      </c>
      <c r="G1918" s="10" t="s">
        <v>38</v>
      </c>
      <c r="H1918" s="10" t="s">
        <v>35</v>
      </c>
      <c r="I1918" s="45">
        <v>4145</v>
      </c>
      <c r="J1918" s="11">
        <v>0.58700000000000008</v>
      </c>
      <c r="K1918" s="45">
        <f t="shared" si="204"/>
        <v>1711.8849999999998</v>
      </c>
      <c r="L1918" s="10">
        <v>34</v>
      </c>
      <c r="M1918" s="10">
        <v>3.3</v>
      </c>
      <c r="N1918" s="10" t="b">
        <v>0</v>
      </c>
      <c r="O1918" s="41"/>
      <c r="P1918" s="45">
        <f t="shared" si="205"/>
        <v>718.99169999999992</v>
      </c>
      <c r="Q1918" s="45">
        <f t="shared" si="206"/>
        <v>992.89329999999984</v>
      </c>
      <c r="R1918" s="45">
        <v>0</v>
      </c>
      <c r="S1918" s="45">
        <f t="shared" si="207"/>
        <v>0</v>
      </c>
      <c r="T1918" s="45">
        <f t="shared" si="208"/>
        <v>0</v>
      </c>
      <c r="U1918" s="47">
        <f t="shared" si="209"/>
        <v>992.89329999999984</v>
      </c>
    </row>
    <row r="1919" spans="1:21" x14ac:dyDescent="0.3">
      <c r="A1919" s="41" t="str">
        <f t="shared" si="203"/>
        <v>PBANAC</v>
      </c>
      <c r="B1919" s="43">
        <v>45897</v>
      </c>
      <c r="C1919" s="10" t="s">
        <v>1961</v>
      </c>
      <c r="D1919" s="10" t="s">
        <v>21</v>
      </c>
      <c r="E1919" s="10" t="s">
        <v>15</v>
      </c>
      <c r="F1919" s="10" t="s">
        <v>54</v>
      </c>
      <c r="G1919" s="10" t="s">
        <v>7</v>
      </c>
      <c r="H1919" s="10" t="s">
        <v>35</v>
      </c>
      <c r="I1919" s="45">
        <v>259</v>
      </c>
      <c r="J1919" s="11">
        <v>0</v>
      </c>
      <c r="K1919" s="45">
        <f t="shared" si="204"/>
        <v>259</v>
      </c>
      <c r="L1919" s="10">
        <v>43</v>
      </c>
      <c r="M1919" s="10">
        <v>2.2999999999999998</v>
      </c>
      <c r="N1919" s="10" t="b">
        <v>0</v>
      </c>
      <c r="O1919" s="41"/>
      <c r="P1919" s="45">
        <f t="shared" si="205"/>
        <v>108.78</v>
      </c>
      <c r="Q1919" s="45">
        <f t="shared" si="206"/>
        <v>150.22</v>
      </c>
      <c r="R1919" s="45">
        <v>0</v>
      </c>
      <c r="S1919" s="45">
        <f t="shared" si="207"/>
        <v>0</v>
      </c>
      <c r="T1919" s="45">
        <f t="shared" si="208"/>
        <v>0</v>
      </c>
      <c r="U1919" s="47">
        <f t="shared" si="209"/>
        <v>150.22</v>
      </c>
    </row>
    <row r="1920" spans="1:21" x14ac:dyDescent="0.3">
      <c r="A1920" s="41" t="str">
        <f t="shared" si="203"/>
        <v>PZARDR</v>
      </c>
      <c r="B1920" s="43">
        <v>45897</v>
      </c>
      <c r="C1920" s="10" t="s">
        <v>1962</v>
      </c>
      <c r="D1920" s="10" t="s">
        <v>3</v>
      </c>
      <c r="E1920" s="10" t="s">
        <v>30</v>
      </c>
      <c r="F1920" s="10" t="s">
        <v>4</v>
      </c>
      <c r="G1920" s="10" t="s">
        <v>7</v>
      </c>
      <c r="H1920" s="10" t="s">
        <v>56</v>
      </c>
      <c r="I1920" s="45">
        <v>2533</v>
      </c>
      <c r="J1920" s="11">
        <v>0</v>
      </c>
      <c r="K1920" s="45">
        <f t="shared" si="204"/>
        <v>2533</v>
      </c>
      <c r="L1920" s="10">
        <v>28</v>
      </c>
      <c r="M1920" s="10">
        <v>3</v>
      </c>
      <c r="N1920" s="10" t="b">
        <v>0</v>
      </c>
      <c r="O1920" s="41"/>
      <c r="P1920" s="45">
        <f t="shared" si="205"/>
        <v>1063.8599999999999</v>
      </c>
      <c r="Q1920" s="45">
        <f t="shared" si="206"/>
        <v>1469.14</v>
      </c>
      <c r="R1920" s="45">
        <v>0</v>
      </c>
      <c r="S1920" s="45">
        <f t="shared" si="207"/>
        <v>0</v>
      </c>
      <c r="T1920" s="45">
        <f t="shared" si="208"/>
        <v>0</v>
      </c>
      <c r="U1920" s="47">
        <f t="shared" si="209"/>
        <v>1469.14</v>
      </c>
    </row>
    <row r="1921" spans="1:21" x14ac:dyDescent="0.3">
      <c r="A1921" s="41" t="str">
        <f t="shared" si="203"/>
        <v>PBANOU</v>
      </c>
      <c r="B1921" s="43">
        <v>45897</v>
      </c>
      <c r="C1921" s="10" t="s">
        <v>1963</v>
      </c>
      <c r="D1921" s="10" t="s">
        <v>21</v>
      </c>
      <c r="E1921" s="10" t="s">
        <v>2</v>
      </c>
      <c r="F1921" s="10" t="s">
        <v>4</v>
      </c>
      <c r="G1921" s="10" t="s">
        <v>49</v>
      </c>
      <c r="H1921" s="10" t="s">
        <v>43</v>
      </c>
      <c r="I1921" s="45">
        <v>3804</v>
      </c>
      <c r="J1921" s="11">
        <v>0</v>
      </c>
      <c r="K1921" s="45">
        <f t="shared" si="204"/>
        <v>3804</v>
      </c>
      <c r="L1921" s="10">
        <v>30</v>
      </c>
      <c r="M1921" s="10">
        <v>4.3</v>
      </c>
      <c r="N1921" s="10" t="b">
        <v>1</v>
      </c>
      <c r="O1921" s="41" t="s">
        <v>24</v>
      </c>
      <c r="P1921" s="45">
        <f t="shared" si="205"/>
        <v>1597.6799999999998</v>
      </c>
      <c r="Q1921" s="45">
        <f t="shared" si="206"/>
        <v>2206.3200000000002</v>
      </c>
      <c r="R1921" s="45">
        <v>150</v>
      </c>
      <c r="S1921" s="45">
        <f t="shared" si="207"/>
        <v>380.40000000000003</v>
      </c>
      <c r="T1921" s="45">
        <f t="shared" si="208"/>
        <v>3804</v>
      </c>
      <c r="U1921" s="47">
        <f t="shared" si="209"/>
        <v>-2128.08</v>
      </c>
    </row>
    <row r="1922" spans="1:21" x14ac:dyDescent="0.3">
      <c r="A1922" s="41" t="str">
        <f t="shared" ref="A1922:A1985" si="210">UPPER("P"&amp;LEFT(D1922,3)&amp;LEFT(E1922,2))</f>
        <v>PZARAC</v>
      </c>
      <c r="B1922" s="43">
        <v>45897</v>
      </c>
      <c r="C1922" s="10" t="s">
        <v>1964</v>
      </c>
      <c r="D1922" s="10" t="s">
        <v>3</v>
      </c>
      <c r="E1922" s="10" t="s">
        <v>15</v>
      </c>
      <c r="F1922" s="10" t="s">
        <v>23</v>
      </c>
      <c r="G1922" s="10" t="s">
        <v>7</v>
      </c>
      <c r="H1922" s="10" t="s">
        <v>43</v>
      </c>
      <c r="I1922" s="45">
        <v>477</v>
      </c>
      <c r="J1922" s="11">
        <v>0</v>
      </c>
      <c r="K1922" s="45">
        <f t="shared" si="204"/>
        <v>477</v>
      </c>
      <c r="L1922" s="10">
        <v>33</v>
      </c>
      <c r="M1922" s="10">
        <v>2.8</v>
      </c>
      <c r="N1922" s="10" t="b">
        <v>0</v>
      </c>
      <c r="O1922" s="41"/>
      <c r="P1922" s="45">
        <f t="shared" si="205"/>
        <v>200.34</v>
      </c>
      <c r="Q1922" s="45">
        <f t="shared" si="206"/>
        <v>276.65999999999997</v>
      </c>
      <c r="R1922" s="45">
        <v>0</v>
      </c>
      <c r="S1922" s="45">
        <f t="shared" si="207"/>
        <v>0</v>
      </c>
      <c r="T1922" s="45">
        <f t="shared" si="208"/>
        <v>0</v>
      </c>
      <c r="U1922" s="47">
        <f t="shared" si="209"/>
        <v>276.65999999999997</v>
      </c>
    </row>
    <row r="1923" spans="1:21" x14ac:dyDescent="0.3">
      <c r="A1923" s="41" t="str">
        <f t="shared" si="210"/>
        <v>PANNTO</v>
      </c>
      <c r="B1923" s="43">
        <v>45897</v>
      </c>
      <c r="C1923" s="10" t="s">
        <v>1965</v>
      </c>
      <c r="D1923" s="10" t="s">
        <v>42</v>
      </c>
      <c r="E1923" s="10" t="s">
        <v>9</v>
      </c>
      <c r="F1923" s="10" t="s">
        <v>23</v>
      </c>
      <c r="G1923" s="10" t="s">
        <v>46</v>
      </c>
      <c r="H1923" s="10" t="s">
        <v>28</v>
      </c>
      <c r="I1923" s="45">
        <v>1202</v>
      </c>
      <c r="J1923" s="11">
        <v>0.24299999999999999</v>
      </c>
      <c r="K1923" s="45">
        <f t="shared" ref="K1923:K1986" si="211">I1923*(1-J1923)</f>
        <v>909.91399999999999</v>
      </c>
      <c r="L1923" s="10">
        <v>10</v>
      </c>
      <c r="M1923" s="10">
        <v>3.4</v>
      </c>
      <c r="N1923" s="10" t="b">
        <v>0</v>
      </c>
      <c r="O1923" s="41"/>
      <c r="P1923" s="45">
        <f t="shared" ref="P1923:P1986" si="212">K1923*0.42</f>
        <v>382.16388000000001</v>
      </c>
      <c r="Q1923" s="45">
        <f t="shared" ref="Q1923:Q1986" si="213">K1923-P1923</f>
        <v>527.75011999999992</v>
      </c>
      <c r="R1923" s="45">
        <v>0</v>
      </c>
      <c r="S1923" s="45">
        <f t="shared" ref="S1923:S1986" si="214">IF(N1923=TRUE,K1923*0.1,0)</f>
        <v>0</v>
      </c>
      <c r="T1923" s="45">
        <f t="shared" ref="T1923:T1986" si="215">IF(N1923=TRUE,K1923,0)</f>
        <v>0</v>
      </c>
      <c r="U1923" s="47">
        <f t="shared" ref="U1923:U1986" si="216">Q1923-R1923-S1923-T1923</f>
        <v>527.75011999999992</v>
      </c>
    </row>
    <row r="1924" spans="1:21" x14ac:dyDescent="0.3">
      <c r="A1924" s="41" t="str">
        <f t="shared" si="210"/>
        <v>PZARSH</v>
      </c>
      <c r="B1924" s="43">
        <v>45898</v>
      </c>
      <c r="C1924" s="10" t="s">
        <v>1966</v>
      </c>
      <c r="D1924" s="10" t="s">
        <v>3</v>
      </c>
      <c r="E1924" s="10" t="s">
        <v>18</v>
      </c>
      <c r="F1924" s="10" t="s">
        <v>4</v>
      </c>
      <c r="G1924" s="10" t="s">
        <v>27</v>
      </c>
      <c r="H1924" s="10" t="s">
        <v>35</v>
      </c>
      <c r="I1924" s="45">
        <v>4326</v>
      </c>
      <c r="J1924" s="11">
        <v>0</v>
      </c>
      <c r="K1924" s="45">
        <f t="shared" si="211"/>
        <v>4326</v>
      </c>
      <c r="L1924" s="10">
        <v>32</v>
      </c>
      <c r="M1924" s="10"/>
      <c r="N1924" s="10" t="b">
        <v>1</v>
      </c>
      <c r="O1924" s="41" t="s">
        <v>33</v>
      </c>
      <c r="P1924" s="45">
        <f t="shared" si="212"/>
        <v>1816.9199999999998</v>
      </c>
      <c r="Q1924" s="45">
        <f t="shared" si="213"/>
        <v>2509.08</v>
      </c>
      <c r="R1924" s="45">
        <v>150</v>
      </c>
      <c r="S1924" s="45">
        <f t="shared" si="214"/>
        <v>432.6</v>
      </c>
      <c r="T1924" s="45">
        <f t="shared" si="215"/>
        <v>4326</v>
      </c>
      <c r="U1924" s="47">
        <f t="shared" si="216"/>
        <v>-2399.52</v>
      </c>
    </row>
    <row r="1925" spans="1:21" x14ac:dyDescent="0.3">
      <c r="A1925" s="41" t="str">
        <f t="shared" si="210"/>
        <v>PBANTO</v>
      </c>
      <c r="B1925" s="43">
        <v>45898</v>
      </c>
      <c r="C1925" s="10" t="s">
        <v>1967</v>
      </c>
      <c r="D1925" s="10" t="s">
        <v>21</v>
      </c>
      <c r="E1925" s="10" t="s">
        <v>9</v>
      </c>
      <c r="F1925" s="10" t="s">
        <v>11</v>
      </c>
      <c r="G1925" s="10" t="s">
        <v>46</v>
      </c>
      <c r="H1925" s="10" t="s">
        <v>32</v>
      </c>
      <c r="I1925" s="45">
        <v>1766</v>
      </c>
      <c r="J1925" s="11">
        <v>0.59299999999999997</v>
      </c>
      <c r="K1925" s="45">
        <f t="shared" si="211"/>
        <v>718.76200000000006</v>
      </c>
      <c r="L1925" s="10">
        <v>34</v>
      </c>
      <c r="M1925" s="10">
        <v>1.2</v>
      </c>
      <c r="N1925" s="10" t="b">
        <v>0</v>
      </c>
      <c r="O1925" s="41"/>
      <c r="P1925" s="45">
        <f t="shared" si="212"/>
        <v>301.88004000000001</v>
      </c>
      <c r="Q1925" s="45">
        <f t="shared" si="213"/>
        <v>416.88196000000005</v>
      </c>
      <c r="R1925" s="45">
        <v>0</v>
      </c>
      <c r="S1925" s="45">
        <f t="shared" si="214"/>
        <v>0</v>
      </c>
      <c r="T1925" s="45">
        <f t="shared" si="215"/>
        <v>0</v>
      </c>
      <c r="U1925" s="47">
        <f t="shared" si="216"/>
        <v>416.88196000000005</v>
      </c>
    </row>
    <row r="1926" spans="1:21" x14ac:dyDescent="0.3">
      <c r="A1926" s="41" t="str">
        <f t="shared" si="210"/>
        <v>PFORBO</v>
      </c>
      <c r="B1926" s="43">
        <v>45898</v>
      </c>
      <c r="C1926" s="10" t="s">
        <v>1968</v>
      </c>
      <c r="D1926" s="10" t="s">
        <v>65</v>
      </c>
      <c r="E1926" s="10" t="s">
        <v>26</v>
      </c>
      <c r="F1926" s="10" t="s">
        <v>23</v>
      </c>
      <c r="G1926" s="10" t="s">
        <v>12</v>
      </c>
      <c r="H1926" s="10" t="s">
        <v>58</v>
      </c>
      <c r="I1926" s="45">
        <v>2526</v>
      </c>
      <c r="J1926" s="11">
        <v>0</v>
      </c>
      <c r="K1926" s="45">
        <f t="shared" si="211"/>
        <v>2526</v>
      </c>
      <c r="L1926" s="10">
        <v>22</v>
      </c>
      <c r="M1926" s="10">
        <v>4.9000000000000004</v>
      </c>
      <c r="N1926" s="10" t="b">
        <v>1</v>
      </c>
      <c r="O1926" s="41" t="s">
        <v>50</v>
      </c>
      <c r="P1926" s="45">
        <f t="shared" si="212"/>
        <v>1060.92</v>
      </c>
      <c r="Q1926" s="45">
        <f t="shared" si="213"/>
        <v>1465.08</v>
      </c>
      <c r="R1926" s="45">
        <v>150</v>
      </c>
      <c r="S1926" s="45">
        <f t="shared" si="214"/>
        <v>252.60000000000002</v>
      </c>
      <c r="T1926" s="45">
        <f t="shared" si="215"/>
        <v>2526</v>
      </c>
      <c r="U1926" s="47">
        <f t="shared" si="216"/>
        <v>-1463.52</v>
      </c>
    </row>
    <row r="1927" spans="1:21" x14ac:dyDescent="0.3">
      <c r="A1927" s="41" t="str">
        <f t="shared" si="210"/>
        <v>PANNAC</v>
      </c>
      <c r="B1927" s="43">
        <v>45899</v>
      </c>
      <c r="C1927" s="10" t="s">
        <v>1969</v>
      </c>
      <c r="D1927" s="10" t="s">
        <v>42</v>
      </c>
      <c r="E1927" s="10" t="s">
        <v>15</v>
      </c>
      <c r="F1927" s="10" t="s">
        <v>4</v>
      </c>
      <c r="G1927" s="10" t="s">
        <v>7</v>
      </c>
      <c r="H1927" s="10" t="s">
        <v>32</v>
      </c>
      <c r="I1927" s="45">
        <v>481</v>
      </c>
      <c r="J1927" s="11">
        <v>0</v>
      </c>
      <c r="K1927" s="45">
        <f t="shared" si="211"/>
        <v>481</v>
      </c>
      <c r="L1927" s="10">
        <v>20</v>
      </c>
      <c r="M1927" s="10">
        <v>1.9</v>
      </c>
      <c r="N1927" s="10" t="b">
        <v>0</v>
      </c>
      <c r="O1927" s="41"/>
      <c r="P1927" s="45">
        <f t="shared" si="212"/>
        <v>202.01999999999998</v>
      </c>
      <c r="Q1927" s="45">
        <f t="shared" si="213"/>
        <v>278.98</v>
      </c>
      <c r="R1927" s="45">
        <v>0</v>
      </c>
      <c r="S1927" s="45">
        <f t="shared" si="214"/>
        <v>0</v>
      </c>
      <c r="T1927" s="45">
        <f t="shared" si="215"/>
        <v>0</v>
      </c>
      <c r="U1927" s="47">
        <f t="shared" si="216"/>
        <v>278.98</v>
      </c>
    </row>
    <row r="1928" spans="1:21" x14ac:dyDescent="0.3">
      <c r="A1928" s="41" t="str">
        <f t="shared" si="210"/>
        <v>PUNITO</v>
      </c>
      <c r="B1928" s="43">
        <v>45899</v>
      </c>
      <c r="C1928" s="10" t="s">
        <v>1970</v>
      </c>
      <c r="D1928" s="10" t="s">
        <v>10</v>
      </c>
      <c r="E1928" s="10" t="s">
        <v>9</v>
      </c>
      <c r="F1928" s="10" t="s">
        <v>23</v>
      </c>
      <c r="G1928" s="10" t="s">
        <v>49</v>
      </c>
      <c r="H1928" s="10" t="s">
        <v>58</v>
      </c>
      <c r="I1928" s="45">
        <v>1452</v>
      </c>
      <c r="J1928" s="11">
        <v>0</v>
      </c>
      <c r="K1928" s="45">
        <f t="shared" si="211"/>
        <v>1452</v>
      </c>
      <c r="L1928" s="10">
        <v>7</v>
      </c>
      <c r="M1928" s="10"/>
      <c r="N1928" s="10" t="b">
        <v>1</v>
      </c>
      <c r="O1928" s="41" t="s">
        <v>309</v>
      </c>
      <c r="P1928" s="45">
        <f t="shared" si="212"/>
        <v>609.84</v>
      </c>
      <c r="Q1928" s="45">
        <f t="shared" si="213"/>
        <v>842.16</v>
      </c>
      <c r="R1928" s="45">
        <v>150</v>
      </c>
      <c r="S1928" s="45">
        <f t="shared" si="214"/>
        <v>145.20000000000002</v>
      </c>
      <c r="T1928" s="45">
        <f t="shared" si="215"/>
        <v>1452</v>
      </c>
      <c r="U1928" s="47">
        <f t="shared" si="216"/>
        <v>-905.04000000000008</v>
      </c>
    </row>
    <row r="1929" spans="1:21" x14ac:dyDescent="0.3">
      <c r="A1929" s="41" t="str">
        <f t="shared" si="210"/>
        <v>PGAPDR</v>
      </c>
      <c r="B1929" s="43">
        <v>45899</v>
      </c>
      <c r="C1929" s="10" t="s">
        <v>1971</v>
      </c>
      <c r="D1929" s="10" t="s">
        <v>53</v>
      </c>
      <c r="E1929" s="10" t="s">
        <v>30</v>
      </c>
      <c r="F1929" s="10" t="s">
        <v>23</v>
      </c>
      <c r="G1929" s="10" t="s">
        <v>5</v>
      </c>
      <c r="H1929" s="10" t="s">
        <v>28</v>
      </c>
      <c r="I1929" s="45">
        <v>1983</v>
      </c>
      <c r="J1929" s="11">
        <v>0</v>
      </c>
      <c r="K1929" s="45">
        <f t="shared" si="211"/>
        <v>1983</v>
      </c>
      <c r="L1929" s="10">
        <v>49</v>
      </c>
      <c r="M1929" s="10">
        <v>3.3</v>
      </c>
      <c r="N1929" s="10" t="b">
        <v>1</v>
      </c>
      <c r="O1929" s="41" t="s">
        <v>44</v>
      </c>
      <c r="P1929" s="45">
        <f t="shared" si="212"/>
        <v>832.86</v>
      </c>
      <c r="Q1929" s="45">
        <f t="shared" si="213"/>
        <v>1150.1399999999999</v>
      </c>
      <c r="R1929" s="45">
        <v>150</v>
      </c>
      <c r="S1929" s="45">
        <f t="shared" si="214"/>
        <v>198.3</v>
      </c>
      <c r="T1929" s="45">
        <f t="shared" si="215"/>
        <v>1983</v>
      </c>
      <c r="U1929" s="47">
        <f t="shared" si="216"/>
        <v>-1181.1600000000001</v>
      </c>
    </row>
    <row r="1930" spans="1:21" x14ac:dyDescent="0.3">
      <c r="A1930" s="41" t="str">
        <f t="shared" si="210"/>
        <v>PUNIBO</v>
      </c>
      <c r="B1930" s="43">
        <v>45899</v>
      </c>
      <c r="C1930" s="10" t="s">
        <v>1972</v>
      </c>
      <c r="D1930" s="10" t="s">
        <v>10</v>
      </c>
      <c r="E1930" s="10" t="s">
        <v>26</v>
      </c>
      <c r="F1930" s="10" t="s">
        <v>11</v>
      </c>
      <c r="G1930" s="10" t="s">
        <v>38</v>
      </c>
      <c r="H1930" s="10" t="s">
        <v>32</v>
      </c>
      <c r="I1930" s="45">
        <v>2504</v>
      </c>
      <c r="J1930" s="11">
        <v>0</v>
      </c>
      <c r="K1930" s="45">
        <f t="shared" si="211"/>
        <v>2504</v>
      </c>
      <c r="L1930" s="10">
        <v>11</v>
      </c>
      <c r="M1930" s="10">
        <v>4</v>
      </c>
      <c r="N1930" s="10" t="b">
        <v>0</v>
      </c>
      <c r="O1930" s="41"/>
      <c r="P1930" s="45">
        <f t="shared" si="212"/>
        <v>1051.68</v>
      </c>
      <c r="Q1930" s="45">
        <f t="shared" si="213"/>
        <v>1452.32</v>
      </c>
      <c r="R1930" s="45">
        <v>0</v>
      </c>
      <c r="S1930" s="45">
        <f t="shared" si="214"/>
        <v>0</v>
      </c>
      <c r="T1930" s="45">
        <f t="shared" si="215"/>
        <v>0</v>
      </c>
      <c r="U1930" s="47">
        <f t="shared" si="216"/>
        <v>1452.32</v>
      </c>
    </row>
    <row r="1931" spans="1:21" x14ac:dyDescent="0.3">
      <c r="A1931" s="41" t="str">
        <f t="shared" si="210"/>
        <v>PANNOU</v>
      </c>
      <c r="B1931" s="43">
        <v>45900</v>
      </c>
      <c r="C1931" s="10" t="s">
        <v>1973</v>
      </c>
      <c r="D1931" s="10" t="s">
        <v>42</v>
      </c>
      <c r="E1931" s="10" t="s">
        <v>2</v>
      </c>
      <c r="F1931" s="10" t="s">
        <v>4</v>
      </c>
      <c r="G1931" s="10" t="s">
        <v>46</v>
      </c>
      <c r="H1931" s="10" t="s">
        <v>88</v>
      </c>
      <c r="I1931" s="45">
        <v>4193</v>
      </c>
      <c r="J1931" s="11">
        <v>0</v>
      </c>
      <c r="K1931" s="45">
        <f t="shared" si="211"/>
        <v>4193</v>
      </c>
      <c r="L1931" s="10">
        <v>19</v>
      </c>
      <c r="M1931" s="10">
        <v>4.0999999999999996</v>
      </c>
      <c r="N1931" s="10" t="b">
        <v>0</v>
      </c>
      <c r="O1931" s="41"/>
      <c r="P1931" s="45">
        <f t="shared" si="212"/>
        <v>1761.06</v>
      </c>
      <c r="Q1931" s="45">
        <f t="shared" si="213"/>
        <v>2431.94</v>
      </c>
      <c r="R1931" s="45">
        <v>0</v>
      </c>
      <c r="S1931" s="45">
        <f t="shared" si="214"/>
        <v>0</v>
      </c>
      <c r="T1931" s="45">
        <f t="shared" si="215"/>
        <v>0</v>
      </c>
      <c r="U1931" s="47">
        <f t="shared" si="216"/>
        <v>2431.94</v>
      </c>
    </row>
    <row r="1932" spans="1:21" x14ac:dyDescent="0.3">
      <c r="A1932" s="41" t="str">
        <f t="shared" si="210"/>
        <v>PMANOU</v>
      </c>
      <c r="B1932" s="43">
        <v>45900</v>
      </c>
      <c r="C1932" s="10" t="s">
        <v>1974</v>
      </c>
      <c r="D1932" s="10" t="s">
        <v>31</v>
      </c>
      <c r="E1932" s="10" t="s">
        <v>2</v>
      </c>
      <c r="F1932" s="10" t="s">
        <v>23</v>
      </c>
      <c r="G1932" s="10" t="s">
        <v>46</v>
      </c>
      <c r="H1932" s="10" t="s">
        <v>58</v>
      </c>
      <c r="I1932" s="45">
        <v>3817</v>
      </c>
      <c r="J1932" s="11">
        <v>0.56399999999999995</v>
      </c>
      <c r="K1932" s="45">
        <f t="shared" si="211"/>
        <v>1664.2120000000002</v>
      </c>
      <c r="L1932" s="10">
        <v>43</v>
      </c>
      <c r="M1932" s="10">
        <v>1.2</v>
      </c>
      <c r="N1932" s="10" t="b">
        <v>0</v>
      </c>
      <c r="O1932" s="41"/>
      <c r="P1932" s="45">
        <f t="shared" si="212"/>
        <v>698.96904000000006</v>
      </c>
      <c r="Q1932" s="45">
        <f t="shared" si="213"/>
        <v>965.24296000000015</v>
      </c>
      <c r="R1932" s="45">
        <v>0</v>
      </c>
      <c r="S1932" s="45">
        <f t="shared" si="214"/>
        <v>0</v>
      </c>
      <c r="T1932" s="45">
        <f t="shared" si="215"/>
        <v>0</v>
      </c>
      <c r="U1932" s="47">
        <f t="shared" si="216"/>
        <v>965.24296000000015</v>
      </c>
    </row>
    <row r="1933" spans="1:21" x14ac:dyDescent="0.3">
      <c r="A1933" s="41" t="str">
        <f t="shared" si="210"/>
        <v>PUNITO</v>
      </c>
      <c r="B1933" s="43">
        <v>45900</v>
      </c>
      <c r="C1933" s="10" t="s">
        <v>1975</v>
      </c>
      <c r="D1933" s="10" t="s">
        <v>10</v>
      </c>
      <c r="E1933" s="10" t="s">
        <v>9</v>
      </c>
      <c r="F1933" s="10" t="s">
        <v>4</v>
      </c>
      <c r="G1933" s="10" t="s">
        <v>5</v>
      </c>
      <c r="H1933" s="10" t="s">
        <v>35</v>
      </c>
      <c r="I1933" s="45">
        <v>1665</v>
      </c>
      <c r="J1933" s="11">
        <v>0.17399999999999999</v>
      </c>
      <c r="K1933" s="45">
        <f t="shared" si="211"/>
        <v>1375.2900000000002</v>
      </c>
      <c r="L1933" s="10">
        <v>4</v>
      </c>
      <c r="M1933" s="10">
        <v>1.8</v>
      </c>
      <c r="N1933" s="10" t="b">
        <v>0</v>
      </c>
      <c r="O1933" s="41"/>
      <c r="P1933" s="45">
        <f t="shared" si="212"/>
        <v>577.62180000000001</v>
      </c>
      <c r="Q1933" s="45">
        <f t="shared" si="213"/>
        <v>797.66820000000018</v>
      </c>
      <c r="R1933" s="45">
        <v>0</v>
      </c>
      <c r="S1933" s="45">
        <f t="shared" si="214"/>
        <v>0</v>
      </c>
      <c r="T1933" s="45">
        <f t="shared" si="215"/>
        <v>0</v>
      </c>
      <c r="U1933" s="47">
        <f t="shared" si="216"/>
        <v>797.66820000000018</v>
      </c>
    </row>
    <row r="1934" spans="1:21" x14ac:dyDescent="0.3">
      <c r="A1934" s="41" t="str">
        <f t="shared" si="210"/>
        <v>PUNISH</v>
      </c>
      <c r="B1934" s="43">
        <v>45900</v>
      </c>
      <c r="C1934" s="10" t="s">
        <v>1976</v>
      </c>
      <c r="D1934" s="10" t="s">
        <v>10</v>
      </c>
      <c r="E1934" s="10" t="s">
        <v>18</v>
      </c>
      <c r="F1934" s="10" t="s">
        <v>11</v>
      </c>
      <c r="G1934" s="10" t="s">
        <v>38</v>
      </c>
      <c r="H1934" s="10" t="s">
        <v>35</v>
      </c>
      <c r="I1934" s="45">
        <v>3265</v>
      </c>
      <c r="J1934" s="11">
        <v>0</v>
      </c>
      <c r="K1934" s="45">
        <f t="shared" si="211"/>
        <v>3265</v>
      </c>
      <c r="L1934" s="10">
        <v>38</v>
      </c>
      <c r="M1934" s="10">
        <v>3.8</v>
      </c>
      <c r="N1934" s="10" t="b">
        <v>0</v>
      </c>
      <c r="O1934" s="41"/>
      <c r="P1934" s="45">
        <f t="shared" si="212"/>
        <v>1371.3</v>
      </c>
      <c r="Q1934" s="45">
        <f t="shared" si="213"/>
        <v>1893.7</v>
      </c>
      <c r="R1934" s="45">
        <v>0</v>
      </c>
      <c r="S1934" s="45">
        <f t="shared" si="214"/>
        <v>0</v>
      </c>
      <c r="T1934" s="45">
        <f t="shared" si="215"/>
        <v>0</v>
      </c>
      <c r="U1934" s="47">
        <f t="shared" si="216"/>
        <v>1893.7</v>
      </c>
    </row>
    <row r="1935" spans="1:21" x14ac:dyDescent="0.3">
      <c r="A1935" s="41" t="str">
        <f t="shared" si="210"/>
        <v>PFORTO</v>
      </c>
      <c r="B1935" s="43">
        <v>45901</v>
      </c>
      <c r="C1935" s="10" t="s">
        <v>1977</v>
      </c>
      <c r="D1935" s="10" t="s">
        <v>65</v>
      </c>
      <c r="E1935" s="10" t="s">
        <v>9</v>
      </c>
      <c r="F1935" s="10" t="s">
        <v>11</v>
      </c>
      <c r="G1935" s="10" t="s">
        <v>38</v>
      </c>
      <c r="H1935" s="10" t="s">
        <v>35</v>
      </c>
      <c r="I1935" s="45">
        <v>1016</v>
      </c>
      <c r="J1935" s="11">
        <v>0</v>
      </c>
      <c r="K1935" s="45">
        <f t="shared" si="211"/>
        <v>1016</v>
      </c>
      <c r="L1935" s="10">
        <v>0</v>
      </c>
      <c r="M1935" s="10">
        <v>4.8</v>
      </c>
      <c r="N1935" s="10" t="b">
        <v>0</v>
      </c>
      <c r="O1935" s="41"/>
      <c r="P1935" s="45">
        <f t="shared" si="212"/>
        <v>426.71999999999997</v>
      </c>
      <c r="Q1935" s="45">
        <f t="shared" si="213"/>
        <v>589.28</v>
      </c>
      <c r="R1935" s="45">
        <v>0</v>
      </c>
      <c r="S1935" s="45">
        <f t="shared" si="214"/>
        <v>0</v>
      </c>
      <c r="T1935" s="45">
        <f t="shared" si="215"/>
        <v>0</v>
      </c>
      <c r="U1935" s="47">
        <f t="shared" si="216"/>
        <v>589.28</v>
      </c>
    </row>
    <row r="1936" spans="1:21" x14ac:dyDescent="0.3">
      <c r="A1936" s="41" t="str">
        <f t="shared" si="210"/>
        <v>PH&amp;MOU</v>
      </c>
      <c r="B1936" s="43">
        <v>45901</v>
      </c>
      <c r="C1936" s="10" t="s">
        <v>1978</v>
      </c>
      <c r="D1936" s="10" t="s">
        <v>37</v>
      </c>
      <c r="E1936" s="10" t="s">
        <v>2</v>
      </c>
      <c r="F1936" s="10" t="s">
        <v>54</v>
      </c>
      <c r="G1936" s="10" t="s">
        <v>12</v>
      </c>
      <c r="H1936" s="10" t="s">
        <v>6</v>
      </c>
      <c r="I1936" s="45">
        <v>3866</v>
      </c>
      <c r="J1936" s="11">
        <v>0.28100000000000003</v>
      </c>
      <c r="K1936" s="45">
        <f t="shared" si="211"/>
        <v>2779.654</v>
      </c>
      <c r="L1936" s="10">
        <v>46</v>
      </c>
      <c r="M1936" s="10"/>
      <c r="N1936" s="10" t="b">
        <v>0</v>
      </c>
      <c r="O1936" s="41"/>
      <c r="P1936" s="45">
        <f t="shared" si="212"/>
        <v>1167.4546800000001</v>
      </c>
      <c r="Q1936" s="45">
        <f t="shared" si="213"/>
        <v>1612.1993199999999</v>
      </c>
      <c r="R1936" s="45">
        <v>0</v>
      </c>
      <c r="S1936" s="45">
        <f t="shared" si="214"/>
        <v>0</v>
      </c>
      <c r="T1936" s="45">
        <f t="shared" si="215"/>
        <v>0</v>
      </c>
      <c r="U1936" s="47">
        <f t="shared" si="216"/>
        <v>1612.1993199999999</v>
      </c>
    </row>
    <row r="1937" spans="1:21" x14ac:dyDescent="0.3">
      <c r="A1937" s="41" t="str">
        <f t="shared" si="210"/>
        <v>PBANOU</v>
      </c>
      <c r="B1937" s="43">
        <v>45901</v>
      </c>
      <c r="C1937" s="10" t="s">
        <v>1979</v>
      </c>
      <c r="D1937" s="10" t="s">
        <v>21</v>
      </c>
      <c r="E1937" s="10" t="s">
        <v>2</v>
      </c>
      <c r="F1937" s="10" t="s">
        <v>23</v>
      </c>
      <c r="G1937" s="10" t="s">
        <v>27</v>
      </c>
      <c r="H1937" s="10" t="s">
        <v>13</v>
      </c>
      <c r="I1937" s="45">
        <v>4315</v>
      </c>
      <c r="J1937" s="11">
        <v>0.50700000000000001</v>
      </c>
      <c r="K1937" s="45">
        <f t="shared" si="211"/>
        <v>2127.2950000000001</v>
      </c>
      <c r="L1937" s="10">
        <v>9</v>
      </c>
      <c r="M1937" s="10">
        <v>3.2</v>
      </c>
      <c r="N1937" s="10" t="b">
        <v>0</v>
      </c>
      <c r="O1937" s="41"/>
      <c r="P1937" s="45">
        <f t="shared" si="212"/>
        <v>893.46389999999997</v>
      </c>
      <c r="Q1937" s="45">
        <f t="shared" si="213"/>
        <v>1233.8311000000001</v>
      </c>
      <c r="R1937" s="45">
        <v>0</v>
      </c>
      <c r="S1937" s="45">
        <f t="shared" si="214"/>
        <v>0</v>
      </c>
      <c r="T1937" s="45">
        <f t="shared" si="215"/>
        <v>0</v>
      </c>
      <c r="U1937" s="47">
        <f t="shared" si="216"/>
        <v>1233.8311000000001</v>
      </c>
    </row>
    <row r="1938" spans="1:21" x14ac:dyDescent="0.3">
      <c r="A1938" s="41" t="str">
        <f t="shared" si="210"/>
        <v>PH&amp;MBO</v>
      </c>
      <c r="B1938" s="43">
        <v>45901</v>
      </c>
      <c r="C1938" s="10" t="s">
        <v>1980</v>
      </c>
      <c r="D1938" s="10" t="s">
        <v>37</v>
      </c>
      <c r="E1938" s="10" t="s">
        <v>26</v>
      </c>
      <c r="F1938" s="10" t="s">
        <v>23</v>
      </c>
      <c r="G1938" s="10" t="s">
        <v>46</v>
      </c>
      <c r="H1938" s="10" t="s">
        <v>28</v>
      </c>
      <c r="I1938" s="45">
        <v>2458</v>
      </c>
      <c r="J1938" s="11">
        <v>5.0999999999999997E-2</v>
      </c>
      <c r="K1938" s="45">
        <f t="shared" si="211"/>
        <v>2332.6419999999998</v>
      </c>
      <c r="L1938" s="10">
        <v>21</v>
      </c>
      <c r="M1938" s="10">
        <v>2</v>
      </c>
      <c r="N1938" s="10" t="b">
        <v>1</v>
      </c>
      <c r="O1938" s="41" t="s">
        <v>33</v>
      </c>
      <c r="P1938" s="45">
        <f t="shared" si="212"/>
        <v>979.70963999999992</v>
      </c>
      <c r="Q1938" s="45">
        <f t="shared" si="213"/>
        <v>1352.9323599999998</v>
      </c>
      <c r="R1938" s="45">
        <v>150</v>
      </c>
      <c r="S1938" s="45">
        <f t="shared" si="214"/>
        <v>233.26419999999999</v>
      </c>
      <c r="T1938" s="45">
        <f t="shared" si="215"/>
        <v>2332.6419999999998</v>
      </c>
      <c r="U1938" s="47">
        <f t="shared" si="216"/>
        <v>-1362.9738400000001</v>
      </c>
    </row>
    <row r="1939" spans="1:21" x14ac:dyDescent="0.3">
      <c r="A1939" s="41" t="str">
        <f t="shared" si="210"/>
        <v>PH&amp;MOU</v>
      </c>
      <c r="B1939" s="43">
        <v>45902</v>
      </c>
      <c r="C1939" s="10" t="s">
        <v>1981</v>
      </c>
      <c r="D1939" s="10" t="s">
        <v>37</v>
      </c>
      <c r="E1939" s="10" t="s">
        <v>2</v>
      </c>
      <c r="F1939" s="10" t="s">
        <v>4</v>
      </c>
      <c r="G1939" s="10" t="s">
        <v>38</v>
      </c>
      <c r="H1939" s="10" t="s">
        <v>43</v>
      </c>
      <c r="I1939" s="45">
        <v>4227</v>
      </c>
      <c r="J1939" s="11">
        <v>0.29299999999999998</v>
      </c>
      <c r="K1939" s="45">
        <f t="shared" si="211"/>
        <v>2988.4890000000005</v>
      </c>
      <c r="L1939" s="10">
        <v>35</v>
      </c>
      <c r="M1939" s="10">
        <v>1.3</v>
      </c>
      <c r="N1939" s="10" t="b">
        <v>0</v>
      </c>
      <c r="O1939" s="41"/>
      <c r="P1939" s="45">
        <f t="shared" si="212"/>
        <v>1255.1653800000001</v>
      </c>
      <c r="Q1939" s="45">
        <f t="shared" si="213"/>
        <v>1733.3236200000003</v>
      </c>
      <c r="R1939" s="45">
        <v>0</v>
      </c>
      <c r="S1939" s="45">
        <f t="shared" si="214"/>
        <v>0</v>
      </c>
      <c r="T1939" s="45">
        <f t="shared" si="215"/>
        <v>0</v>
      </c>
      <c r="U1939" s="47">
        <f t="shared" si="216"/>
        <v>1733.3236200000003</v>
      </c>
    </row>
    <row r="1940" spans="1:21" x14ac:dyDescent="0.3">
      <c r="A1940" s="41" t="str">
        <f t="shared" si="210"/>
        <v>PANNAC</v>
      </c>
      <c r="B1940" s="43">
        <v>45902</v>
      </c>
      <c r="C1940" s="10" t="s">
        <v>1982</v>
      </c>
      <c r="D1940" s="10" t="s">
        <v>42</v>
      </c>
      <c r="E1940" s="10" t="s">
        <v>15</v>
      </c>
      <c r="F1940" s="10" t="s">
        <v>54</v>
      </c>
      <c r="G1940" s="10" t="s">
        <v>7</v>
      </c>
      <c r="H1940" s="10" t="s">
        <v>47</v>
      </c>
      <c r="I1940" s="45">
        <v>358</v>
      </c>
      <c r="J1940" s="11">
        <v>0.57899999999999996</v>
      </c>
      <c r="K1940" s="45">
        <f t="shared" si="211"/>
        <v>150.71800000000002</v>
      </c>
      <c r="L1940" s="10">
        <v>36</v>
      </c>
      <c r="M1940" s="10"/>
      <c r="N1940" s="10" t="b">
        <v>1</v>
      </c>
      <c r="O1940" s="41" t="s">
        <v>33</v>
      </c>
      <c r="P1940" s="45">
        <f t="shared" si="212"/>
        <v>63.301560000000002</v>
      </c>
      <c r="Q1940" s="45">
        <f t="shared" si="213"/>
        <v>87.416440000000023</v>
      </c>
      <c r="R1940" s="45">
        <v>150</v>
      </c>
      <c r="S1940" s="45">
        <f t="shared" si="214"/>
        <v>15.071800000000003</v>
      </c>
      <c r="T1940" s="45">
        <f t="shared" si="215"/>
        <v>150.71800000000002</v>
      </c>
      <c r="U1940" s="47">
        <f t="shared" si="216"/>
        <v>-228.37335999999999</v>
      </c>
    </row>
    <row r="1941" spans="1:21" x14ac:dyDescent="0.3">
      <c r="A1941" s="41" t="str">
        <f t="shared" si="210"/>
        <v>PH&amp;MSH</v>
      </c>
      <c r="B1941" s="43">
        <v>45902</v>
      </c>
      <c r="C1941" s="10" t="s">
        <v>1983</v>
      </c>
      <c r="D1941" s="10" t="s">
        <v>37</v>
      </c>
      <c r="E1941" s="10" t="s">
        <v>18</v>
      </c>
      <c r="F1941" s="10" t="s">
        <v>23</v>
      </c>
      <c r="G1941" s="10" t="s">
        <v>49</v>
      </c>
      <c r="H1941" s="10" t="s">
        <v>35</v>
      </c>
      <c r="I1941" s="45">
        <v>3426</v>
      </c>
      <c r="J1941" s="11">
        <v>0.52800000000000002</v>
      </c>
      <c r="K1941" s="45">
        <f t="shared" si="211"/>
        <v>1617.0719999999999</v>
      </c>
      <c r="L1941" s="10">
        <v>6</v>
      </c>
      <c r="M1941" s="10">
        <v>2.7</v>
      </c>
      <c r="N1941" s="10" t="b">
        <v>0</v>
      </c>
      <c r="O1941" s="41"/>
      <c r="P1941" s="45">
        <f t="shared" si="212"/>
        <v>679.17023999999992</v>
      </c>
      <c r="Q1941" s="45">
        <f t="shared" si="213"/>
        <v>937.90175999999997</v>
      </c>
      <c r="R1941" s="45">
        <v>0</v>
      </c>
      <c r="S1941" s="45">
        <f t="shared" si="214"/>
        <v>0</v>
      </c>
      <c r="T1941" s="45">
        <f t="shared" si="215"/>
        <v>0</v>
      </c>
      <c r="U1941" s="47">
        <f t="shared" si="216"/>
        <v>937.90175999999997</v>
      </c>
    </row>
    <row r="1942" spans="1:21" x14ac:dyDescent="0.3">
      <c r="A1942" s="41" t="str">
        <f t="shared" si="210"/>
        <v>PANNSH</v>
      </c>
      <c r="B1942" s="43">
        <v>45903</v>
      </c>
      <c r="C1942" s="10" t="s">
        <v>1984</v>
      </c>
      <c r="D1942" s="10" t="s">
        <v>42</v>
      </c>
      <c r="E1942" s="10" t="s">
        <v>18</v>
      </c>
      <c r="F1942" s="10" t="s">
        <v>23</v>
      </c>
      <c r="G1942" s="10" t="s">
        <v>46</v>
      </c>
      <c r="H1942" s="10" t="s">
        <v>43</v>
      </c>
      <c r="I1942" s="45">
        <v>3164</v>
      </c>
      <c r="J1942" s="11">
        <v>0.45399999999999996</v>
      </c>
      <c r="K1942" s="45">
        <f t="shared" si="211"/>
        <v>1727.5440000000001</v>
      </c>
      <c r="L1942" s="10">
        <v>20</v>
      </c>
      <c r="M1942" s="10">
        <v>1.7</v>
      </c>
      <c r="N1942" s="10" t="b">
        <v>1</v>
      </c>
      <c r="O1942" s="41" t="s">
        <v>33</v>
      </c>
      <c r="P1942" s="45">
        <f t="shared" si="212"/>
        <v>725.56848000000002</v>
      </c>
      <c r="Q1942" s="45">
        <f t="shared" si="213"/>
        <v>1001.9755200000001</v>
      </c>
      <c r="R1942" s="45">
        <v>150</v>
      </c>
      <c r="S1942" s="45">
        <f t="shared" si="214"/>
        <v>172.75440000000003</v>
      </c>
      <c r="T1942" s="45">
        <f t="shared" si="215"/>
        <v>1727.5440000000001</v>
      </c>
      <c r="U1942" s="47">
        <f t="shared" si="216"/>
        <v>-1048.3228800000002</v>
      </c>
    </row>
    <row r="1943" spans="1:21" x14ac:dyDescent="0.3">
      <c r="A1943" s="41" t="str">
        <f t="shared" si="210"/>
        <v>PBANOU</v>
      </c>
      <c r="B1943" s="43">
        <v>45903</v>
      </c>
      <c r="C1943" s="10" t="s">
        <v>1985</v>
      </c>
      <c r="D1943" s="10" t="s">
        <v>21</v>
      </c>
      <c r="E1943" s="10" t="s">
        <v>2</v>
      </c>
      <c r="F1943" s="10" t="s">
        <v>11</v>
      </c>
      <c r="G1943" s="10" t="s">
        <v>46</v>
      </c>
      <c r="H1943" s="10" t="s">
        <v>43</v>
      </c>
      <c r="I1943" s="45">
        <v>3656</v>
      </c>
      <c r="J1943" s="11">
        <v>0</v>
      </c>
      <c r="K1943" s="45">
        <f t="shared" si="211"/>
        <v>3656</v>
      </c>
      <c r="L1943" s="10">
        <v>37</v>
      </c>
      <c r="M1943" s="10">
        <v>3.2</v>
      </c>
      <c r="N1943" s="10" t="b">
        <v>1</v>
      </c>
      <c r="O1943" s="41" t="s">
        <v>19</v>
      </c>
      <c r="P1943" s="45">
        <f t="shared" si="212"/>
        <v>1535.52</v>
      </c>
      <c r="Q1943" s="45">
        <f t="shared" si="213"/>
        <v>2120.48</v>
      </c>
      <c r="R1943" s="45">
        <v>150</v>
      </c>
      <c r="S1943" s="45">
        <f t="shared" si="214"/>
        <v>365.6</v>
      </c>
      <c r="T1943" s="45">
        <f t="shared" si="215"/>
        <v>3656</v>
      </c>
      <c r="U1943" s="47">
        <f t="shared" si="216"/>
        <v>-2051.12</v>
      </c>
    </row>
    <row r="1944" spans="1:21" x14ac:dyDescent="0.3">
      <c r="A1944" s="41" t="str">
        <f t="shared" si="210"/>
        <v>PANNSH</v>
      </c>
      <c r="B1944" s="43">
        <v>45903</v>
      </c>
      <c r="C1944" s="10" t="s">
        <v>1986</v>
      </c>
      <c r="D1944" s="10" t="s">
        <v>42</v>
      </c>
      <c r="E1944" s="10" t="s">
        <v>18</v>
      </c>
      <c r="F1944" s="10" t="s">
        <v>4</v>
      </c>
      <c r="G1944" s="10" t="s">
        <v>27</v>
      </c>
      <c r="H1944" s="10" t="s">
        <v>6</v>
      </c>
      <c r="I1944" s="45">
        <v>4492</v>
      </c>
      <c r="J1944" s="11">
        <v>0</v>
      </c>
      <c r="K1944" s="45">
        <f t="shared" si="211"/>
        <v>4492</v>
      </c>
      <c r="L1944" s="10">
        <v>40</v>
      </c>
      <c r="M1944" s="10"/>
      <c r="N1944" s="10" t="b">
        <v>0</v>
      </c>
      <c r="O1944" s="41"/>
      <c r="P1944" s="45">
        <f t="shared" si="212"/>
        <v>1886.6399999999999</v>
      </c>
      <c r="Q1944" s="45">
        <f t="shared" si="213"/>
        <v>2605.36</v>
      </c>
      <c r="R1944" s="45">
        <v>0</v>
      </c>
      <c r="S1944" s="45">
        <f t="shared" si="214"/>
        <v>0</v>
      </c>
      <c r="T1944" s="45">
        <f t="shared" si="215"/>
        <v>0</v>
      </c>
      <c r="U1944" s="47">
        <f t="shared" si="216"/>
        <v>2605.36</v>
      </c>
    </row>
    <row r="1945" spans="1:21" x14ac:dyDescent="0.3">
      <c r="A1945" s="41" t="str">
        <f t="shared" si="210"/>
        <v>PH&amp;MSH</v>
      </c>
      <c r="B1945" s="43">
        <v>45903</v>
      </c>
      <c r="C1945" s="10" t="s">
        <v>1987</v>
      </c>
      <c r="D1945" s="10" t="s">
        <v>37</v>
      </c>
      <c r="E1945" s="10" t="s">
        <v>18</v>
      </c>
      <c r="F1945" s="10" t="s">
        <v>54</v>
      </c>
      <c r="G1945" s="10" t="s">
        <v>12</v>
      </c>
      <c r="H1945" s="10" t="s">
        <v>56</v>
      </c>
      <c r="I1945" s="45">
        <v>3077</v>
      </c>
      <c r="J1945" s="11">
        <v>0</v>
      </c>
      <c r="K1945" s="45">
        <f t="shared" si="211"/>
        <v>3077</v>
      </c>
      <c r="L1945" s="10">
        <v>24</v>
      </c>
      <c r="M1945" s="10"/>
      <c r="N1945" s="10" t="b">
        <v>0</v>
      </c>
      <c r="O1945" s="41"/>
      <c r="P1945" s="45">
        <f t="shared" si="212"/>
        <v>1292.3399999999999</v>
      </c>
      <c r="Q1945" s="45">
        <f t="shared" si="213"/>
        <v>1784.66</v>
      </c>
      <c r="R1945" s="45">
        <v>0</v>
      </c>
      <c r="S1945" s="45">
        <f t="shared" si="214"/>
        <v>0</v>
      </c>
      <c r="T1945" s="45">
        <f t="shared" si="215"/>
        <v>0</v>
      </c>
      <c r="U1945" s="47">
        <f t="shared" si="216"/>
        <v>1784.66</v>
      </c>
    </row>
    <row r="1946" spans="1:21" x14ac:dyDescent="0.3">
      <c r="A1946" s="41" t="str">
        <f t="shared" si="210"/>
        <v>PZARBO</v>
      </c>
      <c r="B1946" s="43">
        <v>45904</v>
      </c>
      <c r="C1946" s="10" t="s">
        <v>1988</v>
      </c>
      <c r="D1946" s="10" t="s">
        <v>3</v>
      </c>
      <c r="E1946" s="10" t="s">
        <v>26</v>
      </c>
      <c r="F1946" s="10" t="s">
        <v>54</v>
      </c>
      <c r="G1946" s="10" t="s">
        <v>5</v>
      </c>
      <c r="H1946" s="10" t="s">
        <v>47</v>
      </c>
      <c r="I1946" s="45">
        <v>2564</v>
      </c>
      <c r="J1946" s="11">
        <v>0</v>
      </c>
      <c r="K1946" s="45">
        <f t="shared" si="211"/>
        <v>2564</v>
      </c>
      <c r="L1946" s="10">
        <v>41</v>
      </c>
      <c r="M1946" s="10">
        <v>2.8</v>
      </c>
      <c r="N1946" s="10" t="b">
        <v>0</v>
      </c>
      <c r="O1946" s="41"/>
      <c r="P1946" s="45">
        <f t="shared" si="212"/>
        <v>1076.8799999999999</v>
      </c>
      <c r="Q1946" s="45">
        <f t="shared" si="213"/>
        <v>1487.1200000000001</v>
      </c>
      <c r="R1946" s="45">
        <v>0</v>
      </c>
      <c r="S1946" s="45">
        <f t="shared" si="214"/>
        <v>0</v>
      </c>
      <c r="T1946" s="45">
        <f t="shared" si="215"/>
        <v>0</v>
      </c>
      <c r="U1946" s="47">
        <f t="shared" si="216"/>
        <v>1487.1200000000001</v>
      </c>
    </row>
    <row r="1947" spans="1:21" x14ac:dyDescent="0.3">
      <c r="A1947" s="41" t="str">
        <f t="shared" si="210"/>
        <v>PGAPOU</v>
      </c>
      <c r="B1947" s="43">
        <v>45904</v>
      </c>
      <c r="C1947" s="10" t="s">
        <v>1989</v>
      </c>
      <c r="D1947" s="10" t="s">
        <v>53</v>
      </c>
      <c r="E1947" s="10" t="s">
        <v>2</v>
      </c>
      <c r="F1947" s="10" t="s">
        <v>54</v>
      </c>
      <c r="G1947" s="10" t="s">
        <v>27</v>
      </c>
      <c r="H1947" s="10" t="s">
        <v>56</v>
      </c>
      <c r="I1947" s="45">
        <v>4062</v>
      </c>
      <c r="J1947" s="11">
        <v>0</v>
      </c>
      <c r="K1947" s="45">
        <f t="shared" si="211"/>
        <v>4062</v>
      </c>
      <c r="L1947" s="10">
        <v>37</v>
      </c>
      <c r="M1947" s="10">
        <v>1.7</v>
      </c>
      <c r="N1947" s="10" t="b">
        <v>0</v>
      </c>
      <c r="O1947" s="41"/>
      <c r="P1947" s="45">
        <f t="shared" si="212"/>
        <v>1706.04</v>
      </c>
      <c r="Q1947" s="45">
        <f t="shared" si="213"/>
        <v>2355.96</v>
      </c>
      <c r="R1947" s="45">
        <v>0</v>
      </c>
      <c r="S1947" s="45">
        <f t="shared" si="214"/>
        <v>0</v>
      </c>
      <c r="T1947" s="45">
        <f t="shared" si="215"/>
        <v>0</v>
      </c>
      <c r="U1947" s="47">
        <f t="shared" si="216"/>
        <v>2355.96</v>
      </c>
    </row>
    <row r="1948" spans="1:21" x14ac:dyDescent="0.3">
      <c r="A1948" s="41" t="str">
        <f t="shared" si="210"/>
        <v>PBANSH</v>
      </c>
      <c r="B1948" s="43">
        <v>45904</v>
      </c>
      <c r="C1948" s="10" t="s">
        <v>1990</v>
      </c>
      <c r="D1948" s="10" t="s">
        <v>21</v>
      </c>
      <c r="E1948" s="10" t="s">
        <v>18</v>
      </c>
      <c r="F1948" s="10" t="s">
        <v>54</v>
      </c>
      <c r="G1948" s="10" t="s">
        <v>5</v>
      </c>
      <c r="H1948" s="10" t="s">
        <v>6</v>
      </c>
      <c r="I1948" s="45">
        <v>3059</v>
      </c>
      <c r="J1948" s="11">
        <v>0</v>
      </c>
      <c r="K1948" s="45">
        <f t="shared" si="211"/>
        <v>3059</v>
      </c>
      <c r="L1948" s="10">
        <v>24</v>
      </c>
      <c r="M1948" s="10">
        <v>1.2</v>
      </c>
      <c r="N1948" s="10" t="b">
        <v>0</v>
      </c>
      <c r="O1948" s="41"/>
      <c r="P1948" s="45">
        <f t="shared" si="212"/>
        <v>1284.78</v>
      </c>
      <c r="Q1948" s="45">
        <f t="shared" si="213"/>
        <v>1774.22</v>
      </c>
      <c r="R1948" s="45">
        <v>0</v>
      </c>
      <c r="S1948" s="45">
        <f t="shared" si="214"/>
        <v>0</v>
      </c>
      <c r="T1948" s="45">
        <f t="shared" si="215"/>
        <v>0</v>
      </c>
      <c r="U1948" s="47">
        <f t="shared" si="216"/>
        <v>1774.22</v>
      </c>
    </row>
    <row r="1949" spans="1:21" x14ac:dyDescent="0.3">
      <c r="A1949" s="41" t="str">
        <f t="shared" si="210"/>
        <v>PMANSH</v>
      </c>
      <c r="B1949" s="43">
        <v>45904</v>
      </c>
      <c r="C1949" s="10" t="s">
        <v>1991</v>
      </c>
      <c r="D1949" s="10" t="s">
        <v>31</v>
      </c>
      <c r="E1949" s="10" t="s">
        <v>18</v>
      </c>
      <c r="F1949" s="10" t="s">
        <v>11</v>
      </c>
      <c r="G1949" s="10" t="s">
        <v>27</v>
      </c>
      <c r="H1949" s="10" t="s">
        <v>88</v>
      </c>
      <c r="I1949" s="45">
        <v>4024</v>
      </c>
      <c r="J1949" s="11">
        <v>0</v>
      </c>
      <c r="K1949" s="45">
        <f t="shared" si="211"/>
        <v>4024</v>
      </c>
      <c r="L1949" s="10">
        <v>0</v>
      </c>
      <c r="M1949" s="10"/>
      <c r="N1949" s="10" t="b">
        <v>0</v>
      </c>
      <c r="O1949" s="41"/>
      <c r="P1949" s="45">
        <f t="shared" si="212"/>
        <v>1690.08</v>
      </c>
      <c r="Q1949" s="45">
        <f t="shared" si="213"/>
        <v>2333.92</v>
      </c>
      <c r="R1949" s="45">
        <v>0</v>
      </c>
      <c r="S1949" s="45">
        <f t="shared" si="214"/>
        <v>0</v>
      </c>
      <c r="T1949" s="45">
        <f t="shared" si="215"/>
        <v>0</v>
      </c>
      <c r="U1949" s="47">
        <f t="shared" si="216"/>
        <v>2333.92</v>
      </c>
    </row>
    <row r="1950" spans="1:21" x14ac:dyDescent="0.3">
      <c r="A1950" s="41" t="str">
        <f t="shared" si="210"/>
        <v>PBANAC</v>
      </c>
      <c r="B1950" s="43">
        <v>45905</v>
      </c>
      <c r="C1950" s="10" t="s">
        <v>1992</v>
      </c>
      <c r="D1950" s="10" t="s">
        <v>21</v>
      </c>
      <c r="E1950" s="10" t="s">
        <v>15</v>
      </c>
      <c r="F1950" s="10" t="s">
        <v>11</v>
      </c>
      <c r="G1950" s="10" t="s">
        <v>7</v>
      </c>
      <c r="H1950" s="10" t="s">
        <v>88</v>
      </c>
      <c r="I1950" s="45">
        <v>398</v>
      </c>
      <c r="J1950" s="11">
        <v>0</v>
      </c>
      <c r="K1950" s="45">
        <f t="shared" si="211"/>
        <v>398</v>
      </c>
      <c r="L1950" s="10">
        <v>44</v>
      </c>
      <c r="M1950" s="10">
        <v>4.5999999999999996</v>
      </c>
      <c r="N1950" s="10" t="b">
        <v>0</v>
      </c>
      <c r="O1950" s="41"/>
      <c r="P1950" s="45">
        <f t="shared" si="212"/>
        <v>167.16</v>
      </c>
      <c r="Q1950" s="45">
        <f t="shared" si="213"/>
        <v>230.84</v>
      </c>
      <c r="R1950" s="45">
        <v>0</v>
      </c>
      <c r="S1950" s="45">
        <f t="shared" si="214"/>
        <v>0</v>
      </c>
      <c r="T1950" s="45">
        <f t="shared" si="215"/>
        <v>0</v>
      </c>
      <c r="U1950" s="47">
        <f t="shared" si="216"/>
        <v>230.84</v>
      </c>
    </row>
    <row r="1951" spans="1:21" x14ac:dyDescent="0.3">
      <c r="A1951" s="41" t="str">
        <f t="shared" si="210"/>
        <v>PZARDR</v>
      </c>
      <c r="B1951" s="43">
        <v>45905</v>
      </c>
      <c r="C1951" s="10" t="s">
        <v>1993</v>
      </c>
      <c r="D1951" s="10" t="s">
        <v>3</v>
      </c>
      <c r="E1951" s="10" t="s">
        <v>30</v>
      </c>
      <c r="F1951" s="10" t="s">
        <v>54</v>
      </c>
      <c r="G1951" s="10" t="s">
        <v>5</v>
      </c>
      <c r="H1951" s="10" t="s">
        <v>58</v>
      </c>
      <c r="I1951" s="45">
        <v>2629</v>
      </c>
      <c r="J1951" s="11">
        <v>0.59799999999999998</v>
      </c>
      <c r="K1951" s="45">
        <f t="shared" si="211"/>
        <v>1056.8580000000002</v>
      </c>
      <c r="L1951" s="10">
        <v>34</v>
      </c>
      <c r="M1951" s="10"/>
      <c r="N1951" s="10" t="b">
        <v>1</v>
      </c>
      <c r="O1951" s="41" t="s">
        <v>44</v>
      </c>
      <c r="P1951" s="45">
        <f t="shared" si="212"/>
        <v>443.88036000000005</v>
      </c>
      <c r="Q1951" s="45">
        <f t="shared" si="213"/>
        <v>612.97764000000006</v>
      </c>
      <c r="R1951" s="45">
        <v>150</v>
      </c>
      <c r="S1951" s="45">
        <f t="shared" si="214"/>
        <v>105.68580000000003</v>
      </c>
      <c r="T1951" s="45">
        <f t="shared" si="215"/>
        <v>1056.8580000000002</v>
      </c>
      <c r="U1951" s="47">
        <f t="shared" si="216"/>
        <v>-699.56616000000008</v>
      </c>
    </row>
    <row r="1952" spans="1:21" x14ac:dyDescent="0.3">
      <c r="A1952" s="41" t="str">
        <f t="shared" si="210"/>
        <v>PBANSH</v>
      </c>
      <c r="B1952" s="43">
        <v>45905</v>
      </c>
      <c r="C1952" s="10" t="s">
        <v>1994</v>
      </c>
      <c r="D1952" s="10" t="s">
        <v>21</v>
      </c>
      <c r="E1952" s="10" t="s">
        <v>18</v>
      </c>
      <c r="F1952" s="10" t="s">
        <v>4</v>
      </c>
      <c r="G1952" s="10" t="s">
        <v>38</v>
      </c>
      <c r="H1952" s="10" t="s">
        <v>35</v>
      </c>
      <c r="I1952" s="45">
        <v>4322</v>
      </c>
      <c r="J1952" s="11">
        <v>0</v>
      </c>
      <c r="K1952" s="45">
        <f t="shared" si="211"/>
        <v>4322</v>
      </c>
      <c r="L1952" s="10">
        <v>39</v>
      </c>
      <c r="M1952" s="10">
        <v>2.1</v>
      </c>
      <c r="N1952" s="10" t="b">
        <v>1</v>
      </c>
      <c r="O1952" s="41" t="s">
        <v>44</v>
      </c>
      <c r="P1952" s="45">
        <f t="shared" si="212"/>
        <v>1815.24</v>
      </c>
      <c r="Q1952" s="45">
        <f t="shared" si="213"/>
        <v>2506.7600000000002</v>
      </c>
      <c r="R1952" s="45">
        <v>150</v>
      </c>
      <c r="S1952" s="45">
        <f t="shared" si="214"/>
        <v>432.20000000000005</v>
      </c>
      <c r="T1952" s="45">
        <f t="shared" si="215"/>
        <v>4322</v>
      </c>
      <c r="U1952" s="47">
        <f t="shared" si="216"/>
        <v>-2397.4399999999996</v>
      </c>
    </row>
    <row r="1953" spans="1:21" x14ac:dyDescent="0.3">
      <c r="A1953" s="41" t="str">
        <f t="shared" si="210"/>
        <v>PH&amp;MSH</v>
      </c>
      <c r="B1953" s="43">
        <v>45906</v>
      </c>
      <c r="C1953" s="10" t="s">
        <v>1995</v>
      </c>
      <c r="D1953" s="10" t="s">
        <v>37</v>
      </c>
      <c r="E1953" s="10" t="s">
        <v>18</v>
      </c>
      <c r="F1953" s="10" t="s">
        <v>4</v>
      </c>
      <c r="G1953" s="10" t="s">
        <v>46</v>
      </c>
      <c r="H1953" s="10" t="s">
        <v>32</v>
      </c>
      <c r="I1953" s="45">
        <v>3161</v>
      </c>
      <c r="J1953" s="11">
        <v>0.32</v>
      </c>
      <c r="K1953" s="45">
        <f t="shared" si="211"/>
        <v>2149.48</v>
      </c>
      <c r="L1953" s="10">
        <v>2</v>
      </c>
      <c r="M1953" s="10">
        <v>1.1000000000000001</v>
      </c>
      <c r="N1953" s="10" t="b">
        <v>0</v>
      </c>
      <c r="O1953" s="41"/>
      <c r="P1953" s="45">
        <f t="shared" si="212"/>
        <v>902.78160000000003</v>
      </c>
      <c r="Q1953" s="45">
        <f t="shared" si="213"/>
        <v>1246.6984</v>
      </c>
      <c r="R1953" s="45">
        <v>0</v>
      </c>
      <c r="S1953" s="45">
        <f t="shared" si="214"/>
        <v>0</v>
      </c>
      <c r="T1953" s="45">
        <f t="shared" si="215"/>
        <v>0</v>
      </c>
      <c r="U1953" s="47">
        <f t="shared" si="216"/>
        <v>1246.6984</v>
      </c>
    </row>
    <row r="1954" spans="1:21" x14ac:dyDescent="0.3">
      <c r="A1954" s="41" t="str">
        <f t="shared" si="210"/>
        <v>PBANOU</v>
      </c>
      <c r="B1954" s="43">
        <v>45906</v>
      </c>
      <c r="C1954" s="10" t="s">
        <v>1996</v>
      </c>
      <c r="D1954" s="10" t="s">
        <v>21</v>
      </c>
      <c r="E1954" s="10" t="s">
        <v>2</v>
      </c>
      <c r="F1954" s="10" t="s">
        <v>11</v>
      </c>
      <c r="G1954" s="10" t="s">
        <v>12</v>
      </c>
      <c r="H1954" s="10" t="s">
        <v>32</v>
      </c>
      <c r="I1954" s="45">
        <v>3866</v>
      </c>
      <c r="J1954" s="11">
        <v>0.20300000000000001</v>
      </c>
      <c r="K1954" s="45">
        <f t="shared" si="211"/>
        <v>3081.2019999999998</v>
      </c>
      <c r="L1954" s="10">
        <v>16</v>
      </c>
      <c r="M1954" s="10">
        <v>4.3</v>
      </c>
      <c r="N1954" s="10" t="b">
        <v>0</v>
      </c>
      <c r="O1954" s="41"/>
      <c r="P1954" s="45">
        <f t="shared" si="212"/>
        <v>1294.10484</v>
      </c>
      <c r="Q1954" s="45">
        <f t="shared" si="213"/>
        <v>1787.0971599999998</v>
      </c>
      <c r="R1954" s="45">
        <v>0</v>
      </c>
      <c r="S1954" s="45">
        <f t="shared" si="214"/>
        <v>0</v>
      </c>
      <c r="T1954" s="45">
        <f t="shared" si="215"/>
        <v>0</v>
      </c>
      <c r="U1954" s="47">
        <f t="shared" si="216"/>
        <v>1787.0971599999998</v>
      </c>
    </row>
    <row r="1955" spans="1:21" x14ac:dyDescent="0.3">
      <c r="A1955" s="41" t="str">
        <f t="shared" si="210"/>
        <v>PBANTO</v>
      </c>
      <c r="B1955" s="43">
        <v>45906</v>
      </c>
      <c r="C1955" s="10" t="s">
        <v>1997</v>
      </c>
      <c r="D1955" s="10" t="s">
        <v>21</v>
      </c>
      <c r="E1955" s="10" t="s">
        <v>9</v>
      </c>
      <c r="F1955" s="10" t="s">
        <v>54</v>
      </c>
      <c r="G1955" s="10" t="s">
        <v>5</v>
      </c>
      <c r="H1955" s="10" t="s">
        <v>58</v>
      </c>
      <c r="I1955" s="45">
        <v>1159</v>
      </c>
      <c r="J1955" s="11">
        <v>0</v>
      </c>
      <c r="K1955" s="45">
        <f t="shared" si="211"/>
        <v>1159</v>
      </c>
      <c r="L1955" s="10">
        <v>33</v>
      </c>
      <c r="M1955" s="10"/>
      <c r="N1955" s="10" t="b">
        <v>1</v>
      </c>
      <c r="O1955" s="41" t="s">
        <v>80</v>
      </c>
      <c r="P1955" s="45">
        <f t="shared" si="212"/>
        <v>486.78</v>
      </c>
      <c r="Q1955" s="45">
        <f t="shared" si="213"/>
        <v>672.22</v>
      </c>
      <c r="R1955" s="45">
        <v>150</v>
      </c>
      <c r="S1955" s="45">
        <f t="shared" si="214"/>
        <v>115.9</v>
      </c>
      <c r="T1955" s="45">
        <f t="shared" si="215"/>
        <v>1159</v>
      </c>
      <c r="U1955" s="47">
        <f t="shared" si="216"/>
        <v>-752.68</v>
      </c>
    </row>
    <row r="1956" spans="1:21" x14ac:dyDescent="0.3">
      <c r="A1956" s="41" t="str">
        <f t="shared" si="210"/>
        <v>PZARAC</v>
      </c>
      <c r="B1956" s="43">
        <v>45906</v>
      </c>
      <c r="C1956" s="10" t="s">
        <v>1998</v>
      </c>
      <c r="D1956" s="10" t="s">
        <v>3</v>
      </c>
      <c r="E1956" s="10" t="s">
        <v>15</v>
      </c>
      <c r="F1956" s="10" t="s">
        <v>11</v>
      </c>
      <c r="G1956" s="10" t="s">
        <v>7</v>
      </c>
      <c r="H1956" s="10" t="s">
        <v>6</v>
      </c>
      <c r="I1956" s="45">
        <v>324</v>
      </c>
      <c r="J1956" s="11">
        <v>0.14400000000000002</v>
      </c>
      <c r="K1956" s="45">
        <f t="shared" si="211"/>
        <v>277.34399999999999</v>
      </c>
      <c r="L1956" s="10">
        <v>16</v>
      </c>
      <c r="M1956" s="10">
        <v>3.1</v>
      </c>
      <c r="N1956" s="10" t="b">
        <v>0</v>
      </c>
      <c r="O1956" s="41"/>
      <c r="P1956" s="45">
        <f t="shared" si="212"/>
        <v>116.48447999999999</v>
      </c>
      <c r="Q1956" s="45">
        <f t="shared" si="213"/>
        <v>160.85952</v>
      </c>
      <c r="R1956" s="45">
        <v>0</v>
      </c>
      <c r="S1956" s="45">
        <f t="shared" si="214"/>
        <v>0</v>
      </c>
      <c r="T1956" s="45">
        <f t="shared" si="215"/>
        <v>0</v>
      </c>
      <c r="U1956" s="47">
        <f t="shared" si="216"/>
        <v>160.85952</v>
      </c>
    </row>
    <row r="1957" spans="1:21" x14ac:dyDescent="0.3">
      <c r="A1957" s="41" t="str">
        <f t="shared" si="210"/>
        <v>PH&amp;MOU</v>
      </c>
      <c r="B1957" s="43">
        <v>45907</v>
      </c>
      <c r="C1957" s="10" t="s">
        <v>1999</v>
      </c>
      <c r="D1957" s="10" t="s">
        <v>37</v>
      </c>
      <c r="E1957" s="10" t="s">
        <v>2</v>
      </c>
      <c r="F1957" s="10" t="s">
        <v>11</v>
      </c>
      <c r="G1957" s="10" t="s">
        <v>5</v>
      </c>
      <c r="H1957" s="10" t="s">
        <v>28</v>
      </c>
      <c r="I1957" s="45">
        <v>4429</v>
      </c>
      <c r="J1957" s="11">
        <v>0</v>
      </c>
      <c r="K1957" s="45">
        <f t="shared" si="211"/>
        <v>4429</v>
      </c>
      <c r="L1957" s="10">
        <v>25</v>
      </c>
      <c r="M1957" s="10">
        <v>2</v>
      </c>
      <c r="N1957" s="10" t="b">
        <v>0</v>
      </c>
      <c r="O1957" s="41"/>
      <c r="P1957" s="45">
        <f t="shared" si="212"/>
        <v>1860.1799999999998</v>
      </c>
      <c r="Q1957" s="45">
        <f t="shared" si="213"/>
        <v>2568.8200000000002</v>
      </c>
      <c r="R1957" s="45">
        <v>0</v>
      </c>
      <c r="S1957" s="45">
        <f t="shared" si="214"/>
        <v>0</v>
      </c>
      <c r="T1957" s="45">
        <f t="shared" si="215"/>
        <v>0</v>
      </c>
      <c r="U1957" s="47">
        <f t="shared" si="216"/>
        <v>2568.8200000000002</v>
      </c>
    </row>
    <row r="1958" spans="1:21" x14ac:dyDescent="0.3">
      <c r="A1958" s="41" t="str">
        <f t="shared" si="210"/>
        <v>PMANDR</v>
      </c>
      <c r="B1958" s="43">
        <v>45907</v>
      </c>
      <c r="C1958" s="10" t="s">
        <v>2000</v>
      </c>
      <c r="D1958" s="10" t="s">
        <v>31</v>
      </c>
      <c r="E1958" s="10" t="s">
        <v>30</v>
      </c>
      <c r="F1958" s="10" t="s">
        <v>11</v>
      </c>
      <c r="G1958" s="10" t="s">
        <v>46</v>
      </c>
      <c r="H1958" s="10" t="s">
        <v>47</v>
      </c>
      <c r="I1958" s="45">
        <v>2551</v>
      </c>
      <c r="J1958" s="11">
        <v>0</v>
      </c>
      <c r="K1958" s="45">
        <f t="shared" si="211"/>
        <v>2551</v>
      </c>
      <c r="L1958" s="10">
        <v>26</v>
      </c>
      <c r="M1958" s="10">
        <v>1.4</v>
      </c>
      <c r="N1958" s="10" t="b">
        <v>1</v>
      </c>
      <c r="O1958" s="41" t="s">
        <v>24</v>
      </c>
      <c r="P1958" s="45">
        <f t="shared" si="212"/>
        <v>1071.42</v>
      </c>
      <c r="Q1958" s="45">
        <f t="shared" si="213"/>
        <v>1479.58</v>
      </c>
      <c r="R1958" s="45">
        <v>150</v>
      </c>
      <c r="S1958" s="45">
        <f t="shared" si="214"/>
        <v>255.10000000000002</v>
      </c>
      <c r="T1958" s="45">
        <f t="shared" si="215"/>
        <v>2551</v>
      </c>
      <c r="U1958" s="47">
        <f t="shared" si="216"/>
        <v>-1476.52</v>
      </c>
    </row>
    <row r="1959" spans="1:21" x14ac:dyDescent="0.3">
      <c r="A1959" s="41" t="str">
        <f t="shared" si="210"/>
        <v>PMANSH</v>
      </c>
      <c r="B1959" s="43">
        <v>45907</v>
      </c>
      <c r="C1959" s="10" t="s">
        <v>2001</v>
      </c>
      <c r="D1959" s="10" t="s">
        <v>31</v>
      </c>
      <c r="E1959" s="10" t="s">
        <v>18</v>
      </c>
      <c r="F1959" s="10" t="s">
        <v>54</v>
      </c>
      <c r="G1959" s="10" t="s">
        <v>27</v>
      </c>
      <c r="H1959" s="10" t="s">
        <v>13</v>
      </c>
      <c r="I1959" s="45">
        <v>3213</v>
      </c>
      <c r="J1959" s="11">
        <v>0.56399999999999995</v>
      </c>
      <c r="K1959" s="45">
        <f t="shared" si="211"/>
        <v>1400.8680000000002</v>
      </c>
      <c r="L1959" s="10">
        <v>10</v>
      </c>
      <c r="M1959" s="10">
        <v>3.7</v>
      </c>
      <c r="N1959" s="10" t="b">
        <v>0</v>
      </c>
      <c r="O1959" s="41"/>
      <c r="P1959" s="45">
        <f t="shared" si="212"/>
        <v>588.3645600000001</v>
      </c>
      <c r="Q1959" s="45">
        <f t="shared" si="213"/>
        <v>812.50344000000007</v>
      </c>
      <c r="R1959" s="45">
        <v>0</v>
      </c>
      <c r="S1959" s="45">
        <f t="shared" si="214"/>
        <v>0</v>
      </c>
      <c r="T1959" s="45">
        <f t="shared" si="215"/>
        <v>0</v>
      </c>
      <c r="U1959" s="47">
        <f t="shared" si="216"/>
        <v>812.50344000000007</v>
      </c>
    </row>
    <row r="1960" spans="1:21" x14ac:dyDescent="0.3">
      <c r="A1960" s="41" t="str">
        <f t="shared" si="210"/>
        <v>PZARBO</v>
      </c>
      <c r="B1960" s="43">
        <v>45907</v>
      </c>
      <c r="C1960" s="10" t="s">
        <v>2002</v>
      </c>
      <c r="D1960" s="10" t="s">
        <v>3</v>
      </c>
      <c r="E1960" s="10" t="s">
        <v>26</v>
      </c>
      <c r="F1960" s="10" t="s">
        <v>4</v>
      </c>
      <c r="G1960" s="10" t="s">
        <v>12</v>
      </c>
      <c r="H1960" s="10" t="s">
        <v>35</v>
      </c>
      <c r="I1960" s="45">
        <v>2081</v>
      </c>
      <c r="J1960" s="11">
        <v>0</v>
      </c>
      <c r="K1960" s="45">
        <f t="shared" si="211"/>
        <v>2081</v>
      </c>
      <c r="L1960" s="10">
        <v>33</v>
      </c>
      <c r="M1960" s="10">
        <v>4.5</v>
      </c>
      <c r="N1960" s="10" t="b">
        <v>1</v>
      </c>
      <c r="O1960" s="41" t="s">
        <v>19</v>
      </c>
      <c r="P1960" s="45">
        <f t="shared" si="212"/>
        <v>874.02</v>
      </c>
      <c r="Q1960" s="45">
        <f t="shared" si="213"/>
        <v>1206.98</v>
      </c>
      <c r="R1960" s="45">
        <v>150</v>
      </c>
      <c r="S1960" s="45">
        <f t="shared" si="214"/>
        <v>208.10000000000002</v>
      </c>
      <c r="T1960" s="45">
        <f t="shared" si="215"/>
        <v>2081</v>
      </c>
      <c r="U1960" s="47">
        <f t="shared" si="216"/>
        <v>-1232.1199999999999</v>
      </c>
    </row>
    <row r="1961" spans="1:21" x14ac:dyDescent="0.3">
      <c r="A1961" s="41" t="str">
        <f t="shared" si="210"/>
        <v>PFORBO</v>
      </c>
      <c r="B1961" s="43">
        <v>45908</v>
      </c>
      <c r="C1961" s="10" t="s">
        <v>2003</v>
      </c>
      <c r="D1961" s="10" t="s">
        <v>65</v>
      </c>
      <c r="E1961" s="10" t="s">
        <v>26</v>
      </c>
      <c r="F1961" s="10" t="s">
        <v>54</v>
      </c>
      <c r="G1961" s="10" t="s">
        <v>38</v>
      </c>
      <c r="H1961" s="10" t="s">
        <v>43</v>
      </c>
      <c r="I1961" s="45">
        <v>2375</v>
      </c>
      <c r="J1961" s="11">
        <v>0</v>
      </c>
      <c r="K1961" s="45">
        <f t="shared" si="211"/>
        <v>2375</v>
      </c>
      <c r="L1961" s="10">
        <v>26</v>
      </c>
      <c r="M1961" s="10">
        <v>4.5999999999999996</v>
      </c>
      <c r="N1961" s="10" t="b">
        <v>1</v>
      </c>
      <c r="O1961" s="41" t="s">
        <v>44</v>
      </c>
      <c r="P1961" s="45">
        <f t="shared" si="212"/>
        <v>997.5</v>
      </c>
      <c r="Q1961" s="45">
        <f t="shared" si="213"/>
        <v>1377.5</v>
      </c>
      <c r="R1961" s="45">
        <v>150</v>
      </c>
      <c r="S1961" s="45">
        <f t="shared" si="214"/>
        <v>237.5</v>
      </c>
      <c r="T1961" s="45">
        <f t="shared" si="215"/>
        <v>2375</v>
      </c>
      <c r="U1961" s="47">
        <f t="shared" si="216"/>
        <v>-1385</v>
      </c>
    </row>
    <row r="1962" spans="1:21" x14ac:dyDescent="0.3">
      <c r="A1962" s="41" t="str">
        <f t="shared" si="210"/>
        <v>PH&amp;MSH</v>
      </c>
      <c r="B1962" s="43">
        <v>45908</v>
      </c>
      <c r="C1962" s="10" t="s">
        <v>2004</v>
      </c>
      <c r="D1962" s="10" t="s">
        <v>37</v>
      </c>
      <c r="E1962" s="10" t="s">
        <v>18</v>
      </c>
      <c r="F1962" s="10" t="s">
        <v>54</v>
      </c>
      <c r="G1962" s="10" t="s">
        <v>49</v>
      </c>
      <c r="H1962" s="10" t="s">
        <v>35</v>
      </c>
      <c r="I1962" s="45">
        <v>4466</v>
      </c>
      <c r="J1962" s="11">
        <v>0</v>
      </c>
      <c r="K1962" s="45">
        <f t="shared" si="211"/>
        <v>4466</v>
      </c>
      <c r="L1962" s="10">
        <v>4</v>
      </c>
      <c r="M1962" s="10">
        <v>4.7</v>
      </c>
      <c r="N1962" s="10" t="b">
        <v>0</v>
      </c>
      <c r="O1962" s="41"/>
      <c r="P1962" s="45">
        <f t="shared" si="212"/>
        <v>1875.72</v>
      </c>
      <c r="Q1962" s="45">
        <f t="shared" si="213"/>
        <v>2590.2799999999997</v>
      </c>
      <c r="R1962" s="45">
        <v>0</v>
      </c>
      <c r="S1962" s="45">
        <f t="shared" si="214"/>
        <v>0</v>
      </c>
      <c r="T1962" s="45">
        <f t="shared" si="215"/>
        <v>0</v>
      </c>
      <c r="U1962" s="47">
        <f t="shared" si="216"/>
        <v>2590.2799999999997</v>
      </c>
    </row>
    <row r="1963" spans="1:21" x14ac:dyDescent="0.3">
      <c r="A1963" s="41" t="str">
        <f t="shared" si="210"/>
        <v>PUNIOU</v>
      </c>
      <c r="B1963" s="43">
        <v>45908</v>
      </c>
      <c r="C1963" s="10" t="s">
        <v>2005</v>
      </c>
      <c r="D1963" s="10" t="s">
        <v>10</v>
      </c>
      <c r="E1963" s="10" t="s">
        <v>2</v>
      </c>
      <c r="F1963" s="10" t="s">
        <v>54</v>
      </c>
      <c r="G1963" s="10" t="s">
        <v>49</v>
      </c>
      <c r="H1963" s="10" t="s">
        <v>35</v>
      </c>
      <c r="I1963" s="45">
        <v>4121</v>
      </c>
      <c r="J1963" s="11">
        <v>0</v>
      </c>
      <c r="K1963" s="45">
        <f t="shared" si="211"/>
        <v>4121</v>
      </c>
      <c r="L1963" s="10">
        <v>5</v>
      </c>
      <c r="M1963" s="10">
        <v>2.7</v>
      </c>
      <c r="N1963" s="10" t="b">
        <v>0</v>
      </c>
      <c r="O1963" s="41"/>
      <c r="P1963" s="45">
        <f t="shared" si="212"/>
        <v>1730.82</v>
      </c>
      <c r="Q1963" s="45">
        <f t="shared" si="213"/>
        <v>2390.1800000000003</v>
      </c>
      <c r="R1963" s="45">
        <v>0</v>
      </c>
      <c r="S1963" s="45">
        <f t="shared" si="214"/>
        <v>0</v>
      </c>
      <c r="T1963" s="45">
        <f t="shared" si="215"/>
        <v>0</v>
      </c>
      <c r="U1963" s="47">
        <f t="shared" si="216"/>
        <v>2390.1800000000003</v>
      </c>
    </row>
    <row r="1964" spans="1:21" x14ac:dyDescent="0.3">
      <c r="A1964" s="41" t="str">
        <f t="shared" si="210"/>
        <v>PMANDR</v>
      </c>
      <c r="B1964" s="43">
        <v>45908</v>
      </c>
      <c r="C1964" s="10" t="s">
        <v>2006</v>
      </c>
      <c r="D1964" s="10" t="s">
        <v>31</v>
      </c>
      <c r="E1964" s="10" t="s">
        <v>30</v>
      </c>
      <c r="F1964" s="10" t="s">
        <v>54</v>
      </c>
      <c r="G1964" s="10" t="s">
        <v>38</v>
      </c>
      <c r="H1964" s="10" t="s">
        <v>47</v>
      </c>
      <c r="I1964" s="45">
        <v>2615</v>
      </c>
      <c r="J1964" s="11">
        <v>0</v>
      </c>
      <c r="K1964" s="45">
        <f t="shared" si="211"/>
        <v>2615</v>
      </c>
      <c r="L1964" s="10">
        <v>24</v>
      </c>
      <c r="M1964" s="10">
        <v>4.2</v>
      </c>
      <c r="N1964" s="10" t="b">
        <v>1</v>
      </c>
      <c r="O1964" s="41" t="s">
        <v>33</v>
      </c>
      <c r="P1964" s="45">
        <f t="shared" si="212"/>
        <v>1098.3</v>
      </c>
      <c r="Q1964" s="45">
        <f t="shared" si="213"/>
        <v>1516.7</v>
      </c>
      <c r="R1964" s="45">
        <v>150</v>
      </c>
      <c r="S1964" s="45">
        <f t="shared" si="214"/>
        <v>261.5</v>
      </c>
      <c r="T1964" s="45">
        <f t="shared" si="215"/>
        <v>2615</v>
      </c>
      <c r="U1964" s="47">
        <f t="shared" si="216"/>
        <v>-1509.8</v>
      </c>
    </row>
    <row r="1965" spans="1:21" x14ac:dyDescent="0.3">
      <c r="A1965" s="41" t="str">
        <f t="shared" si="210"/>
        <v>PZARSH</v>
      </c>
      <c r="B1965" s="43">
        <v>45909</v>
      </c>
      <c r="C1965" s="10" t="s">
        <v>2007</v>
      </c>
      <c r="D1965" s="10" t="s">
        <v>3</v>
      </c>
      <c r="E1965" s="10" t="s">
        <v>18</v>
      </c>
      <c r="F1965" s="10" t="s">
        <v>54</v>
      </c>
      <c r="G1965" s="10" t="s">
        <v>12</v>
      </c>
      <c r="H1965" s="10" t="s">
        <v>35</v>
      </c>
      <c r="I1965" s="45">
        <v>3768</v>
      </c>
      <c r="J1965" s="11">
        <v>0</v>
      </c>
      <c r="K1965" s="45">
        <f t="shared" si="211"/>
        <v>3768</v>
      </c>
      <c r="L1965" s="10">
        <v>5</v>
      </c>
      <c r="M1965" s="10">
        <v>2.5</v>
      </c>
      <c r="N1965" s="10" t="b">
        <v>0</v>
      </c>
      <c r="O1965" s="41"/>
      <c r="P1965" s="45">
        <f t="shared" si="212"/>
        <v>1582.56</v>
      </c>
      <c r="Q1965" s="45">
        <f t="shared" si="213"/>
        <v>2185.44</v>
      </c>
      <c r="R1965" s="45">
        <v>0</v>
      </c>
      <c r="S1965" s="45">
        <f t="shared" si="214"/>
        <v>0</v>
      </c>
      <c r="T1965" s="45">
        <f t="shared" si="215"/>
        <v>0</v>
      </c>
      <c r="U1965" s="47">
        <f t="shared" si="216"/>
        <v>2185.44</v>
      </c>
    </row>
    <row r="1966" spans="1:21" x14ac:dyDescent="0.3">
      <c r="A1966" s="41" t="str">
        <f t="shared" si="210"/>
        <v>PGAPOU</v>
      </c>
      <c r="B1966" s="43">
        <v>45909</v>
      </c>
      <c r="C1966" s="10" t="s">
        <v>2008</v>
      </c>
      <c r="D1966" s="10" t="s">
        <v>53</v>
      </c>
      <c r="E1966" s="10" t="s">
        <v>2</v>
      </c>
      <c r="F1966" s="10" t="s">
        <v>54</v>
      </c>
      <c r="G1966" s="10" t="s">
        <v>7</v>
      </c>
      <c r="H1966" s="10" t="s">
        <v>32</v>
      </c>
      <c r="I1966" s="45">
        <v>4204</v>
      </c>
      <c r="J1966" s="11">
        <v>0.32799999999999996</v>
      </c>
      <c r="K1966" s="45">
        <f t="shared" si="211"/>
        <v>2825.0880000000002</v>
      </c>
      <c r="L1966" s="10">
        <v>45</v>
      </c>
      <c r="M1966" s="10">
        <v>4.5</v>
      </c>
      <c r="N1966" s="10" t="b">
        <v>1</v>
      </c>
      <c r="O1966" s="41" t="s">
        <v>44</v>
      </c>
      <c r="P1966" s="45">
        <f t="shared" si="212"/>
        <v>1186.5369600000001</v>
      </c>
      <c r="Q1966" s="45">
        <f t="shared" si="213"/>
        <v>1638.5510400000001</v>
      </c>
      <c r="R1966" s="45">
        <v>150</v>
      </c>
      <c r="S1966" s="45">
        <f t="shared" si="214"/>
        <v>282.50880000000001</v>
      </c>
      <c r="T1966" s="45">
        <f t="shared" si="215"/>
        <v>2825.0880000000002</v>
      </c>
      <c r="U1966" s="47">
        <f t="shared" si="216"/>
        <v>-1619.0457600000002</v>
      </c>
    </row>
    <row r="1967" spans="1:21" x14ac:dyDescent="0.3">
      <c r="A1967" s="41" t="str">
        <f t="shared" si="210"/>
        <v>PGAPBO</v>
      </c>
      <c r="B1967" s="43">
        <v>45909</v>
      </c>
      <c r="C1967" s="10" t="s">
        <v>2009</v>
      </c>
      <c r="D1967" s="10" t="s">
        <v>53</v>
      </c>
      <c r="E1967" s="10" t="s">
        <v>26</v>
      </c>
      <c r="F1967" s="10" t="s">
        <v>4</v>
      </c>
      <c r="G1967" s="10" t="s">
        <v>46</v>
      </c>
      <c r="H1967" s="10" t="s">
        <v>28</v>
      </c>
      <c r="I1967" s="45">
        <v>2590</v>
      </c>
      <c r="J1967" s="11">
        <v>0</v>
      </c>
      <c r="K1967" s="45">
        <f t="shared" si="211"/>
        <v>2590</v>
      </c>
      <c r="L1967" s="10">
        <v>18</v>
      </c>
      <c r="M1967" s="10">
        <v>4.8</v>
      </c>
      <c r="N1967" s="10" t="b">
        <v>0</v>
      </c>
      <c r="O1967" s="41"/>
      <c r="P1967" s="45">
        <f t="shared" si="212"/>
        <v>1087.8</v>
      </c>
      <c r="Q1967" s="45">
        <f t="shared" si="213"/>
        <v>1502.2</v>
      </c>
      <c r="R1967" s="45">
        <v>0</v>
      </c>
      <c r="S1967" s="45">
        <f t="shared" si="214"/>
        <v>0</v>
      </c>
      <c r="T1967" s="45">
        <f t="shared" si="215"/>
        <v>0</v>
      </c>
      <c r="U1967" s="47">
        <f t="shared" si="216"/>
        <v>1502.2</v>
      </c>
    </row>
    <row r="1968" spans="1:21" x14ac:dyDescent="0.3">
      <c r="A1968" s="41" t="str">
        <f t="shared" si="210"/>
        <v>PFORAC</v>
      </c>
      <c r="B1968" s="43">
        <v>45909</v>
      </c>
      <c r="C1968" s="10" t="s">
        <v>2010</v>
      </c>
      <c r="D1968" s="10" t="s">
        <v>65</v>
      </c>
      <c r="E1968" s="10" t="s">
        <v>15</v>
      </c>
      <c r="F1968" s="10" t="s">
        <v>11</v>
      </c>
      <c r="G1968" s="10" t="s">
        <v>7</v>
      </c>
      <c r="H1968" s="10" t="s">
        <v>7</v>
      </c>
      <c r="I1968" s="45">
        <v>406</v>
      </c>
      <c r="J1968" s="11">
        <v>0</v>
      </c>
      <c r="K1968" s="45">
        <f t="shared" si="211"/>
        <v>406</v>
      </c>
      <c r="L1968" s="10">
        <v>19</v>
      </c>
      <c r="M1968" s="10"/>
      <c r="N1968" s="10" t="b">
        <v>0</v>
      </c>
      <c r="O1968" s="41"/>
      <c r="P1968" s="45">
        <f t="shared" si="212"/>
        <v>170.51999999999998</v>
      </c>
      <c r="Q1968" s="45">
        <f t="shared" si="213"/>
        <v>235.48000000000002</v>
      </c>
      <c r="R1968" s="45">
        <v>0</v>
      </c>
      <c r="S1968" s="45">
        <f t="shared" si="214"/>
        <v>0</v>
      </c>
      <c r="T1968" s="45">
        <f t="shared" si="215"/>
        <v>0</v>
      </c>
      <c r="U1968" s="47">
        <f t="shared" si="216"/>
        <v>235.48000000000002</v>
      </c>
    </row>
    <row r="1969" spans="1:21" x14ac:dyDescent="0.3">
      <c r="A1969" s="41" t="str">
        <f t="shared" si="210"/>
        <v>PZARSH</v>
      </c>
      <c r="B1969" s="43">
        <v>45910</v>
      </c>
      <c r="C1969" s="10" t="s">
        <v>2011</v>
      </c>
      <c r="D1969" s="10" t="s">
        <v>3</v>
      </c>
      <c r="E1969" s="10" t="s">
        <v>18</v>
      </c>
      <c r="F1969" s="10" t="s">
        <v>4</v>
      </c>
      <c r="G1969" s="10" t="s">
        <v>27</v>
      </c>
      <c r="H1969" s="10" t="s">
        <v>6</v>
      </c>
      <c r="I1969" s="45">
        <v>3872</v>
      </c>
      <c r="J1969" s="11">
        <v>0.311</v>
      </c>
      <c r="K1969" s="45">
        <f t="shared" si="211"/>
        <v>2667.808</v>
      </c>
      <c r="L1969" s="10">
        <v>22</v>
      </c>
      <c r="M1969" s="10">
        <v>3.1</v>
      </c>
      <c r="N1969" s="10" t="b">
        <v>0</v>
      </c>
      <c r="O1969" s="41"/>
      <c r="P1969" s="45">
        <f t="shared" si="212"/>
        <v>1120.47936</v>
      </c>
      <c r="Q1969" s="45">
        <f t="shared" si="213"/>
        <v>1547.32864</v>
      </c>
      <c r="R1969" s="45">
        <v>0</v>
      </c>
      <c r="S1969" s="45">
        <f t="shared" si="214"/>
        <v>0</v>
      </c>
      <c r="T1969" s="45">
        <f t="shared" si="215"/>
        <v>0</v>
      </c>
      <c r="U1969" s="47">
        <f t="shared" si="216"/>
        <v>1547.32864</v>
      </c>
    </row>
    <row r="1970" spans="1:21" x14ac:dyDescent="0.3">
      <c r="A1970" s="41" t="str">
        <f t="shared" si="210"/>
        <v>PZARDR</v>
      </c>
      <c r="B1970" s="43">
        <v>45910</v>
      </c>
      <c r="C1970" s="10" t="s">
        <v>2012</v>
      </c>
      <c r="D1970" s="10" t="s">
        <v>3</v>
      </c>
      <c r="E1970" s="10" t="s">
        <v>30</v>
      </c>
      <c r="F1970" s="10" t="s">
        <v>4</v>
      </c>
      <c r="G1970" s="10" t="s">
        <v>5</v>
      </c>
      <c r="H1970" s="10" t="s">
        <v>56</v>
      </c>
      <c r="I1970" s="45">
        <v>2124</v>
      </c>
      <c r="J1970" s="11">
        <v>0</v>
      </c>
      <c r="K1970" s="45">
        <f t="shared" si="211"/>
        <v>2124</v>
      </c>
      <c r="L1970" s="10">
        <v>41</v>
      </c>
      <c r="M1970" s="10">
        <v>2.8</v>
      </c>
      <c r="N1970" s="10" t="b">
        <v>0</v>
      </c>
      <c r="O1970" s="41"/>
      <c r="P1970" s="45">
        <f t="shared" si="212"/>
        <v>892.07999999999993</v>
      </c>
      <c r="Q1970" s="45">
        <f t="shared" si="213"/>
        <v>1231.92</v>
      </c>
      <c r="R1970" s="45">
        <v>0</v>
      </c>
      <c r="S1970" s="45">
        <f t="shared" si="214"/>
        <v>0</v>
      </c>
      <c r="T1970" s="45">
        <f t="shared" si="215"/>
        <v>0</v>
      </c>
      <c r="U1970" s="47">
        <f t="shared" si="216"/>
        <v>1231.92</v>
      </c>
    </row>
    <row r="1971" spans="1:21" x14ac:dyDescent="0.3">
      <c r="A1971" s="41" t="str">
        <f t="shared" si="210"/>
        <v>PBANTO</v>
      </c>
      <c r="B1971" s="43">
        <v>45910</v>
      </c>
      <c r="C1971" s="10" t="s">
        <v>2013</v>
      </c>
      <c r="D1971" s="10" t="s">
        <v>21</v>
      </c>
      <c r="E1971" s="10" t="s">
        <v>9</v>
      </c>
      <c r="F1971" s="10" t="s">
        <v>54</v>
      </c>
      <c r="G1971" s="10" t="s">
        <v>12</v>
      </c>
      <c r="H1971" s="10" t="s">
        <v>28</v>
      </c>
      <c r="I1971" s="45">
        <v>1746</v>
      </c>
      <c r="J1971" s="11">
        <v>0</v>
      </c>
      <c r="K1971" s="45">
        <f t="shared" si="211"/>
        <v>1746</v>
      </c>
      <c r="L1971" s="10">
        <v>44</v>
      </c>
      <c r="M1971" s="10"/>
      <c r="N1971" s="10" t="b">
        <v>1</v>
      </c>
      <c r="O1971" s="41" t="s">
        <v>33</v>
      </c>
      <c r="P1971" s="45">
        <f t="shared" si="212"/>
        <v>733.31999999999994</v>
      </c>
      <c r="Q1971" s="45">
        <f t="shared" si="213"/>
        <v>1012.6800000000001</v>
      </c>
      <c r="R1971" s="45">
        <v>150</v>
      </c>
      <c r="S1971" s="45">
        <f t="shared" si="214"/>
        <v>174.60000000000002</v>
      </c>
      <c r="T1971" s="45">
        <f t="shared" si="215"/>
        <v>1746</v>
      </c>
      <c r="U1971" s="47">
        <f t="shared" si="216"/>
        <v>-1057.92</v>
      </c>
    </row>
    <row r="1972" spans="1:21" x14ac:dyDescent="0.3">
      <c r="A1972" s="41" t="str">
        <f t="shared" si="210"/>
        <v>PBANSH</v>
      </c>
      <c r="B1972" s="43">
        <v>45911</v>
      </c>
      <c r="C1972" s="10" t="s">
        <v>2014</v>
      </c>
      <c r="D1972" s="10" t="s">
        <v>21</v>
      </c>
      <c r="E1972" s="10" t="s">
        <v>18</v>
      </c>
      <c r="F1972" s="10" t="s">
        <v>54</v>
      </c>
      <c r="G1972" s="10" t="s">
        <v>27</v>
      </c>
      <c r="H1972" s="10" t="s">
        <v>32</v>
      </c>
      <c r="I1972" s="45">
        <v>4191</v>
      </c>
      <c r="J1972" s="11">
        <v>0</v>
      </c>
      <c r="K1972" s="45">
        <f t="shared" si="211"/>
        <v>4191</v>
      </c>
      <c r="L1972" s="10">
        <v>13</v>
      </c>
      <c r="M1972" s="10"/>
      <c r="N1972" s="10" t="b">
        <v>0</v>
      </c>
      <c r="O1972" s="41"/>
      <c r="P1972" s="45">
        <f t="shared" si="212"/>
        <v>1760.22</v>
      </c>
      <c r="Q1972" s="45">
        <f t="shared" si="213"/>
        <v>2430.7799999999997</v>
      </c>
      <c r="R1972" s="45">
        <v>0</v>
      </c>
      <c r="S1972" s="45">
        <f t="shared" si="214"/>
        <v>0</v>
      </c>
      <c r="T1972" s="45">
        <f t="shared" si="215"/>
        <v>0</v>
      </c>
      <c r="U1972" s="47">
        <f t="shared" si="216"/>
        <v>2430.7799999999997</v>
      </c>
    </row>
    <row r="1973" spans="1:21" x14ac:dyDescent="0.3">
      <c r="A1973" s="41" t="str">
        <f t="shared" si="210"/>
        <v>PZARDR</v>
      </c>
      <c r="B1973" s="43">
        <v>45911</v>
      </c>
      <c r="C1973" s="10" t="s">
        <v>2015</v>
      </c>
      <c r="D1973" s="10" t="s">
        <v>3</v>
      </c>
      <c r="E1973" s="10" t="s">
        <v>30</v>
      </c>
      <c r="F1973" s="10" t="s">
        <v>4</v>
      </c>
      <c r="G1973" s="10" t="s">
        <v>12</v>
      </c>
      <c r="H1973" s="10" t="s">
        <v>6</v>
      </c>
      <c r="I1973" s="45">
        <v>1942</v>
      </c>
      <c r="J1973" s="11">
        <v>0</v>
      </c>
      <c r="K1973" s="45">
        <f t="shared" si="211"/>
        <v>1942</v>
      </c>
      <c r="L1973" s="10">
        <v>12</v>
      </c>
      <c r="M1973" s="10">
        <v>1.3</v>
      </c>
      <c r="N1973" s="10" t="b">
        <v>1</v>
      </c>
      <c r="O1973" s="41" t="s">
        <v>44</v>
      </c>
      <c r="P1973" s="45">
        <f t="shared" si="212"/>
        <v>815.64</v>
      </c>
      <c r="Q1973" s="45">
        <f t="shared" si="213"/>
        <v>1126.3600000000001</v>
      </c>
      <c r="R1973" s="45">
        <v>150</v>
      </c>
      <c r="S1973" s="45">
        <f t="shared" si="214"/>
        <v>194.20000000000002</v>
      </c>
      <c r="T1973" s="45">
        <f t="shared" si="215"/>
        <v>1942</v>
      </c>
      <c r="U1973" s="47">
        <f t="shared" si="216"/>
        <v>-1159.8399999999999</v>
      </c>
    </row>
    <row r="1974" spans="1:21" x14ac:dyDescent="0.3">
      <c r="A1974" s="41" t="str">
        <f t="shared" si="210"/>
        <v>PGAPAC</v>
      </c>
      <c r="B1974" s="43">
        <v>45911</v>
      </c>
      <c r="C1974" s="10" t="s">
        <v>2016</v>
      </c>
      <c r="D1974" s="10" t="s">
        <v>53</v>
      </c>
      <c r="E1974" s="10" t="s">
        <v>15</v>
      </c>
      <c r="F1974" s="10" t="s">
        <v>54</v>
      </c>
      <c r="G1974" s="10" t="s">
        <v>7</v>
      </c>
      <c r="H1974" s="10" t="s">
        <v>32</v>
      </c>
      <c r="I1974" s="45">
        <v>395</v>
      </c>
      <c r="J1974" s="11">
        <v>0</v>
      </c>
      <c r="K1974" s="45">
        <f t="shared" si="211"/>
        <v>395</v>
      </c>
      <c r="L1974" s="10">
        <v>24</v>
      </c>
      <c r="M1974" s="10">
        <v>3.1</v>
      </c>
      <c r="N1974" s="10" t="b">
        <v>0</v>
      </c>
      <c r="O1974" s="41"/>
      <c r="P1974" s="45">
        <f t="shared" si="212"/>
        <v>165.9</v>
      </c>
      <c r="Q1974" s="45">
        <f t="shared" si="213"/>
        <v>229.1</v>
      </c>
      <c r="R1974" s="45">
        <v>0</v>
      </c>
      <c r="S1974" s="45">
        <f t="shared" si="214"/>
        <v>0</v>
      </c>
      <c r="T1974" s="45">
        <f t="shared" si="215"/>
        <v>0</v>
      </c>
      <c r="U1974" s="47">
        <f t="shared" si="216"/>
        <v>229.1</v>
      </c>
    </row>
    <row r="1975" spans="1:21" x14ac:dyDescent="0.3">
      <c r="A1975" s="41" t="str">
        <f t="shared" si="210"/>
        <v>PH&amp;MBO</v>
      </c>
      <c r="B1975" s="43">
        <v>45911</v>
      </c>
      <c r="C1975" s="10" t="s">
        <v>2017</v>
      </c>
      <c r="D1975" s="10" t="s">
        <v>37</v>
      </c>
      <c r="E1975" s="10" t="s">
        <v>26</v>
      </c>
      <c r="F1975" s="10" t="s">
        <v>54</v>
      </c>
      <c r="G1975" s="10" t="s">
        <v>49</v>
      </c>
      <c r="H1975" s="10" t="s">
        <v>56</v>
      </c>
      <c r="I1975" s="45">
        <v>2235</v>
      </c>
      <c r="J1975" s="11">
        <v>0</v>
      </c>
      <c r="K1975" s="45">
        <f t="shared" si="211"/>
        <v>2235</v>
      </c>
      <c r="L1975" s="10">
        <v>33</v>
      </c>
      <c r="M1975" s="10"/>
      <c r="N1975" s="10" t="b">
        <v>1</v>
      </c>
      <c r="O1975" s="41" t="s">
        <v>80</v>
      </c>
      <c r="P1975" s="45">
        <f t="shared" si="212"/>
        <v>938.69999999999993</v>
      </c>
      <c r="Q1975" s="45">
        <f t="shared" si="213"/>
        <v>1296.3000000000002</v>
      </c>
      <c r="R1975" s="45">
        <v>150</v>
      </c>
      <c r="S1975" s="45">
        <f t="shared" si="214"/>
        <v>223.5</v>
      </c>
      <c r="T1975" s="45">
        <f t="shared" si="215"/>
        <v>2235</v>
      </c>
      <c r="U1975" s="47">
        <f t="shared" si="216"/>
        <v>-1312.1999999999998</v>
      </c>
    </row>
    <row r="1976" spans="1:21" x14ac:dyDescent="0.3">
      <c r="A1976" s="41" t="str">
        <f t="shared" si="210"/>
        <v>PBANBO</v>
      </c>
      <c r="B1976" s="43">
        <v>45912</v>
      </c>
      <c r="C1976" s="10" t="s">
        <v>2018</v>
      </c>
      <c r="D1976" s="10" t="s">
        <v>21</v>
      </c>
      <c r="E1976" s="10" t="s">
        <v>26</v>
      </c>
      <c r="F1976" s="10" t="s">
        <v>54</v>
      </c>
      <c r="G1976" s="10" t="s">
        <v>7</v>
      </c>
      <c r="H1976" s="10" t="s">
        <v>58</v>
      </c>
      <c r="I1976" s="45">
        <v>2906</v>
      </c>
      <c r="J1976" s="11">
        <v>0</v>
      </c>
      <c r="K1976" s="45">
        <f t="shared" si="211"/>
        <v>2906</v>
      </c>
      <c r="L1976" s="10">
        <v>16</v>
      </c>
      <c r="M1976" s="10">
        <v>2.7</v>
      </c>
      <c r="N1976" s="10" t="b">
        <v>0</v>
      </c>
      <c r="O1976" s="41"/>
      <c r="P1976" s="45">
        <f t="shared" si="212"/>
        <v>1220.52</v>
      </c>
      <c r="Q1976" s="45">
        <f t="shared" si="213"/>
        <v>1685.48</v>
      </c>
      <c r="R1976" s="45">
        <v>0</v>
      </c>
      <c r="S1976" s="45">
        <f t="shared" si="214"/>
        <v>0</v>
      </c>
      <c r="T1976" s="45">
        <f t="shared" si="215"/>
        <v>0</v>
      </c>
      <c r="U1976" s="47">
        <f t="shared" si="216"/>
        <v>1685.48</v>
      </c>
    </row>
    <row r="1977" spans="1:21" x14ac:dyDescent="0.3">
      <c r="A1977" s="41" t="str">
        <f t="shared" si="210"/>
        <v>PMANOU</v>
      </c>
      <c r="B1977" s="43">
        <v>45912</v>
      </c>
      <c r="C1977" s="10" t="s">
        <v>2019</v>
      </c>
      <c r="D1977" s="10" t="s">
        <v>31</v>
      </c>
      <c r="E1977" s="10" t="s">
        <v>2</v>
      </c>
      <c r="F1977" s="10" t="s">
        <v>11</v>
      </c>
      <c r="G1977" s="10" t="s">
        <v>27</v>
      </c>
      <c r="H1977" s="10" t="s">
        <v>88</v>
      </c>
      <c r="I1977" s="45">
        <v>3391</v>
      </c>
      <c r="J1977" s="11">
        <v>0</v>
      </c>
      <c r="K1977" s="45">
        <f t="shared" si="211"/>
        <v>3391</v>
      </c>
      <c r="L1977" s="10">
        <v>27</v>
      </c>
      <c r="M1977" s="10">
        <v>2.9</v>
      </c>
      <c r="N1977" s="10" t="b">
        <v>0</v>
      </c>
      <c r="O1977" s="41"/>
      <c r="P1977" s="45">
        <f t="shared" si="212"/>
        <v>1424.22</v>
      </c>
      <c r="Q1977" s="45">
        <f t="shared" si="213"/>
        <v>1966.78</v>
      </c>
      <c r="R1977" s="45">
        <v>0</v>
      </c>
      <c r="S1977" s="45">
        <f t="shared" si="214"/>
        <v>0</v>
      </c>
      <c r="T1977" s="45">
        <f t="shared" si="215"/>
        <v>0</v>
      </c>
      <c r="U1977" s="47">
        <f t="shared" si="216"/>
        <v>1966.78</v>
      </c>
    </row>
    <row r="1978" spans="1:21" x14ac:dyDescent="0.3">
      <c r="A1978" s="41" t="str">
        <f t="shared" si="210"/>
        <v>PH&amp;MTO</v>
      </c>
      <c r="B1978" s="43">
        <v>45912</v>
      </c>
      <c r="C1978" s="10" t="s">
        <v>2020</v>
      </c>
      <c r="D1978" s="10" t="s">
        <v>37</v>
      </c>
      <c r="E1978" s="10" t="s">
        <v>9</v>
      </c>
      <c r="F1978" s="10" t="s">
        <v>23</v>
      </c>
      <c r="G1978" s="10" t="s">
        <v>49</v>
      </c>
      <c r="H1978" s="10" t="s">
        <v>6</v>
      </c>
      <c r="I1978" s="45">
        <v>1786</v>
      </c>
      <c r="J1978" s="11">
        <v>0</v>
      </c>
      <c r="K1978" s="45">
        <f t="shared" si="211"/>
        <v>1786</v>
      </c>
      <c r="L1978" s="10">
        <v>11</v>
      </c>
      <c r="M1978" s="10"/>
      <c r="N1978" s="10" t="b">
        <v>0</v>
      </c>
      <c r="O1978" s="41"/>
      <c r="P1978" s="45">
        <f t="shared" si="212"/>
        <v>750.12</v>
      </c>
      <c r="Q1978" s="45">
        <f t="shared" si="213"/>
        <v>1035.8800000000001</v>
      </c>
      <c r="R1978" s="45">
        <v>0</v>
      </c>
      <c r="S1978" s="45">
        <f t="shared" si="214"/>
        <v>0</v>
      </c>
      <c r="T1978" s="45">
        <f t="shared" si="215"/>
        <v>0</v>
      </c>
      <c r="U1978" s="47">
        <f t="shared" si="216"/>
        <v>1035.8800000000001</v>
      </c>
    </row>
    <row r="1979" spans="1:21" x14ac:dyDescent="0.3">
      <c r="A1979" s="41" t="str">
        <f t="shared" si="210"/>
        <v>PANNDR</v>
      </c>
      <c r="B1979" s="43">
        <v>45912</v>
      </c>
      <c r="C1979" s="10" t="s">
        <v>2021</v>
      </c>
      <c r="D1979" s="10" t="s">
        <v>42</v>
      </c>
      <c r="E1979" s="10" t="s">
        <v>30</v>
      </c>
      <c r="F1979" s="10" t="s">
        <v>11</v>
      </c>
      <c r="G1979" s="10" t="s">
        <v>5</v>
      </c>
      <c r="H1979" s="10" t="s">
        <v>43</v>
      </c>
      <c r="I1979" s="45">
        <v>2717</v>
      </c>
      <c r="J1979" s="11">
        <v>0.1</v>
      </c>
      <c r="K1979" s="45">
        <f t="shared" si="211"/>
        <v>2445.3000000000002</v>
      </c>
      <c r="L1979" s="10">
        <v>24</v>
      </c>
      <c r="M1979" s="10">
        <v>1.2</v>
      </c>
      <c r="N1979" s="10" t="b">
        <v>0</v>
      </c>
      <c r="O1979" s="41"/>
      <c r="P1979" s="45">
        <f t="shared" si="212"/>
        <v>1027.0260000000001</v>
      </c>
      <c r="Q1979" s="45">
        <f t="shared" si="213"/>
        <v>1418.2740000000001</v>
      </c>
      <c r="R1979" s="45">
        <v>0</v>
      </c>
      <c r="S1979" s="45">
        <f t="shared" si="214"/>
        <v>0</v>
      </c>
      <c r="T1979" s="45">
        <f t="shared" si="215"/>
        <v>0</v>
      </c>
      <c r="U1979" s="47">
        <f t="shared" si="216"/>
        <v>1418.2740000000001</v>
      </c>
    </row>
    <row r="1980" spans="1:21" x14ac:dyDescent="0.3">
      <c r="A1980" s="41" t="str">
        <f t="shared" si="210"/>
        <v>PFOROU</v>
      </c>
      <c r="B1980" s="43">
        <v>45913</v>
      </c>
      <c r="C1980" s="10" t="s">
        <v>2022</v>
      </c>
      <c r="D1980" s="10" t="s">
        <v>65</v>
      </c>
      <c r="E1980" s="10" t="s">
        <v>2</v>
      </c>
      <c r="F1980" s="10" t="s">
        <v>11</v>
      </c>
      <c r="G1980" s="10" t="s">
        <v>12</v>
      </c>
      <c r="H1980" s="10" t="s">
        <v>16</v>
      </c>
      <c r="I1980" s="45">
        <v>3487</v>
      </c>
      <c r="J1980" s="11">
        <v>0</v>
      </c>
      <c r="K1980" s="45">
        <f t="shared" si="211"/>
        <v>3487</v>
      </c>
      <c r="L1980" s="10">
        <v>21</v>
      </c>
      <c r="M1980" s="10">
        <v>4.5</v>
      </c>
      <c r="N1980" s="10" t="b">
        <v>0</v>
      </c>
      <c r="O1980" s="41"/>
      <c r="P1980" s="45">
        <f t="shared" si="212"/>
        <v>1464.54</v>
      </c>
      <c r="Q1980" s="45">
        <f t="shared" si="213"/>
        <v>2022.46</v>
      </c>
      <c r="R1980" s="45">
        <v>0</v>
      </c>
      <c r="S1980" s="45">
        <f t="shared" si="214"/>
        <v>0</v>
      </c>
      <c r="T1980" s="45">
        <f t="shared" si="215"/>
        <v>0</v>
      </c>
      <c r="U1980" s="47">
        <f t="shared" si="216"/>
        <v>2022.46</v>
      </c>
    </row>
    <row r="1981" spans="1:21" x14ac:dyDescent="0.3">
      <c r="A1981" s="41" t="str">
        <f t="shared" si="210"/>
        <v>PGAPDR</v>
      </c>
      <c r="B1981" s="43">
        <v>45913</v>
      </c>
      <c r="C1981" s="10" t="s">
        <v>2023</v>
      </c>
      <c r="D1981" s="10" t="s">
        <v>53</v>
      </c>
      <c r="E1981" s="10" t="s">
        <v>30</v>
      </c>
      <c r="F1981" s="10" t="s">
        <v>23</v>
      </c>
      <c r="G1981" s="10" t="s">
        <v>27</v>
      </c>
      <c r="H1981" s="10" t="s">
        <v>16</v>
      </c>
      <c r="I1981" s="45">
        <v>2593</v>
      </c>
      <c r="J1981" s="11">
        <v>0</v>
      </c>
      <c r="K1981" s="45">
        <f t="shared" si="211"/>
        <v>2593</v>
      </c>
      <c r="L1981" s="10">
        <v>5</v>
      </c>
      <c r="M1981" s="10">
        <v>4.5999999999999996</v>
      </c>
      <c r="N1981" s="10" t="b">
        <v>0</v>
      </c>
      <c r="O1981" s="41"/>
      <c r="P1981" s="45">
        <f t="shared" si="212"/>
        <v>1089.06</v>
      </c>
      <c r="Q1981" s="45">
        <f t="shared" si="213"/>
        <v>1503.94</v>
      </c>
      <c r="R1981" s="45">
        <v>0</v>
      </c>
      <c r="S1981" s="45">
        <f t="shared" si="214"/>
        <v>0</v>
      </c>
      <c r="T1981" s="45">
        <f t="shared" si="215"/>
        <v>0</v>
      </c>
      <c r="U1981" s="47">
        <f t="shared" si="216"/>
        <v>1503.94</v>
      </c>
    </row>
    <row r="1982" spans="1:21" x14ac:dyDescent="0.3">
      <c r="A1982" s="41" t="str">
        <f t="shared" si="210"/>
        <v>PFORBO</v>
      </c>
      <c r="B1982" s="43">
        <v>45913</v>
      </c>
      <c r="C1982" s="10" t="s">
        <v>2024</v>
      </c>
      <c r="D1982" s="10" t="s">
        <v>65</v>
      </c>
      <c r="E1982" s="10" t="s">
        <v>26</v>
      </c>
      <c r="F1982" s="10" t="s">
        <v>54</v>
      </c>
      <c r="G1982" s="10" t="s">
        <v>12</v>
      </c>
      <c r="H1982" s="10" t="s">
        <v>56</v>
      </c>
      <c r="I1982" s="45">
        <v>2934</v>
      </c>
      <c r="J1982" s="11">
        <v>0</v>
      </c>
      <c r="K1982" s="45">
        <f t="shared" si="211"/>
        <v>2934</v>
      </c>
      <c r="L1982" s="10">
        <v>15</v>
      </c>
      <c r="M1982" s="10">
        <v>4.5999999999999996</v>
      </c>
      <c r="N1982" s="10" t="b">
        <v>0</v>
      </c>
      <c r="O1982" s="41"/>
      <c r="P1982" s="45">
        <f t="shared" si="212"/>
        <v>1232.28</v>
      </c>
      <c r="Q1982" s="45">
        <f t="shared" si="213"/>
        <v>1701.72</v>
      </c>
      <c r="R1982" s="45">
        <v>0</v>
      </c>
      <c r="S1982" s="45">
        <f t="shared" si="214"/>
        <v>0</v>
      </c>
      <c r="T1982" s="45">
        <f t="shared" si="215"/>
        <v>0</v>
      </c>
      <c r="U1982" s="47">
        <f t="shared" si="216"/>
        <v>1701.72</v>
      </c>
    </row>
    <row r="1983" spans="1:21" x14ac:dyDescent="0.3">
      <c r="A1983" s="41" t="str">
        <f t="shared" si="210"/>
        <v>PUNITO</v>
      </c>
      <c r="B1983" s="43">
        <v>45913</v>
      </c>
      <c r="C1983" s="10" t="s">
        <v>2025</v>
      </c>
      <c r="D1983" s="10" t="s">
        <v>10</v>
      </c>
      <c r="E1983" s="10" t="s">
        <v>9</v>
      </c>
      <c r="F1983" s="10" t="s">
        <v>23</v>
      </c>
      <c r="G1983" s="10" t="s">
        <v>49</v>
      </c>
      <c r="H1983" s="10" t="s">
        <v>56</v>
      </c>
      <c r="I1983" s="45">
        <v>1356</v>
      </c>
      <c r="J1983" s="11">
        <v>0</v>
      </c>
      <c r="K1983" s="45">
        <f t="shared" si="211"/>
        <v>1356</v>
      </c>
      <c r="L1983" s="10">
        <v>33</v>
      </c>
      <c r="M1983" s="10">
        <v>4.2</v>
      </c>
      <c r="N1983" s="10" t="b">
        <v>0</v>
      </c>
      <c r="O1983" s="41"/>
      <c r="P1983" s="45">
        <f t="shared" si="212"/>
        <v>569.52</v>
      </c>
      <c r="Q1983" s="45">
        <f t="shared" si="213"/>
        <v>786.48</v>
      </c>
      <c r="R1983" s="45">
        <v>0</v>
      </c>
      <c r="S1983" s="45">
        <f t="shared" si="214"/>
        <v>0</v>
      </c>
      <c r="T1983" s="45">
        <f t="shared" si="215"/>
        <v>0</v>
      </c>
      <c r="U1983" s="47">
        <f t="shared" si="216"/>
        <v>786.48</v>
      </c>
    </row>
    <row r="1984" spans="1:21" x14ac:dyDescent="0.3">
      <c r="A1984" s="41" t="str">
        <f t="shared" si="210"/>
        <v>PMANBO</v>
      </c>
      <c r="B1984" s="43">
        <v>45914</v>
      </c>
      <c r="C1984" s="10" t="s">
        <v>2026</v>
      </c>
      <c r="D1984" s="10" t="s">
        <v>31</v>
      </c>
      <c r="E1984" s="10" t="s">
        <v>26</v>
      </c>
      <c r="F1984" s="10" t="s">
        <v>54</v>
      </c>
      <c r="G1984" s="10" t="s">
        <v>27</v>
      </c>
      <c r="H1984" s="10" t="s">
        <v>32</v>
      </c>
      <c r="I1984" s="45">
        <v>2841</v>
      </c>
      <c r="J1984" s="11">
        <v>0.379</v>
      </c>
      <c r="K1984" s="45">
        <f t="shared" si="211"/>
        <v>1764.261</v>
      </c>
      <c r="L1984" s="10">
        <v>34</v>
      </c>
      <c r="M1984" s="10">
        <v>1.3</v>
      </c>
      <c r="N1984" s="10" t="b">
        <v>0</v>
      </c>
      <c r="O1984" s="41"/>
      <c r="P1984" s="45">
        <f t="shared" si="212"/>
        <v>740.98961999999995</v>
      </c>
      <c r="Q1984" s="45">
        <f t="shared" si="213"/>
        <v>1023.27138</v>
      </c>
      <c r="R1984" s="45">
        <v>0</v>
      </c>
      <c r="S1984" s="45">
        <f t="shared" si="214"/>
        <v>0</v>
      </c>
      <c r="T1984" s="45">
        <f t="shared" si="215"/>
        <v>0</v>
      </c>
      <c r="U1984" s="47">
        <f t="shared" si="216"/>
        <v>1023.27138</v>
      </c>
    </row>
    <row r="1985" spans="1:21" x14ac:dyDescent="0.3">
      <c r="A1985" s="41" t="str">
        <f t="shared" si="210"/>
        <v>PMANAC</v>
      </c>
      <c r="B1985" s="43">
        <v>45914</v>
      </c>
      <c r="C1985" s="10" t="s">
        <v>2027</v>
      </c>
      <c r="D1985" s="10" t="s">
        <v>31</v>
      </c>
      <c r="E1985" s="10" t="s">
        <v>15</v>
      </c>
      <c r="F1985" s="10" t="s">
        <v>4</v>
      </c>
      <c r="G1985" s="10" t="s">
        <v>7</v>
      </c>
      <c r="H1985" s="10" t="s">
        <v>88</v>
      </c>
      <c r="I1985" s="45">
        <v>218</v>
      </c>
      <c r="J1985" s="11">
        <v>0</v>
      </c>
      <c r="K1985" s="45">
        <f t="shared" si="211"/>
        <v>218</v>
      </c>
      <c r="L1985" s="10">
        <v>34</v>
      </c>
      <c r="M1985" s="10">
        <v>2.1</v>
      </c>
      <c r="N1985" s="10" t="b">
        <v>0</v>
      </c>
      <c r="O1985" s="41"/>
      <c r="P1985" s="45">
        <f t="shared" si="212"/>
        <v>91.56</v>
      </c>
      <c r="Q1985" s="45">
        <f t="shared" si="213"/>
        <v>126.44</v>
      </c>
      <c r="R1985" s="45">
        <v>0</v>
      </c>
      <c r="S1985" s="45">
        <f t="shared" si="214"/>
        <v>0</v>
      </c>
      <c r="T1985" s="45">
        <f t="shared" si="215"/>
        <v>0</v>
      </c>
      <c r="U1985" s="47">
        <f t="shared" si="216"/>
        <v>126.44</v>
      </c>
    </row>
    <row r="1986" spans="1:21" x14ac:dyDescent="0.3">
      <c r="A1986" s="41" t="str">
        <f t="shared" ref="A1986:A2049" si="217">UPPER("P"&amp;LEFT(D1986,3)&amp;LEFT(E1986,2))</f>
        <v>PMANTO</v>
      </c>
      <c r="B1986" s="43">
        <v>45914</v>
      </c>
      <c r="C1986" s="10" t="s">
        <v>2028</v>
      </c>
      <c r="D1986" s="10" t="s">
        <v>31</v>
      </c>
      <c r="E1986" s="10" t="s">
        <v>9</v>
      </c>
      <c r="F1986" s="10" t="s">
        <v>54</v>
      </c>
      <c r="G1986" s="10" t="s">
        <v>12</v>
      </c>
      <c r="H1986" s="10" t="s">
        <v>47</v>
      </c>
      <c r="I1986" s="45">
        <v>1402</v>
      </c>
      <c r="J1986" s="11">
        <v>0</v>
      </c>
      <c r="K1986" s="45">
        <f t="shared" si="211"/>
        <v>1402</v>
      </c>
      <c r="L1986" s="10">
        <v>2</v>
      </c>
      <c r="M1986" s="10"/>
      <c r="N1986" s="10" t="b">
        <v>0</v>
      </c>
      <c r="O1986" s="41"/>
      <c r="P1986" s="45">
        <f t="shared" si="212"/>
        <v>588.84</v>
      </c>
      <c r="Q1986" s="45">
        <f t="shared" si="213"/>
        <v>813.16</v>
      </c>
      <c r="R1986" s="45">
        <v>0</v>
      </c>
      <c r="S1986" s="45">
        <f t="shared" si="214"/>
        <v>0</v>
      </c>
      <c r="T1986" s="45">
        <f t="shared" si="215"/>
        <v>0</v>
      </c>
      <c r="U1986" s="47">
        <f t="shared" si="216"/>
        <v>813.16</v>
      </c>
    </row>
    <row r="1987" spans="1:21" x14ac:dyDescent="0.3">
      <c r="A1987" s="41" t="str">
        <f t="shared" si="217"/>
        <v>PH&amp;MTO</v>
      </c>
      <c r="B1987" s="43">
        <v>45914</v>
      </c>
      <c r="C1987" s="10" t="s">
        <v>2029</v>
      </c>
      <c r="D1987" s="10" t="s">
        <v>37</v>
      </c>
      <c r="E1987" s="10" t="s">
        <v>9</v>
      </c>
      <c r="F1987" s="10" t="s">
        <v>4</v>
      </c>
      <c r="G1987" s="10" t="s">
        <v>12</v>
      </c>
      <c r="H1987" s="10" t="s">
        <v>56</v>
      </c>
      <c r="I1987" s="45">
        <v>1525</v>
      </c>
      <c r="J1987" s="11">
        <v>0</v>
      </c>
      <c r="K1987" s="45">
        <f t="shared" ref="K1987:K2050" si="218">I1987*(1-J1987)</f>
        <v>1525</v>
      </c>
      <c r="L1987" s="10">
        <v>23</v>
      </c>
      <c r="M1987" s="10">
        <v>2</v>
      </c>
      <c r="N1987" s="10" t="b">
        <v>1</v>
      </c>
      <c r="O1987" s="41" t="s">
        <v>44</v>
      </c>
      <c r="P1987" s="45">
        <f t="shared" ref="P1987:P2050" si="219">K1987*0.42</f>
        <v>640.5</v>
      </c>
      <c r="Q1987" s="45">
        <f t="shared" ref="Q1987:Q2050" si="220">K1987-P1987</f>
        <v>884.5</v>
      </c>
      <c r="R1987" s="45">
        <v>150</v>
      </c>
      <c r="S1987" s="45">
        <f t="shared" ref="S1987:S2050" si="221">IF(N1987=TRUE,K1987*0.1,0)</f>
        <v>152.5</v>
      </c>
      <c r="T1987" s="45">
        <f t="shared" ref="T1987:T2050" si="222">IF(N1987=TRUE,K1987,0)</f>
        <v>1525</v>
      </c>
      <c r="U1987" s="47">
        <f t="shared" ref="U1987:U2050" si="223">Q1987-R1987-S1987-T1987</f>
        <v>-943</v>
      </c>
    </row>
    <row r="1988" spans="1:21" x14ac:dyDescent="0.3">
      <c r="A1988" s="41" t="str">
        <f t="shared" si="217"/>
        <v>PUNIAC</v>
      </c>
      <c r="B1988" s="43">
        <v>45915</v>
      </c>
      <c r="C1988" s="10" t="s">
        <v>2030</v>
      </c>
      <c r="D1988" s="10" t="s">
        <v>10</v>
      </c>
      <c r="E1988" s="10" t="s">
        <v>15</v>
      </c>
      <c r="F1988" s="10" t="s">
        <v>23</v>
      </c>
      <c r="G1988" s="10" t="s">
        <v>7</v>
      </c>
      <c r="H1988" s="10" t="s">
        <v>56</v>
      </c>
      <c r="I1988" s="45">
        <v>169</v>
      </c>
      <c r="J1988" s="11">
        <v>0</v>
      </c>
      <c r="K1988" s="45">
        <f t="shared" si="218"/>
        <v>169</v>
      </c>
      <c r="L1988" s="10">
        <v>50</v>
      </c>
      <c r="M1988" s="10">
        <v>4</v>
      </c>
      <c r="N1988" s="10" t="b">
        <v>0</v>
      </c>
      <c r="O1988" s="41"/>
      <c r="P1988" s="45">
        <f t="shared" si="219"/>
        <v>70.98</v>
      </c>
      <c r="Q1988" s="45">
        <f t="shared" si="220"/>
        <v>98.02</v>
      </c>
      <c r="R1988" s="45">
        <v>0</v>
      </c>
      <c r="S1988" s="45">
        <f t="shared" si="221"/>
        <v>0</v>
      </c>
      <c r="T1988" s="45">
        <f t="shared" si="222"/>
        <v>0</v>
      </c>
      <c r="U1988" s="47">
        <f t="shared" si="223"/>
        <v>98.02</v>
      </c>
    </row>
    <row r="1989" spans="1:21" x14ac:dyDescent="0.3">
      <c r="A1989" s="41" t="str">
        <f t="shared" si="217"/>
        <v>PANNSH</v>
      </c>
      <c r="B1989" s="43">
        <v>45915</v>
      </c>
      <c r="C1989" s="10" t="s">
        <v>2031</v>
      </c>
      <c r="D1989" s="10" t="s">
        <v>42</v>
      </c>
      <c r="E1989" s="10" t="s">
        <v>18</v>
      </c>
      <c r="F1989" s="10" t="s">
        <v>11</v>
      </c>
      <c r="G1989" s="10" t="s">
        <v>49</v>
      </c>
      <c r="H1989" s="10" t="s">
        <v>35</v>
      </c>
      <c r="I1989" s="45">
        <v>3655</v>
      </c>
      <c r="J1989" s="11">
        <v>8.900000000000001E-2</v>
      </c>
      <c r="K1989" s="45">
        <f t="shared" si="218"/>
        <v>3329.7049999999999</v>
      </c>
      <c r="L1989" s="10">
        <v>43</v>
      </c>
      <c r="M1989" s="10">
        <v>3.4</v>
      </c>
      <c r="N1989" s="10" t="b">
        <v>0</v>
      </c>
      <c r="O1989" s="41"/>
      <c r="P1989" s="45">
        <f t="shared" si="219"/>
        <v>1398.4760999999999</v>
      </c>
      <c r="Q1989" s="45">
        <f t="shared" si="220"/>
        <v>1931.2289000000001</v>
      </c>
      <c r="R1989" s="45">
        <v>0</v>
      </c>
      <c r="S1989" s="45">
        <f t="shared" si="221"/>
        <v>0</v>
      </c>
      <c r="T1989" s="45">
        <f t="shared" si="222"/>
        <v>0</v>
      </c>
      <c r="U1989" s="47">
        <f t="shared" si="223"/>
        <v>1931.2289000000001</v>
      </c>
    </row>
    <row r="1990" spans="1:21" x14ac:dyDescent="0.3">
      <c r="A1990" s="41" t="str">
        <f t="shared" si="217"/>
        <v>PZARBO</v>
      </c>
      <c r="B1990" s="43">
        <v>45915</v>
      </c>
      <c r="C1990" s="10" t="s">
        <v>2032</v>
      </c>
      <c r="D1990" s="10" t="s">
        <v>3</v>
      </c>
      <c r="E1990" s="10" t="s">
        <v>26</v>
      </c>
      <c r="F1990" s="10" t="s">
        <v>23</v>
      </c>
      <c r="G1990" s="10" t="s">
        <v>27</v>
      </c>
      <c r="H1990" s="10" t="s">
        <v>35</v>
      </c>
      <c r="I1990" s="45">
        <v>2304</v>
      </c>
      <c r="J1990" s="11">
        <v>0.19</v>
      </c>
      <c r="K1990" s="45">
        <f t="shared" si="218"/>
        <v>1866.2400000000002</v>
      </c>
      <c r="L1990" s="10">
        <v>42</v>
      </c>
      <c r="M1990" s="10">
        <v>1.9</v>
      </c>
      <c r="N1990" s="10" t="b">
        <v>0</v>
      </c>
      <c r="O1990" s="41"/>
      <c r="P1990" s="45">
        <f t="shared" si="219"/>
        <v>783.82080000000008</v>
      </c>
      <c r="Q1990" s="45">
        <f t="shared" si="220"/>
        <v>1082.4192000000003</v>
      </c>
      <c r="R1990" s="45">
        <v>0</v>
      </c>
      <c r="S1990" s="45">
        <f t="shared" si="221"/>
        <v>0</v>
      </c>
      <c r="T1990" s="45">
        <f t="shared" si="222"/>
        <v>0</v>
      </c>
      <c r="U1990" s="47">
        <f t="shared" si="223"/>
        <v>1082.4192000000003</v>
      </c>
    </row>
    <row r="1991" spans="1:21" x14ac:dyDescent="0.3">
      <c r="A1991" s="41" t="str">
        <f t="shared" si="217"/>
        <v>PGAPBO</v>
      </c>
      <c r="B1991" s="43">
        <v>45915</v>
      </c>
      <c r="C1991" s="10" t="s">
        <v>2033</v>
      </c>
      <c r="D1991" s="10" t="s">
        <v>53</v>
      </c>
      <c r="E1991" s="10" t="s">
        <v>26</v>
      </c>
      <c r="F1991" s="10" t="s">
        <v>4</v>
      </c>
      <c r="G1991" s="10" t="s">
        <v>49</v>
      </c>
      <c r="H1991" s="10" t="s">
        <v>13</v>
      </c>
      <c r="I1991" s="45">
        <v>2276</v>
      </c>
      <c r="J1991" s="11">
        <v>0.17399999999999999</v>
      </c>
      <c r="K1991" s="45">
        <f t="shared" si="218"/>
        <v>1879.9760000000001</v>
      </c>
      <c r="L1991" s="10">
        <v>43</v>
      </c>
      <c r="M1991" s="10">
        <v>2.1</v>
      </c>
      <c r="N1991" s="10" t="b">
        <v>0</v>
      </c>
      <c r="O1991" s="41"/>
      <c r="P1991" s="45">
        <f t="shared" si="219"/>
        <v>789.58992000000001</v>
      </c>
      <c r="Q1991" s="45">
        <f t="shared" si="220"/>
        <v>1090.3860800000002</v>
      </c>
      <c r="R1991" s="45">
        <v>0</v>
      </c>
      <c r="S1991" s="45">
        <f t="shared" si="221"/>
        <v>0</v>
      </c>
      <c r="T1991" s="45">
        <f t="shared" si="222"/>
        <v>0</v>
      </c>
      <c r="U1991" s="47">
        <f t="shared" si="223"/>
        <v>1090.3860800000002</v>
      </c>
    </row>
    <row r="1992" spans="1:21" x14ac:dyDescent="0.3">
      <c r="A1992" s="41" t="str">
        <f t="shared" si="217"/>
        <v>PUNIAC</v>
      </c>
      <c r="B1992" s="43">
        <v>45916</v>
      </c>
      <c r="C1992" s="10" t="s">
        <v>2034</v>
      </c>
      <c r="D1992" s="10" t="s">
        <v>10</v>
      </c>
      <c r="E1992" s="10" t="s">
        <v>15</v>
      </c>
      <c r="F1992" s="10" t="s">
        <v>54</v>
      </c>
      <c r="G1992" s="10" t="s">
        <v>7</v>
      </c>
      <c r="H1992" s="10" t="s">
        <v>28</v>
      </c>
      <c r="I1992" s="45">
        <v>292</v>
      </c>
      <c r="J1992" s="11">
        <v>0</v>
      </c>
      <c r="K1992" s="45">
        <f t="shared" si="218"/>
        <v>292</v>
      </c>
      <c r="L1992" s="10">
        <v>36</v>
      </c>
      <c r="M1992" s="10">
        <v>1.4</v>
      </c>
      <c r="N1992" s="10" t="b">
        <v>0</v>
      </c>
      <c r="O1992" s="41"/>
      <c r="P1992" s="45">
        <f t="shared" si="219"/>
        <v>122.64</v>
      </c>
      <c r="Q1992" s="45">
        <f t="shared" si="220"/>
        <v>169.36</v>
      </c>
      <c r="R1992" s="45">
        <v>0</v>
      </c>
      <c r="S1992" s="45">
        <f t="shared" si="221"/>
        <v>0</v>
      </c>
      <c r="T1992" s="45">
        <f t="shared" si="222"/>
        <v>0</v>
      </c>
      <c r="U1992" s="47">
        <f t="shared" si="223"/>
        <v>169.36</v>
      </c>
    </row>
    <row r="1993" spans="1:21" x14ac:dyDescent="0.3">
      <c r="A1993" s="41" t="str">
        <f t="shared" si="217"/>
        <v>PZARTO</v>
      </c>
      <c r="B1993" s="43">
        <v>45916</v>
      </c>
      <c r="C1993" s="10" t="s">
        <v>2035</v>
      </c>
      <c r="D1993" s="10" t="s">
        <v>3</v>
      </c>
      <c r="E1993" s="10" t="s">
        <v>9</v>
      </c>
      <c r="F1993" s="10" t="s">
        <v>23</v>
      </c>
      <c r="G1993" s="10" t="s">
        <v>5</v>
      </c>
      <c r="H1993" s="10" t="s">
        <v>6</v>
      </c>
      <c r="I1993" s="45">
        <v>982</v>
      </c>
      <c r="J1993" s="11">
        <v>0.184</v>
      </c>
      <c r="K1993" s="45">
        <f t="shared" si="218"/>
        <v>801.31200000000001</v>
      </c>
      <c r="L1993" s="10">
        <v>29</v>
      </c>
      <c r="M1993" s="10">
        <v>2.6</v>
      </c>
      <c r="N1993" s="10" t="b">
        <v>0</v>
      </c>
      <c r="O1993" s="41"/>
      <c r="P1993" s="45">
        <f t="shared" si="219"/>
        <v>336.55104</v>
      </c>
      <c r="Q1993" s="45">
        <f t="shared" si="220"/>
        <v>464.76096000000001</v>
      </c>
      <c r="R1993" s="45">
        <v>0</v>
      </c>
      <c r="S1993" s="45">
        <f t="shared" si="221"/>
        <v>0</v>
      </c>
      <c r="T1993" s="45">
        <f t="shared" si="222"/>
        <v>0</v>
      </c>
      <c r="U1993" s="47">
        <f t="shared" si="223"/>
        <v>464.76096000000001</v>
      </c>
    </row>
    <row r="1994" spans="1:21" x14ac:dyDescent="0.3">
      <c r="A1994" s="41" t="str">
        <f t="shared" si="217"/>
        <v>PUNISH</v>
      </c>
      <c r="B1994" s="43">
        <v>45916</v>
      </c>
      <c r="C1994" s="10" t="s">
        <v>2036</v>
      </c>
      <c r="D1994" s="10" t="s">
        <v>10</v>
      </c>
      <c r="E1994" s="10" t="s">
        <v>18</v>
      </c>
      <c r="F1994" s="10" t="s">
        <v>4</v>
      </c>
      <c r="G1994" s="10" t="s">
        <v>27</v>
      </c>
      <c r="H1994" s="10" t="s">
        <v>7</v>
      </c>
      <c r="I1994" s="45">
        <v>3218</v>
      </c>
      <c r="J1994" s="11">
        <v>0</v>
      </c>
      <c r="K1994" s="45">
        <f t="shared" si="218"/>
        <v>3218</v>
      </c>
      <c r="L1994" s="10">
        <v>42</v>
      </c>
      <c r="M1994" s="10"/>
      <c r="N1994" s="10" t="b">
        <v>0</v>
      </c>
      <c r="O1994" s="41"/>
      <c r="P1994" s="45">
        <f t="shared" si="219"/>
        <v>1351.56</v>
      </c>
      <c r="Q1994" s="45">
        <f t="shared" si="220"/>
        <v>1866.44</v>
      </c>
      <c r="R1994" s="45">
        <v>0</v>
      </c>
      <c r="S1994" s="45">
        <f t="shared" si="221"/>
        <v>0</v>
      </c>
      <c r="T1994" s="45">
        <f t="shared" si="222"/>
        <v>0</v>
      </c>
      <c r="U1994" s="47">
        <f t="shared" si="223"/>
        <v>1866.44</v>
      </c>
    </row>
    <row r="1995" spans="1:21" x14ac:dyDescent="0.3">
      <c r="A1995" s="41" t="str">
        <f t="shared" si="217"/>
        <v>PH&amp;MOU</v>
      </c>
      <c r="B1995" s="43">
        <v>45916</v>
      </c>
      <c r="C1995" s="10" t="s">
        <v>2037</v>
      </c>
      <c r="D1995" s="10" t="s">
        <v>37</v>
      </c>
      <c r="E1995" s="10" t="s">
        <v>2</v>
      </c>
      <c r="F1995" s="10" t="s">
        <v>23</v>
      </c>
      <c r="G1995" s="10" t="s">
        <v>46</v>
      </c>
      <c r="H1995" s="10" t="s">
        <v>16</v>
      </c>
      <c r="I1995" s="45">
        <v>3920</v>
      </c>
      <c r="J1995" s="11">
        <v>0</v>
      </c>
      <c r="K1995" s="45">
        <f t="shared" si="218"/>
        <v>3920</v>
      </c>
      <c r="L1995" s="10">
        <v>4</v>
      </c>
      <c r="M1995" s="10">
        <v>4.5999999999999996</v>
      </c>
      <c r="N1995" s="10" t="b">
        <v>1</v>
      </c>
      <c r="O1995" s="41" t="s">
        <v>19</v>
      </c>
      <c r="P1995" s="45">
        <f t="shared" si="219"/>
        <v>1646.3999999999999</v>
      </c>
      <c r="Q1995" s="45">
        <f t="shared" si="220"/>
        <v>2273.6000000000004</v>
      </c>
      <c r="R1995" s="45">
        <v>150</v>
      </c>
      <c r="S1995" s="45">
        <f t="shared" si="221"/>
        <v>392</v>
      </c>
      <c r="T1995" s="45">
        <f t="shared" si="222"/>
        <v>3920</v>
      </c>
      <c r="U1995" s="47">
        <f t="shared" si="223"/>
        <v>-2188.3999999999996</v>
      </c>
    </row>
    <row r="1996" spans="1:21" x14ac:dyDescent="0.3">
      <c r="A1996" s="41" t="str">
        <f t="shared" si="217"/>
        <v>PUNISH</v>
      </c>
      <c r="B1996" s="43">
        <v>45917</v>
      </c>
      <c r="C1996" s="10" t="s">
        <v>2038</v>
      </c>
      <c r="D1996" s="10" t="s">
        <v>10</v>
      </c>
      <c r="E1996" s="10" t="s">
        <v>18</v>
      </c>
      <c r="F1996" s="10" t="s">
        <v>4</v>
      </c>
      <c r="G1996" s="10" t="s">
        <v>49</v>
      </c>
      <c r="H1996" s="10" t="s">
        <v>28</v>
      </c>
      <c r="I1996" s="45">
        <v>3299</v>
      </c>
      <c r="J1996" s="11">
        <v>0</v>
      </c>
      <c r="K1996" s="45">
        <f t="shared" si="218"/>
        <v>3299</v>
      </c>
      <c r="L1996" s="10">
        <v>35</v>
      </c>
      <c r="M1996" s="10">
        <v>2.6</v>
      </c>
      <c r="N1996" s="10" t="b">
        <v>0</v>
      </c>
      <c r="O1996" s="41"/>
      <c r="P1996" s="45">
        <f t="shared" si="219"/>
        <v>1385.58</v>
      </c>
      <c r="Q1996" s="45">
        <f t="shared" si="220"/>
        <v>1913.42</v>
      </c>
      <c r="R1996" s="45">
        <v>0</v>
      </c>
      <c r="S1996" s="45">
        <f t="shared" si="221"/>
        <v>0</v>
      </c>
      <c r="T1996" s="45">
        <f t="shared" si="222"/>
        <v>0</v>
      </c>
      <c r="U1996" s="47">
        <f t="shared" si="223"/>
        <v>1913.42</v>
      </c>
    </row>
    <row r="1997" spans="1:21" x14ac:dyDescent="0.3">
      <c r="A1997" s="41" t="str">
        <f t="shared" si="217"/>
        <v>PZARTO</v>
      </c>
      <c r="B1997" s="43">
        <v>45917</v>
      </c>
      <c r="C1997" s="10" t="s">
        <v>2039</v>
      </c>
      <c r="D1997" s="10" t="s">
        <v>3</v>
      </c>
      <c r="E1997" s="10" t="s">
        <v>9</v>
      </c>
      <c r="F1997" s="10" t="s">
        <v>4</v>
      </c>
      <c r="G1997" s="10" t="s">
        <v>46</v>
      </c>
      <c r="H1997" s="10" t="s">
        <v>58</v>
      </c>
      <c r="I1997" s="45">
        <v>957</v>
      </c>
      <c r="J1997" s="11">
        <v>0</v>
      </c>
      <c r="K1997" s="45">
        <f t="shared" si="218"/>
        <v>957</v>
      </c>
      <c r="L1997" s="10">
        <v>43</v>
      </c>
      <c r="M1997" s="10">
        <v>3.4</v>
      </c>
      <c r="N1997" s="10" t="b">
        <v>0</v>
      </c>
      <c r="O1997" s="41"/>
      <c r="P1997" s="45">
        <f t="shared" si="219"/>
        <v>401.94</v>
      </c>
      <c r="Q1997" s="45">
        <f t="shared" si="220"/>
        <v>555.05999999999995</v>
      </c>
      <c r="R1997" s="45">
        <v>0</v>
      </c>
      <c r="S1997" s="45">
        <f t="shared" si="221"/>
        <v>0</v>
      </c>
      <c r="T1997" s="45">
        <f t="shared" si="222"/>
        <v>0</v>
      </c>
      <c r="U1997" s="47">
        <f t="shared" si="223"/>
        <v>555.05999999999995</v>
      </c>
    </row>
    <row r="1998" spans="1:21" x14ac:dyDescent="0.3">
      <c r="A1998" s="41" t="str">
        <f t="shared" si="217"/>
        <v>PANNAC</v>
      </c>
      <c r="B1998" s="43">
        <v>45917</v>
      </c>
      <c r="C1998" s="10" t="s">
        <v>2040</v>
      </c>
      <c r="D1998" s="10" t="s">
        <v>42</v>
      </c>
      <c r="E1998" s="10" t="s">
        <v>15</v>
      </c>
      <c r="F1998" s="10" t="s">
        <v>4</v>
      </c>
      <c r="G1998" s="10" t="s">
        <v>7</v>
      </c>
      <c r="H1998" s="10" t="s">
        <v>28</v>
      </c>
      <c r="I1998" s="45">
        <v>305</v>
      </c>
      <c r="J1998" s="11">
        <v>0</v>
      </c>
      <c r="K1998" s="45">
        <f t="shared" si="218"/>
        <v>305</v>
      </c>
      <c r="L1998" s="10">
        <v>27</v>
      </c>
      <c r="M1998" s="10"/>
      <c r="N1998" s="10" t="b">
        <v>0</v>
      </c>
      <c r="O1998" s="41"/>
      <c r="P1998" s="45">
        <f t="shared" si="219"/>
        <v>128.1</v>
      </c>
      <c r="Q1998" s="45">
        <f t="shared" si="220"/>
        <v>176.9</v>
      </c>
      <c r="R1998" s="45">
        <v>0</v>
      </c>
      <c r="S1998" s="45">
        <f t="shared" si="221"/>
        <v>0</v>
      </c>
      <c r="T1998" s="45">
        <f t="shared" si="222"/>
        <v>0</v>
      </c>
      <c r="U1998" s="47">
        <f t="shared" si="223"/>
        <v>176.9</v>
      </c>
    </row>
    <row r="1999" spans="1:21" x14ac:dyDescent="0.3">
      <c r="A1999" s="41" t="str">
        <f t="shared" si="217"/>
        <v>PZARDR</v>
      </c>
      <c r="B1999" s="43">
        <v>45918</v>
      </c>
      <c r="C1999" s="10" t="s">
        <v>2041</v>
      </c>
      <c r="D1999" s="10" t="s">
        <v>3</v>
      </c>
      <c r="E1999" s="10" t="s">
        <v>30</v>
      </c>
      <c r="F1999" s="10" t="s">
        <v>4</v>
      </c>
      <c r="G1999" s="10" t="s">
        <v>27</v>
      </c>
      <c r="H1999" s="10" t="s">
        <v>56</v>
      </c>
      <c r="I1999" s="45">
        <v>2671</v>
      </c>
      <c r="J1999" s="11">
        <v>0.45399999999999996</v>
      </c>
      <c r="K1999" s="45">
        <f t="shared" si="218"/>
        <v>1458.3660000000002</v>
      </c>
      <c r="L1999" s="10">
        <v>9</v>
      </c>
      <c r="M1999" s="10">
        <v>3.1</v>
      </c>
      <c r="N1999" s="10" t="b">
        <v>0</v>
      </c>
      <c r="O1999" s="41"/>
      <c r="P1999" s="45">
        <f t="shared" si="219"/>
        <v>612.51372000000003</v>
      </c>
      <c r="Q1999" s="45">
        <f t="shared" si="220"/>
        <v>845.85228000000018</v>
      </c>
      <c r="R1999" s="45">
        <v>0</v>
      </c>
      <c r="S1999" s="45">
        <f t="shared" si="221"/>
        <v>0</v>
      </c>
      <c r="T1999" s="45">
        <f t="shared" si="222"/>
        <v>0</v>
      </c>
      <c r="U1999" s="47">
        <f t="shared" si="223"/>
        <v>845.85228000000018</v>
      </c>
    </row>
    <row r="2000" spans="1:21" x14ac:dyDescent="0.3">
      <c r="A2000" s="41" t="str">
        <f t="shared" si="217"/>
        <v>PMANDR</v>
      </c>
      <c r="B2000" s="43">
        <v>45918</v>
      </c>
      <c r="C2000" s="10" t="s">
        <v>2042</v>
      </c>
      <c r="D2000" s="10" t="s">
        <v>31</v>
      </c>
      <c r="E2000" s="10" t="s">
        <v>30</v>
      </c>
      <c r="F2000" s="10" t="s">
        <v>11</v>
      </c>
      <c r="G2000" s="10" t="s">
        <v>38</v>
      </c>
      <c r="H2000" s="10" t="s">
        <v>32</v>
      </c>
      <c r="I2000" s="45">
        <v>2721</v>
      </c>
      <c r="J2000" s="11">
        <v>0</v>
      </c>
      <c r="K2000" s="45">
        <f t="shared" si="218"/>
        <v>2721</v>
      </c>
      <c r="L2000" s="10">
        <v>26</v>
      </c>
      <c r="M2000" s="10">
        <v>3.1</v>
      </c>
      <c r="N2000" s="10" t="b">
        <v>0</v>
      </c>
      <c r="O2000" s="41"/>
      <c r="P2000" s="45">
        <f t="shared" si="219"/>
        <v>1142.82</v>
      </c>
      <c r="Q2000" s="45">
        <f t="shared" si="220"/>
        <v>1578.18</v>
      </c>
      <c r="R2000" s="45">
        <v>0</v>
      </c>
      <c r="S2000" s="45">
        <f t="shared" si="221"/>
        <v>0</v>
      </c>
      <c r="T2000" s="45">
        <f t="shared" si="222"/>
        <v>0</v>
      </c>
      <c r="U2000" s="47">
        <f t="shared" si="223"/>
        <v>1578.18</v>
      </c>
    </row>
    <row r="2001" spans="1:21" x14ac:dyDescent="0.3">
      <c r="A2001" s="41" t="str">
        <f t="shared" si="217"/>
        <v>PH&amp;MBO</v>
      </c>
      <c r="B2001" s="43">
        <v>45918</v>
      </c>
      <c r="C2001" s="10" t="s">
        <v>2043</v>
      </c>
      <c r="D2001" s="10" t="s">
        <v>37</v>
      </c>
      <c r="E2001" s="10" t="s">
        <v>26</v>
      </c>
      <c r="F2001" s="10" t="s">
        <v>23</v>
      </c>
      <c r="G2001" s="10" t="s">
        <v>38</v>
      </c>
      <c r="H2001" s="10" t="s">
        <v>6</v>
      </c>
      <c r="I2001" s="45">
        <v>2412</v>
      </c>
      <c r="J2001" s="11">
        <v>0.41299999999999998</v>
      </c>
      <c r="K2001" s="45">
        <f t="shared" si="218"/>
        <v>1415.8439999999998</v>
      </c>
      <c r="L2001" s="10">
        <v>8</v>
      </c>
      <c r="M2001" s="10"/>
      <c r="N2001" s="10" t="b">
        <v>1</v>
      </c>
      <c r="O2001" s="41" t="s">
        <v>33</v>
      </c>
      <c r="P2001" s="45">
        <f t="shared" si="219"/>
        <v>594.65447999999992</v>
      </c>
      <c r="Q2001" s="45">
        <f t="shared" si="220"/>
        <v>821.1895199999999</v>
      </c>
      <c r="R2001" s="45">
        <v>150</v>
      </c>
      <c r="S2001" s="45">
        <f t="shared" si="221"/>
        <v>141.58439999999999</v>
      </c>
      <c r="T2001" s="45">
        <f t="shared" si="222"/>
        <v>1415.8439999999998</v>
      </c>
      <c r="U2001" s="47">
        <f t="shared" si="223"/>
        <v>-886.23887999999988</v>
      </c>
    </row>
    <row r="2002" spans="1:21" x14ac:dyDescent="0.3">
      <c r="A2002" s="41" t="str">
        <f t="shared" si="217"/>
        <v>PFORDR</v>
      </c>
      <c r="B2002" s="43">
        <v>45918</v>
      </c>
      <c r="C2002" s="10" t="s">
        <v>2044</v>
      </c>
      <c r="D2002" s="10" t="s">
        <v>65</v>
      </c>
      <c r="E2002" s="10" t="s">
        <v>30</v>
      </c>
      <c r="F2002" s="10" t="s">
        <v>23</v>
      </c>
      <c r="G2002" s="10" t="s">
        <v>5</v>
      </c>
      <c r="H2002" s="10" t="s">
        <v>35</v>
      </c>
      <c r="I2002" s="45">
        <v>1953</v>
      </c>
      <c r="J2002" s="11">
        <v>0</v>
      </c>
      <c r="K2002" s="45">
        <f t="shared" si="218"/>
        <v>1953</v>
      </c>
      <c r="L2002" s="10">
        <v>42</v>
      </c>
      <c r="M2002" s="10">
        <v>3.7</v>
      </c>
      <c r="N2002" s="10" t="b">
        <v>0</v>
      </c>
      <c r="O2002" s="41"/>
      <c r="P2002" s="45">
        <f t="shared" si="219"/>
        <v>820.26</v>
      </c>
      <c r="Q2002" s="45">
        <f t="shared" si="220"/>
        <v>1132.74</v>
      </c>
      <c r="R2002" s="45">
        <v>0</v>
      </c>
      <c r="S2002" s="45">
        <f t="shared" si="221"/>
        <v>0</v>
      </c>
      <c r="T2002" s="45">
        <f t="shared" si="222"/>
        <v>0</v>
      </c>
      <c r="U2002" s="47">
        <f t="shared" si="223"/>
        <v>1132.74</v>
      </c>
    </row>
    <row r="2003" spans="1:21" x14ac:dyDescent="0.3">
      <c r="A2003" s="41" t="str">
        <f t="shared" si="217"/>
        <v>PZARDR</v>
      </c>
      <c r="B2003" s="43">
        <v>45919</v>
      </c>
      <c r="C2003" s="10" t="s">
        <v>2045</v>
      </c>
      <c r="D2003" s="10" t="s">
        <v>3</v>
      </c>
      <c r="E2003" s="10" t="s">
        <v>30</v>
      </c>
      <c r="F2003" s="10" t="s">
        <v>23</v>
      </c>
      <c r="G2003" s="10" t="s">
        <v>12</v>
      </c>
      <c r="H2003" s="10" t="s">
        <v>56</v>
      </c>
      <c r="I2003" s="45">
        <v>2191</v>
      </c>
      <c r="J2003" s="11">
        <v>0</v>
      </c>
      <c r="K2003" s="45">
        <f t="shared" si="218"/>
        <v>2191</v>
      </c>
      <c r="L2003" s="10">
        <v>3</v>
      </c>
      <c r="M2003" s="10">
        <v>1.8</v>
      </c>
      <c r="N2003" s="10" t="b">
        <v>0</v>
      </c>
      <c r="O2003" s="41"/>
      <c r="P2003" s="45">
        <f t="shared" si="219"/>
        <v>920.21999999999991</v>
      </c>
      <c r="Q2003" s="45">
        <f t="shared" si="220"/>
        <v>1270.7800000000002</v>
      </c>
      <c r="R2003" s="45">
        <v>0</v>
      </c>
      <c r="S2003" s="45">
        <f t="shared" si="221"/>
        <v>0</v>
      </c>
      <c r="T2003" s="45">
        <f t="shared" si="222"/>
        <v>0</v>
      </c>
      <c r="U2003" s="47">
        <f t="shared" si="223"/>
        <v>1270.7800000000002</v>
      </c>
    </row>
    <row r="2004" spans="1:21" x14ac:dyDescent="0.3">
      <c r="A2004" s="41" t="str">
        <f t="shared" si="217"/>
        <v>PGAPOU</v>
      </c>
      <c r="B2004" s="43">
        <v>45919</v>
      </c>
      <c r="C2004" s="10" t="s">
        <v>2046</v>
      </c>
      <c r="D2004" s="10" t="s">
        <v>53</v>
      </c>
      <c r="E2004" s="10" t="s">
        <v>2</v>
      </c>
      <c r="F2004" s="10" t="s">
        <v>4</v>
      </c>
      <c r="G2004" s="10" t="s">
        <v>27</v>
      </c>
      <c r="H2004" s="10" t="s">
        <v>35</v>
      </c>
      <c r="I2004" s="45">
        <v>4346</v>
      </c>
      <c r="J2004" s="11">
        <v>0</v>
      </c>
      <c r="K2004" s="45">
        <f t="shared" si="218"/>
        <v>4346</v>
      </c>
      <c r="L2004" s="10">
        <v>40</v>
      </c>
      <c r="M2004" s="10">
        <v>2.1</v>
      </c>
      <c r="N2004" s="10" t="b">
        <v>0</v>
      </c>
      <c r="O2004" s="41"/>
      <c r="P2004" s="45">
        <f t="shared" si="219"/>
        <v>1825.32</v>
      </c>
      <c r="Q2004" s="45">
        <f t="shared" si="220"/>
        <v>2520.6800000000003</v>
      </c>
      <c r="R2004" s="45">
        <v>0</v>
      </c>
      <c r="S2004" s="45">
        <f t="shared" si="221"/>
        <v>0</v>
      </c>
      <c r="T2004" s="45">
        <f t="shared" si="222"/>
        <v>0</v>
      </c>
      <c r="U2004" s="47">
        <f t="shared" si="223"/>
        <v>2520.6800000000003</v>
      </c>
    </row>
    <row r="2005" spans="1:21" x14ac:dyDescent="0.3">
      <c r="A2005" s="41" t="str">
        <f t="shared" si="217"/>
        <v>PUNIDR</v>
      </c>
      <c r="B2005" s="43">
        <v>45919</v>
      </c>
      <c r="C2005" s="10" t="s">
        <v>2047</v>
      </c>
      <c r="D2005" s="10" t="s">
        <v>10</v>
      </c>
      <c r="E2005" s="10" t="s">
        <v>30</v>
      </c>
      <c r="F2005" s="10" t="s">
        <v>4</v>
      </c>
      <c r="G2005" s="10" t="s">
        <v>12</v>
      </c>
      <c r="H2005" s="10" t="s">
        <v>58</v>
      </c>
      <c r="I2005" s="45">
        <v>2492</v>
      </c>
      <c r="J2005" s="11">
        <v>0</v>
      </c>
      <c r="K2005" s="45">
        <f t="shared" si="218"/>
        <v>2492</v>
      </c>
      <c r="L2005" s="10">
        <v>8</v>
      </c>
      <c r="M2005" s="10"/>
      <c r="N2005" s="10" t="b">
        <v>1</v>
      </c>
      <c r="O2005" s="41" t="s">
        <v>19</v>
      </c>
      <c r="P2005" s="45">
        <f t="shared" si="219"/>
        <v>1046.6399999999999</v>
      </c>
      <c r="Q2005" s="45">
        <f t="shared" si="220"/>
        <v>1445.3600000000001</v>
      </c>
      <c r="R2005" s="45">
        <v>150</v>
      </c>
      <c r="S2005" s="45">
        <f t="shared" si="221"/>
        <v>249.20000000000002</v>
      </c>
      <c r="T2005" s="45">
        <f t="shared" si="222"/>
        <v>2492</v>
      </c>
      <c r="U2005" s="47">
        <f t="shared" si="223"/>
        <v>-1445.84</v>
      </c>
    </row>
    <row r="2006" spans="1:21" x14ac:dyDescent="0.3">
      <c r="A2006" s="41" t="str">
        <f t="shared" si="217"/>
        <v>PH&amp;MDR</v>
      </c>
      <c r="B2006" s="43">
        <v>45919</v>
      </c>
      <c r="C2006" s="10" t="s">
        <v>2048</v>
      </c>
      <c r="D2006" s="10" t="s">
        <v>37</v>
      </c>
      <c r="E2006" s="10" t="s">
        <v>30</v>
      </c>
      <c r="F2006" s="10" t="s">
        <v>23</v>
      </c>
      <c r="G2006" s="10" t="s">
        <v>12</v>
      </c>
      <c r="H2006" s="10" t="s">
        <v>13</v>
      </c>
      <c r="I2006" s="45">
        <v>1956</v>
      </c>
      <c r="J2006" s="11">
        <v>0.42200000000000004</v>
      </c>
      <c r="K2006" s="45">
        <f t="shared" si="218"/>
        <v>1130.568</v>
      </c>
      <c r="L2006" s="10">
        <v>4</v>
      </c>
      <c r="M2006" s="10">
        <v>2.1</v>
      </c>
      <c r="N2006" s="10" t="b">
        <v>0</v>
      </c>
      <c r="O2006" s="41"/>
      <c r="P2006" s="45">
        <f t="shared" si="219"/>
        <v>474.83855999999997</v>
      </c>
      <c r="Q2006" s="45">
        <f t="shared" si="220"/>
        <v>655.72944000000007</v>
      </c>
      <c r="R2006" s="45">
        <v>0</v>
      </c>
      <c r="S2006" s="45">
        <f t="shared" si="221"/>
        <v>0</v>
      </c>
      <c r="T2006" s="45">
        <f t="shared" si="222"/>
        <v>0</v>
      </c>
      <c r="U2006" s="47">
        <f t="shared" si="223"/>
        <v>655.72944000000007</v>
      </c>
    </row>
    <row r="2007" spans="1:21" x14ac:dyDescent="0.3">
      <c r="A2007" s="41" t="str">
        <f t="shared" si="217"/>
        <v>PZARTO</v>
      </c>
      <c r="B2007" s="43">
        <v>45920</v>
      </c>
      <c r="C2007" s="10" t="s">
        <v>2049</v>
      </c>
      <c r="D2007" s="10" t="s">
        <v>3</v>
      </c>
      <c r="E2007" s="10" t="s">
        <v>9</v>
      </c>
      <c r="F2007" s="10" t="s">
        <v>23</v>
      </c>
      <c r="G2007" s="10" t="s">
        <v>46</v>
      </c>
      <c r="H2007" s="10" t="s">
        <v>43</v>
      </c>
      <c r="I2007" s="45">
        <v>1742</v>
      </c>
      <c r="J2007" s="11">
        <v>0</v>
      </c>
      <c r="K2007" s="45">
        <f t="shared" si="218"/>
        <v>1742</v>
      </c>
      <c r="L2007" s="10">
        <v>30</v>
      </c>
      <c r="M2007" s="10"/>
      <c r="N2007" s="10" t="b">
        <v>0</v>
      </c>
      <c r="O2007" s="41"/>
      <c r="P2007" s="45">
        <f t="shared" si="219"/>
        <v>731.64</v>
      </c>
      <c r="Q2007" s="45">
        <f t="shared" si="220"/>
        <v>1010.36</v>
      </c>
      <c r="R2007" s="45">
        <v>0</v>
      </c>
      <c r="S2007" s="45">
        <f t="shared" si="221"/>
        <v>0</v>
      </c>
      <c r="T2007" s="45">
        <f t="shared" si="222"/>
        <v>0</v>
      </c>
      <c r="U2007" s="47">
        <f t="shared" si="223"/>
        <v>1010.36</v>
      </c>
    </row>
    <row r="2008" spans="1:21" x14ac:dyDescent="0.3">
      <c r="A2008" s="41" t="str">
        <f t="shared" si="217"/>
        <v>PBANDR</v>
      </c>
      <c r="B2008" s="43">
        <v>45920</v>
      </c>
      <c r="C2008" s="10" t="s">
        <v>2050</v>
      </c>
      <c r="D2008" s="10" t="s">
        <v>21</v>
      </c>
      <c r="E2008" s="10" t="s">
        <v>30</v>
      </c>
      <c r="F2008" s="10" t="s">
        <v>11</v>
      </c>
      <c r="G2008" s="10" t="s">
        <v>38</v>
      </c>
      <c r="H2008" s="10" t="s">
        <v>32</v>
      </c>
      <c r="I2008" s="45">
        <v>2945</v>
      </c>
      <c r="J2008" s="11">
        <v>5.7000000000000002E-2</v>
      </c>
      <c r="K2008" s="45">
        <f t="shared" si="218"/>
        <v>2777.1349999999998</v>
      </c>
      <c r="L2008" s="10">
        <v>17</v>
      </c>
      <c r="M2008" s="10">
        <v>3.4</v>
      </c>
      <c r="N2008" s="10" t="b">
        <v>1</v>
      </c>
      <c r="O2008" s="41" t="s">
        <v>44</v>
      </c>
      <c r="P2008" s="45">
        <f t="shared" si="219"/>
        <v>1166.3966999999998</v>
      </c>
      <c r="Q2008" s="45">
        <f t="shared" si="220"/>
        <v>1610.7383</v>
      </c>
      <c r="R2008" s="45">
        <v>150</v>
      </c>
      <c r="S2008" s="45">
        <f t="shared" si="221"/>
        <v>277.71350000000001</v>
      </c>
      <c r="T2008" s="45">
        <f t="shared" si="222"/>
        <v>2777.1349999999998</v>
      </c>
      <c r="U2008" s="47">
        <f t="shared" si="223"/>
        <v>-1594.1101999999998</v>
      </c>
    </row>
    <row r="2009" spans="1:21" x14ac:dyDescent="0.3">
      <c r="A2009" s="41" t="str">
        <f t="shared" si="217"/>
        <v>PANNDR</v>
      </c>
      <c r="B2009" s="43">
        <v>45920</v>
      </c>
      <c r="C2009" s="10" t="s">
        <v>2051</v>
      </c>
      <c r="D2009" s="10" t="s">
        <v>42</v>
      </c>
      <c r="E2009" s="10" t="s">
        <v>30</v>
      </c>
      <c r="F2009" s="10" t="s">
        <v>11</v>
      </c>
      <c r="G2009" s="10" t="s">
        <v>38</v>
      </c>
      <c r="H2009" s="10" t="s">
        <v>47</v>
      </c>
      <c r="I2009" s="45">
        <v>2457</v>
      </c>
      <c r="J2009" s="11">
        <v>0</v>
      </c>
      <c r="K2009" s="45">
        <f t="shared" si="218"/>
        <v>2457</v>
      </c>
      <c r="L2009" s="10">
        <v>8</v>
      </c>
      <c r="M2009" s="10">
        <v>2.2000000000000002</v>
      </c>
      <c r="N2009" s="10" t="b">
        <v>0</v>
      </c>
      <c r="O2009" s="41"/>
      <c r="P2009" s="45">
        <f t="shared" si="219"/>
        <v>1031.94</v>
      </c>
      <c r="Q2009" s="45">
        <f t="shared" si="220"/>
        <v>1425.06</v>
      </c>
      <c r="R2009" s="45">
        <v>0</v>
      </c>
      <c r="S2009" s="45">
        <f t="shared" si="221"/>
        <v>0</v>
      </c>
      <c r="T2009" s="45">
        <f t="shared" si="222"/>
        <v>0</v>
      </c>
      <c r="U2009" s="47">
        <f t="shared" si="223"/>
        <v>1425.06</v>
      </c>
    </row>
    <row r="2010" spans="1:21" x14ac:dyDescent="0.3">
      <c r="A2010" s="41" t="str">
        <f t="shared" si="217"/>
        <v>PBANOU</v>
      </c>
      <c r="B2010" s="43">
        <v>45920</v>
      </c>
      <c r="C2010" s="10" t="s">
        <v>2052</v>
      </c>
      <c r="D2010" s="10" t="s">
        <v>21</v>
      </c>
      <c r="E2010" s="10" t="s">
        <v>2</v>
      </c>
      <c r="F2010" s="10" t="s">
        <v>11</v>
      </c>
      <c r="G2010" s="10" t="s">
        <v>5</v>
      </c>
      <c r="H2010" s="10" t="s">
        <v>47</v>
      </c>
      <c r="I2010" s="45">
        <v>4190</v>
      </c>
      <c r="J2010" s="11">
        <v>3.2000000000000001E-2</v>
      </c>
      <c r="K2010" s="45">
        <f t="shared" si="218"/>
        <v>4055.92</v>
      </c>
      <c r="L2010" s="10">
        <v>46</v>
      </c>
      <c r="M2010" s="10"/>
      <c r="N2010" s="10" t="b">
        <v>0</v>
      </c>
      <c r="O2010" s="41"/>
      <c r="P2010" s="45">
        <f t="shared" si="219"/>
        <v>1703.4864</v>
      </c>
      <c r="Q2010" s="45">
        <f t="shared" si="220"/>
        <v>2352.4336000000003</v>
      </c>
      <c r="R2010" s="45">
        <v>0</v>
      </c>
      <c r="S2010" s="45">
        <f t="shared" si="221"/>
        <v>0</v>
      </c>
      <c r="T2010" s="45">
        <f t="shared" si="222"/>
        <v>0</v>
      </c>
      <c r="U2010" s="47">
        <f t="shared" si="223"/>
        <v>2352.4336000000003</v>
      </c>
    </row>
    <row r="2011" spans="1:21" x14ac:dyDescent="0.3">
      <c r="A2011" s="41" t="str">
        <f t="shared" si="217"/>
        <v>PH&amp;MDR</v>
      </c>
      <c r="B2011" s="43">
        <v>45921</v>
      </c>
      <c r="C2011" s="10" t="s">
        <v>2053</v>
      </c>
      <c r="D2011" s="10" t="s">
        <v>37</v>
      </c>
      <c r="E2011" s="10" t="s">
        <v>30</v>
      </c>
      <c r="F2011" s="10" t="s">
        <v>54</v>
      </c>
      <c r="G2011" s="10" t="s">
        <v>12</v>
      </c>
      <c r="H2011" s="10" t="s">
        <v>16</v>
      </c>
      <c r="I2011" s="45">
        <v>2446</v>
      </c>
      <c r="J2011" s="11">
        <v>0</v>
      </c>
      <c r="K2011" s="45">
        <f t="shared" si="218"/>
        <v>2446</v>
      </c>
      <c r="L2011" s="10">
        <v>21</v>
      </c>
      <c r="M2011" s="10">
        <v>3.3</v>
      </c>
      <c r="N2011" s="10" t="b">
        <v>0</v>
      </c>
      <c r="O2011" s="41"/>
      <c r="P2011" s="45">
        <f t="shared" si="219"/>
        <v>1027.32</v>
      </c>
      <c r="Q2011" s="45">
        <f t="shared" si="220"/>
        <v>1418.68</v>
      </c>
      <c r="R2011" s="45">
        <v>0</v>
      </c>
      <c r="S2011" s="45">
        <f t="shared" si="221"/>
        <v>0</v>
      </c>
      <c r="T2011" s="45">
        <f t="shared" si="222"/>
        <v>0</v>
      </c>
      <c r="U2011" s="47">
        <f t="shared" si="223"/>
        <v>1418.68</v>
      </c>
    </row>
    <row r="2012" spans="1:21" x14ac:dyDescent="0.3">
      <c r="A2012" s="41" t="str">
        <f t="shared" si="217"/>
        <v>PZAROU</v>
      </c>
      <c r="B2012" s="43">
        <v>45921</v>
      </c>
      <c r="C2012" s="10" t="s">
        <v>2054</v>
      </c>
      <c r="D2012" s="10" t="s">
        <v>3</v>
      </c>
      <c r="E2012" s="10" t="s">
        <v>2</v>
      </c>
      <c r="F2012" s="10" t="s">
        <v>23</v>
      </c>
      <c r="G2012" s="10" t="s">
        <v>27</v>
      </c>
      <c r="H2012" s="10" t="s">
        <v>47</v>
      </c>
      <c r="I2012" s="45">
        <v>3404</v>
      </c>
      <c r="J2012" s="11">
        <v>0</v>
      </c>
      <c r="K2012" s="45">
        <f t="shared" si="218"/>
        <v>3404</v>
      </c>
      <c r="L2012" s="10">
        <v>16</v>
      </c>
      <c r="M2012" s="10">
        <v>2.5</v>
      </c>
      <c r="N2012" s="10" t="b">
        <v>1</v>
      </c>
      <c r="O2012" s="41" t="s">
        <v>33</v>
      </c>
      <c r="P2012" s="45">
        <f t="shared" si="219"/>
        <v>1429.6799999999998</v>
      </c>
      <c r="Q2012" s="45">
        <f t="shared" si="220"/>
        <v>1974.3200000000002</v>
      </c>
      <c r="R2012" s="45">
        <v>150</v>
      </c>
      <c r="S2012" s="45">
        <f t="shared" si="221"/>
        <v>340.40000000000003</v>
      </c>
      <c r="T2012" s="45">
        <f t="shared" si="222"/>
        <v>3404</v>
      </c>
      <c r="U2012" s="47">
        <f t="shared" si="223"/>
        <v>-1920.08</v>
      </c>
    </row>
    <row r="2013" spans="1:21" x14ac:dyDescent="0.3">
      <c r="A2013" s="41" t="str">
        <f t="shared" si="217"/>
        <v>PANNTO</v>
      </c>
      <c r="B2013" s="43">
        <v>45921</v>
      </c>
      <c r="C2013" s="10" t="s">
        <v>2055</v>
      </c>
      <c r="D2013" s="10" t="s">
        <v>42</v>
      </c>
      <c r="E2013" s="10" t="s">
        <v>9</v>
      </c>
      <c r="F2013" s="10" t="s">
        <v>23</v>
      </c>
      <c r="G2013" s="10" t="s">
        <v>49</v>
      </c>
      <c r="H2013" s="10" t="s">
        <v>88</v>
      </c>
      <c r="I2013" s="45">
        <v>1220</v>
      </c>
      <c r="J2013" s="11">
        <v>0</v>
      </c>
      <c r="K2013" s="45">
        <f t="shared" si="218"/>
        <v>1220</v>
      </c>
      <c r="L2013" s="10">
        <v>35</v>
      </c>
      <c r="M2013" s="10">
        <v>3.8</v>
      </c>
      <c r="N2013" s="10" t="b">
        <v>1</v>
      </c>
      <c r="O2013" s="41" t="s">
        <v>80</v>
      </c>
      <c r="P2013" s="45">
        <f t="shared" si="219"/>
        <v>512.4</v>
      </c>
      <c r="Q2013" s="45">
        <f t="shared" si="220"/>
        <v>707.6</v>
      </c>
      <c r="R2013" s="45">
        <v>150</v>
      </c>
      <c r="S2013" s="45">
        <f t="shared" si="221"/>
        <v>122</v>
      </c>
      <c r="T2013" s="45">
        <f t="shared" si="222"/>
        <v>1220</v>
      </c>
      <c r="U2013" s="47">
        <f t="shared" si="223"/>
        <v>-784.4</v>
      </c>
    </row>
    <row r="2014" spans="1:21" x14ac:dyDescent="0.3">
      <c r="A2014" s="41" t="str">
        <f t="shared" si="217"/>
        <v>PFORAC</v>
      </c>
      <c r="B2014" s="43">
        <v>45921</v>
      </c>
      <c r="C2014" s="10" t="s">
        <v>2056</v>
      </c>
      <c r="D2014" s="10" t="s">
        <v>65</v>
      </c>
      <c r="E2014" s="10" t="s">
        <v>15</v>
      </c>
      <c r="F2014" s="10" t="s">
        <v>23</v>
      </c>
      <c r="G2014" s="10" t="s">
        <v>7</v>
      </c>
      <c r="H2014" s="10" t="s">
        <v>28</v>
      </c>
      <c r="I2014" s="45">
        <v>406</v>
      </c>
      <c r="J2014" s="11">
        <v>0.188</v>
      </c>
      <c r="K2014" s="45">
        <f t="shared" si="218"/>
        <v>329.67200000000003</v>
      </c>
      <c r="L2014" s="10">
        <v>1</v>
      </c>
      <c r="M2014" s="10">
        <v>4</v>
      </c>
      <c r="N2014" s="10" t="b">
        <v>0</v>
      </c>
      <c r="O2014" s="41"/>
      <c r="P2014" s="45">
        <f t="shared" si="219"/>
        <v>138.46224000000001</v>
      </c>
      <c r="Q2014" s="45">
        <f t="shared" si="220"/>
        <v>191.20976000000002</v>
      </c>
      <c r="R2014" s="45">
        <v>0</v>
      </c>
      <c r="S2014" s="45">
        <f t="shared" si="221"/>
        <v>0</v>
      </c>
      <c r="T2014" s="45">
        <f t="shared" si="222"/>
        <v>0</v>
      </c>
      <c r="U2014" s="47">
        <f t="shared" si="223"/>
        <v>191.20976000000002</v>
      </c>
    </row>
    <row r="2015" spans="1:21" x14ac:dyDescent="0.3">
      <c r="A2015" s="41" t="str">
        <f t="shared" si="217"/>
        <v>PUNIAC</v>
      </c>
      <c r="B2015" s="43">
        <v>45921</v>
      </c>
      <c r="C2015" s="10" t="s">
        <v>2057</v>
      </c>
      <c r="D2015" s="10" t="s">
        <v>10</v>
      </c>
      <c r="E2015" s="10" t="s">
        <v>15</v>
      </c>
      <c r="F2015" s="10" t="s">
        <v>23</v>
      </c>
      <c r="G2015" s="10" t="s">
        <v>7</v>
      </c>
      <c r="H2015" s="10" t="s">
        <v>56</v>
      </c>
      <c r="I2015" s="45">
        <v>305</v>
      </c>
      <c r="J2015" s="11">
        <v>0.50700000000000001</v>
      </c>
      <c r="K2015" s="45">
        <f t="shared" si="218"/>
        <v>150.36500000000001</v>
      </c>
      <c r="L2015" s="10">
        <v>39</v>
      </c>
      <c r="M2015" s="10">
        <v>4.3</v>
      </c>
      <c r="N2015" s="10" t="b">
        <v>1</v>
      </c>
      <c r="O2015" s="41" t="s">
        <v>44</v>
      </c>
      <c r="P2015" s="45">
        <f t="shared" si="219"/>
        <v>63.153300000000002</v>
      </c>
      <c r="Q2015" s="45">
        <f t="shared" si="220"/>
        <v>87.211700000000008</v>
      </c>
      <c r="R2015" s="45">
        <v>150</v>
      </c>
      <c r="S2015" s="45">
        <f t="shared" si="221"/>
        <v>15.036500000000002</v>
      </c>
      <c r="T2015" s="45">
        <f t="shared" si="222"/>
        <v>150.36500000000001</v>
      </c>
      <c r="U2015" s="47">
        <f t="shared" si="223"/>
        <v>-228.18979999999999</v>
      </c>
    </row>
    <row r="2016" spans="1:21" x14ac:dyDescent="0.3">
      <c r="A2016" s="41" t="str">
        <f t="shared" si="217"/>
        <v>PZARDR</v>
      </c>
      <c r="B2016" s="43">
        <v>45922</v>
      </c>
      <c r="C2016" s="10" t="s">
        <v>2058</v>
      </c>
      <c r="D2016" s="10" t="s">
        <v>3</v>
      </c>
      <c r="E2016" s="10" t="s">
        <v>30</v>
      </c>
      <c r="F2016" s="10" t="s">
        <v>4</v>
      </c>
      <c r="G2016" s="10" t="s">
        <v>46</v>
      </c>
      <c r="H2016" s="10" t="s">
        <v>32</v>
      </c>
      <c r="I2016" s="45">
        <v>2432</v>
      </c>
      <c r="J2016" s="11">
        <v>0</v>
      </c>
      <c r="K2016" s="45">
        <f t="shared" si="218"/>
        <v>2432</v>
      </c>
      <c r="L2016" s="10">
        <v>33</v>
      </c>
      <c r="M2016" s="10">
        <v>3.7</v>
      </c>
      <c r="N2016" s="10" t="b">
        <v>0</v>
      </c>
      <c r="O2016" s="41"/>
      <c r="P2016" s="45">
        <f t="shared" si="219"/>
        <v>1021.4399999999999</v>
      </c>
      <c r="Q2016" s="45">
        <f t="shared" si="220"/>
        <v>1410.56</v>
      </c>
      <c r="R2016" s="45">
        <v>0</v>
      </c>
      <c r="S2016" s="45">
        <f t="shared" si="221"/>
        <v>0</v>
      </c>
      <c r="T2016" s="45">
        <f t="shared" si="222"/>
        <v>0</v>
      </c>
      <c r="U2016" s="47">
        <f t="shared" si="223"/>
        <v>1410.56</v>
      </c>
    </row>
    <row r="2017" spans="1:21" x14ac:dyDescent="0.3">
      <c r="A2017" s="41" t="str">
        <f t="shared" si="217"/>
        <v>PANNDR</v>
      </c>
      <c r="B2017" s="43">
        <v>45922</v>
      </c>
      <c r="C2017" s="10" t="s">
        <v>2059</v>
      </c>
      <c r="D2017" s="10" t="s">
        <v>42</v>
      </c>
      <c r="E2017" s="10" t="s">
        <v>30</v>
      </c>
      <c r="F2017" s="10" t="s">
        <v>4</v>
      </c>
      <c r="G2017" s="10" t="s">
        <v>27</v>
      </c>
      <c r="H2017" s="10" t="s">
        <v>7</v>
      </c>
      <c r="I2017" s="45">
        <v>2071</v>
      </c>
      <c r="J2017" s="11">
        <v>0</v>
      </c>
      <c r="K2017" s="45">
        <f t="shared" si="218"/>
        <v>2071</v>
      </c>
      <c r="L2017" s="10">
        <v>30</v>
      </c>
      <c r="M2017" s="10">
        <v>1.1000000000000001</v>
      </c>
      <c r="N2017" s="10" t="b">
        <v>0</v>
      </c>
      <c r="O2017" s="41"/>
      <c r="P2017" s="45">
        <f t="shared" si="219"/>
        <v>869.81999999999994</v>
      </c>
      <c r="Q2017" s="45">
        <f t="shared" si="220"/>
        <v>1201.18</v>
      </c>
      <c r="R2017" s="45">
        <v>0</v>
      </c>
      <c r="S2017" s="45">
        <f t="shared" si="221"/>
        <v>0</v>
      </c>
      <c r="T2017" s="45">
        <f t="shared" si="222"/>
        <v>0</v>
      </c>
      <c r="U2017" s="47">
        <f t="shared" si="223"/>
        <v>1201.18</v>
      </c>
    </row>
    <row r="2018" spans="1:21" x14ac:dyDescent="0.3">
      <c r="A2018" s="41" t="str">
        <f t="shared" si="217"/>
        <v>PZARSH</v>
      </c>
      <c r="B2018" s="43">
        <v>45922</v>
      </c>
      <c r="C2018" s="10" t="s">
        <v>2060</v>
      </c>
      <c r="D2018" s="10" t="s">
        <v>3</v>
      </c>
      <c r="E2018" s="10" t="s">
        <v>18</v>
      </c>
      <c r="F2018" s="10" t="s">
        <v>4</v>
      </c>
      <c r="G2018" s="10" t="s">
        <v>12</v>
      </c>
      <c r="H2018" s="10" t="s">
        <v>35</v>
      </c>
      <c r="I2018" s="45">
        <v>3076</v>
      </c>
      <c r="J2018" s="11">
        <v>7.400000000000001E-2</v>
      </c>
      <c r="K2018" s="45">
        <f t="shared" si="218"/>
        <v>2848.3759999999997</v>
      </c>
      <c r="L2018" s="10">
        <v>42</v>
      </c>
      <c r="M2018" s="10">
        <v>3.4</v>
      </c>
      <c r="N2018" s="10" t="b">
        <v>1</v>
      </c>
      <c r="O2018" s="41" t="s">
        <v>44</v>
      </c>
      <c r="P2018" s="45">
        <f t="shared" si="219"/>
        <v>1196.31792</v>
      </c>
      <c r="Q2018" s="45">
        <f t="shared" si="220"/>
        <v>1652.0580799999998</v>
      </c>
      <c r="R2018" s="45">
        <v>150</v>
      </c>
      <c r="S2018" s="45">
        <f t="shared" si="221"/>
        <v>284.83760000000001</v>
      </c>
      <c r="T2018" s="45">
        <f t="shared" si="222"/>
        <v>2848.3759999999997</v>
      </c>
      <c r="U2018" s="47">
        <f t="shared" si="223"/>
        <v>-1631.15552</v>
      </c>
    </row>
    <row r="2019" spans="1:21" x14ac:dyDescent="0.3">
      <c r="A2019" s="41" t="str">
        <f t="shared" si="217"/>
        <v>PH&amp;MSH</v>
      </c>
      <c r="B2019" s="43">
        <v>45923</v>
      </c>
      <c r="C2019" s="10" t="s">
        <v>2061</v>
      </c>
      <c r="D2019" s="10" t="s">
        <v>37</v>
      </c>
      <c r="E2019" s="10" t="s">
        <v>18</v>
      </c>
      <c r="F2019" s="10" t="s">
        <v>11</v>
      </c>
      <c r="G2019" s="10" t="s">
        <v>46</v>
      </c>
      <c r="H2019" s="10" t="s">
        <v>47</v>
      </c>
      <c r="I2019" s="45">
        <v>4360</v>
      </c>
      <c r="J2019" s="11">
        <v>5.5E-2</v>
      </c>
      <c r="K2019" s="45">
        <f t="shared" si="218"/>
        <v>4120.2</v>
      </c>
      <c r="L2019" s="10">
        <v>8</v>
      </c>
      <c r="M2019" s="10"/>
      <c r="N2019" s="10" t="b">
        <v>1</v>
      </c>
      <c r="O2019" s="41" t="s">
        <v>19</v>
      </c>
      <c r="P2019" s="45">
        <f t="shared" si="219"/>
        <v>1730.4839999999999</v>
      </c>
      <c r="Q2019" s="45">
        <f t="shared" si="220"/>
        <v>2389.7159999999999</v>
      </c>
      <c r="R2019" s="45">
        <v>150</v>
      </c>
      <c r="S2019" s="45">
        <f t="shared" si="221"/>
        <v>412.02</v>
      </c>
      <c r="T2019" s="45">
        <f t="shared" si="222"/>
        <v>4120.2</v>
      </c>
      <c r="U2019" s="47">
        <f t="shared" si="223"/>
        <v>-2292.5039999999999</v>
      </c>
    </row>
    <row r="2020" spans="1:21" x14ac:dyDescent="0.3">
      <c r="A2020" s="41" t="str">
        <f t="shared" si="217"/>
        <v>PANNBO</v>
      </c>
      <c r="B2020" s="43">
        <v>45923</v>
      </c>
      <c r="C2020" s="10" t="s">
        <v>2062</v>
      </c>
      <c r="D2020" s="10" t="s">
        <v>42</v>
      </c>
      <c r="E2020" s="10" t="s">
        <v>26</v>
      </c>
      <c r="F2020" s="10" t="s">
        <v>11</v>
      </c>
      <c r="G2020" s="10" t="s">
        <v>7</v>
      </c>
      <c r="H2020" s="10" t="s">
        <v>88</v>
      </c>
      <c r="I2020" s="45">
        <v>2334</v>
      </c>
      <c r="J2020" s="11">
        <v>0</v>
      </c>
      <c r="K2020" s="45">
        <f t="shared" si="218"/>
        <v>2334</v>
      </c>
      <c r="L2020" s="10">
        <v>4</v>
      </c>
      <c r="M2020" s="10">
        <v>2.8</v>
      </c>
      <c r="N2020" s="10" t="b">
        <v>1</v>
      </c>
      <c r="O2020" s="41" t="s">
        <v>44</v>
      </c>
      <c r="P2020" s="45">
        <f t="shared" si="219"/>
        <v>980.28</v>
      </c>
      <c r="Q2020" s="45">
        <f t="shared" si="220"/>
        <v>1353.72</v>
      </c>
      <c r="R2020" s="45">
        <v>150</v>
      </c>
      <c r="S2020" s="45">
        <f t="shared" si="221"/>
        <v>233.4</v>
      </c>
      <c r="T2020" s="45">
        <f t="shared" si="222"/>
        <v>2334</v>
      </c>
      <c r="U2020" s="47">
        <f t="shared" si="223"/>
        <v>-1363.6799999999998</v>
      </c>
    </row>
    <row r="2021" spans="1:21" x14ac:dyDescent="0.3">
      <c r="A2021" s="41" t="str">
        <f t="shared" si="217"/>
        <v>PFORAC</v>
      </c>
      <c r="B2021" s="43">
        <v>45923</v>
      </c>
      <c r="C2021" s="10" t="s">
        <v>2063</v>
      </c>
      <c r="D2021" s="10" t="s">
        <v>65</v>
      </c>
      <c r="E2021" s="10" t="s">
        <v>15</v>
      </c>
      <c r="F2021" s="10" t="s">
        <v>11</v>
      </c>
      <c r="G2021" s="10" t="s">
        <v>7</v>
      </c>
      <c r="H2021" s="10" t="s">
        <v>6</v>
      </c>
      <c r="I2021" s="45">
        <v>464</v>
      </c>
      <c r="J2021" s="11">
        <v>0</v>
      </c>
      <c r="K2021" s="45">
        <f t="shared" si="218"/>
        <v>464</v>
      </c>
      <c r="L2021" s="10">
        <v>44</v>
      </c>
      <c r="M2021" s="10"/>
      <c r="N2021" s="10" t="b">
        <v>0</v>
      </c>
      <c r="O2021" s="41"/>
      <c r="P2021" s="45">
        <f t="shared" si="219"/>
        <v>194.88</v>
      </c>
      <c r="Q2021" s="45">
        <f t="shared" si="220"/>
        <v>269.12</v>
      </c>
      <c r="R2021" s="45">
        <v>0</v>
      </c>
      <c r="S2021" s="45">
        <f t="shared" si="221"/>
        <v>0</v>
      </c>
      <c r="T2021" s="45">
        <f t="shared" si="222"/>
        <v>0</v>
      </c>
      <c r="U2021" s="47">
        <f t="shared" si="223"/>
        <v>269.12</v>
      </c>
    </row>
    <row r="2022" spans="1:21" x14ac:dyDescent="0.3">
      <c r="A2022" s="41" t="str">
        <f t="shared" si="217"/>
        <v>PBANTO</v>
      </c>
      <c r="B2022" s="43">
        <v>45923</v>
      </c>
      <c r="C2022" s="10" t="s">
        <v>2064</v>
      </c>
      <c r="D2022" s="10" t="s">
        <v>21</v>
      </c>
      <c r="E2022" s="10" t="s">
        <v>9</v>
      </c>
      <c r="F2022" s="10" t="s">
        <v>54</v>
      </c>
      <c r="G2022" s="10" t="s">
        <v>49</v>
      </c>
      <c r="H2022" s="10" t="s">
        <v>32</v>
      </c>
      <c r="I2022" s="45">
        <v>1045</v>
      </c>
      <c r="J2022" s="11">
        <v>0</v>
      </c>
      <c r="K2022" s="45">
        <f t="shared" si="218"/>
        <v>1045</v>
      </c>
      <c r="L2022" s="10">
        <v>35</v>
      </c>
      <c r="M2022" s="10">
        <v>4</v>
      </c>
      <c r="N2022" s="10" t="b">
        <v>0</v>
      </c>
      <c r="O2022" s="41"/>
      <c r="P2022" s="45">
        <f t="shared" si="219"/>
        <v>438.9</v>
      </c>
      <c r="Q2022" s="45">
        <f t="shared" si="220"/>
        <v>606.1</v>
      </c>
      <c r="R2022" s="45">
        <v>0</v>
      </c>
      <c r="S2022" s="45">
        <f t="shared" si="221"/>
        <v>0</v>
      </c>
      <c r="T2022" s="45">
        <f t="shared" si="222"/>
        <v>0</v>
      </c>
      <c r="U2022" s="47">
        <f t="shared" si="223"/>
        <v>606.1</v>
      </c>
    </row>
    <row r="2023" spans="1:21" x14ac:dyDescent="0.3">
      <c r="A2023" s="41" t="str">
        <f t="shared" si="217"/>
        <v>PZARDR</v>
      </c>
      <c r="B2023" s="43">
        <v>45924</v>
      </c>
      <c r="C2023" s="10" t="s">
        <v>2065</v>
      </c>
      <c r="D2023" s="10" t="s">
        <v>3</v>
      </c>
      <c r="E2023" s="10" t="s">
        <v>30</v>
      </c>
      <c r="F2023" s="10" t="s">
        <v>11</v>
      </c>
      <c r="G2023" s="10" t="s">
        <v>46</v>
      </c>
      <c r="H2023" s="10" t="s">
        <v>16</v>
      </c>
      <c r="I2023" s="45">
        <v>2064</v>
      </c>
      <c r="J2023" s="11">
        <v>0</v>
      </c>
      <c r="K2023" s="45">
        <f t="shared" si="218"/>
        <v>2064</v>
      </c>
      <c r="L2023" s="10">
        <v>49</v>
      </c>
      <c r="M2023" s="10">
        <v>1.6</v>
      </c>
      <c r="N2023" s="10" t="b">
        <v>1</v>
      </c>
      <c r="O2023" s="41" t="s">
        <v>309</v>
      </c>
      <c r="P2023" s="45">
        <f t="shared" si="219"/>
        <v>866.88</v>
      </c>
      <c r="Q2023" s="45">
        <f t="shared" si="220"/>
        <v>1197.1199999999999</v>
      </c>
      <c r="R2023" s="45">
        <v>150</v>
      </c>
      <c r="S2023" s="45">
        <f t="shared" si="221"/>
        <v>206.4</v>
      </c>
      <c r="T2023" s="45">
        <f t="shared" si="222"/>
        <v>2064</v>
      </c>
      <c r="U2023" s="47">
        <f t="shared" si="223"/>
        <v>-1223.2800000000002</v>
      </c>
    </row>
    <row r="2024" spans="1:21" x14ac:dyDescent="0.3">
      <c r="A2024" s="41" t="str">
        <f t="shared" si="217"/>
        <v>PFORBO</v>
      </c>
      <c r="B2024" s="43">
        <v>45924</v>
      </c>
      <c r="C2024" s="10" t="s">
        <v>2066</v>
      </c>
      <c r="D2024" s="10" t="s">
        <v>65</v>
      </c>
      <c r="E2024" s="10" t="s">
        <v>26</v>
      </c>
      <c r="F2024" s="10" t="s">
        <v>4</v>
      </c>
      <c r="G2024" s="10" t="s">
        <v>46</v>
      </c>
      <c r="H2024" s="10" t="s">
        <v>28</v>
      </c>
      <c r="I2024" s="45">
        <v>2298</v>
      </c>
      <c r="J2024" s="11">
        <v>0</v>
      </c>
      <c r="K2024" s="45">
        <f t="shared" si="218"/>
        <v>2298</v>
      </c>
      <c r="L2024" s="10">
        <v>28</v>
      </c>
      <c r="M2024" s="10"/>
      <c r="N2024" s="10" t="b">
        <v>1</v>
      </c>
      <c r="O2024" s="41" t="s">
        <v>33</v>
      </c>
      <c r="P2024" s="45">
        <f t="shared" si="219"/>
        <v>965.16</v>
      </c>
      <c r="Q2024" s="45">
        <f t="shared" si="220"/>
        <v>1332.8400000000001</v>
      </c>
      <c r="R2024" s="45">
        <v>150</v>
      </c>
      <c r="S2024" s="45">
        <f t="shared" si="221"/>
        <v>229.8</v>
      </c>
      <c r="T2024" s="45">
        <f t="shared" si="222"/>
        <v>2298</v>
      </c>
      <c r="U2024" s="47">
        <f t="shared" si="223"/>
        <v>-1344.9599999999998</v>
      </c>
    </row>
    <row r="2025" spans="1:21" x14ac:dyDescent="0.3">
      <c r="A2025" s="41" t="str">
        <f t="shared" si="217"/>
        <v>PUNITO</v>
      </c>
      <c r="B2025" s="43">
        <v>45924</v>
      </c>
      <c r="C2025" s="10" t="s">
        <v>2067</v>
      </c>
      <c r="D2025" s="10" t="s">
        <v>10</v>
      </c>
      <c r="E2025" s="10" t="s">
        <v>9</v>
      </c>
      <c r="F2025" s="10" t="s">
        <v>54</v>
      </c>
      <c r="G2025" s="10" t="s">
        <v>7</v>
      </c>
      <c r="H2025" s="10" t="s">
        <v>13</v>
      </c>
      <c r="I2025" s="45">
        <v>1563</v>
      </c>
      <c r="J2025" s="11">
        <v>0</v>
      </c>
      <c r="K2025" s="45">
        <f t="shared" si="218"/>
        <v>1563</v>
      </c>
      <c r="L2025" s="10">
        <v>33</v>
      </c>
      <c r="M2025" s="10">
        <v>2.4</v>
      </c>
      <c r="N2025" s="10" t="b">
        <v>0</v>
      </c>
      <c r="O2025" s="41"/>
      <c r="P2025" s="45">
        <f t="shared" si="219"/>
        <v>656.45999999999992</v>
      </c>
      <c r="Q2025" s="45">
        <f t="shared" si="220"/>
        <v>906.54000000000008</v>
      </c>
      <c r="R2025" s="45">
        <v>0</v>
      </c>
      <c r="S2025" s="45">
        <f t="shared" si="221"/>
        <v>0</v>
      </c>
      <c r="T2025" s="45">
        <f t="shared" si="222"/>
        <v>0</v>
      </c>
      <c r="U2025" s="47">
        <f t="shared" si="223"/>
        <v>906.54000000000008</v>
      </c>
    </row>
    <row r="2026" spans="1:21" x14ac:dyDescent="0.3">
      <c r="A2026" s="41" t="str">
        <f t="shared" si="217"/>
        <v>PGAPTO</v>
      </c>
      <c r="B2026" s="43">
        <v>45924</v>
      </c>
      <c r="C2026" s="10" t="s">
        <v>2068</v>
      </c>
      <c r="D2026" s="10" t="s">
        <v>53</v>
      </c>
      <c r="E2026" s="10" t="s">
        <v>9</v>
      </c>
      <c r="F2026" s="10" t="s">
        <v>4</v>
      </c>
      <c r="G2026" s="10" t="s">
        <v>27</v>
      </c>
      <c r="H2026" s="10" t="s">
        <v>35</v>
      </c>
      <c r="I2026" s="45">
        <v>1755</v>
      </c>
      <c r="J2026" s="11">
        <v>0.24</v>
      </c>
      <c r="K2026" s="45">
        <f t="shared" si="218"/>
        <v>1333.8</v>
      </c>
      <c r="L2026" s="10">
        <v>1</v>
      </c>
      <c r="M2026" s="10">
        <v>4.7</v>
      </c>
      <c r="N2026" s="10" t="b">
        <v>0</v>
      </c>
      <c r="O2026" s="41"/>
      <c r="P2026" s="45">
        <f t="shared" si="219"/>
        <v>560.19599999999991</v>
      </c>
      <c r="Q2026" s="45">
        <f t="shared" si="220"/>
        <v>773.60400000000004</v>
      </c>
      <c r="R2026" s="45">
        <v>0</v>
      </c>
      <c r="S2026" s="45">
        <f t="shared" si="221"/>
        <v>0</v>
      </c>
      <c r="T2026" s="45">
        <f t="shared" si="222"/>
        <v>0</v>
      </c>
      <c r="U2026" s="47">
        <f t="shared" si="223"/>
        <v>773.60400000000004</v>
      </c>
    </row>
    <row r="2027" spans="1:21" x14ac:dyDescent="0.3">
      <c r="A2027" s="41" t="str">
        <f t="shared" si="217"/>
        <v>PFORTO</v>
      </c>
      <c r="B2027" s="43">
        <v>45925</v>
      </c>
      <c r="C2027" s="10" t="s">
        <v>2069</v>
      </c>
      <c r="D2027" s="10" t="s">
        <v>65</v>
      </c>
      <c r="E2027" s="10" t="s">
        <v>9</v>
      </c>
      <c r="F2027" s="10" t="s">
        <v>23</v>
      </c>
      <c r="G2027" s="10" t="s">
        <v>12</v>
      </c>
      <c r="H2027" s="10" t="s">
        <v>32</v>
      </c>
      <c r="I2027" s="45">
        <v>1382</v>
      </c>
      <c r="J2027" s="11">
        <v>0</v>
      </c>
      <c r="K2027" s="45">
        <f t="shared" si="218"/>
        <v>1382</v>
      </c>
      <c r="L2027" s="10">
        <v>9</v>
      </c>
      <c r="M2027" s="10">
        <v>1</v>
      </c>
      <c r="N2027" s="10" t="b">
        <v>0</v>
      </c>
      <c r="O2027" s="41"/>
      <c r="P2027" s="45">
        <f t="shared" si="219"/>
        <v>580.43999999999994</v>
      </c>
      <c r="Q2027" s="45">
        <f t="shared" si="220"/>
        <v>801.56000000000006</v>
      </c>
      <c r="R2027" s="45">
        <v>0</v>
      </c>
      <c r="S2027" s="45">
        <f t="shared" si="221"/>
        <v>0</v>
      </c>
      <c r="T2027" s="45">
        <f t="shared" si="222"/>
        <v>0</v>
      </c>
      <c r="U2027" s="47">
        <f t="shared" si="223"/>
        <v>801.56000000000006</v>
      </c>
    </row>
    <row r="2028" spans="1:21" x14ac:dyDescent="0.3">
      <c r="A2028" s="41" t="str">
        <f t="shared" si="217"/>
        <v>PANNOU</v>
      </c>
      <c r="B2028" s="43">
        <v>45925</v>
      </c>
      <c r="C2028" s="10" t="s">
        <v>2070</v>
      </c>
      <c r="D2028" s="10" t="s">
        <v>42</v>
      </c>
      <c r="E2028" s="10" t="s">
        <v>2</v>
      </c>
      <c r="F2028" s="10" t="s">
        <v>54</v>
      </c>
      <c r="G2028" s="10" t="s">
        <v>27</v>
      </c>
      <c r="H2028" s="10" t="s">
        <v>28</v>
      </c>
      <c r="I2028" s="45">
        <v>4016</v>
      </c>
      <c r="J2028" s="11">
        <v>0</v>
      </c>
      <c r="K2028" s="45">
        <f t="shared" si="218"/>
        <v>4016</v>
      </c>
      <c r="L2028" s="10">
        <v>2</v>
      </c>
      <c r="M2028" s="10">
        <v>3.5</v>
      </c>
      <c r="N2028" s="10" t="b">
        <v>0</v>
      </c>
      <c r="O2028" s="41"/>
      <c r="P2028" s="45">
        <f t="shared" si="219"/>
        <v>1686.72</v>
      </c>
      <c r="Q2028" s="45">
        <f t="shared" si="220"/>
        <v>2329.2799999999997</v>
      </c>
      <c r="R2028" s="45">
        <v>0</v>
      </c>
      <c r="S2028" s="45">
        <f t="shared" si="221"/>
        <v>0</v>
      </c>
      <c r="T2028" s="45">
        <f t="shared" si="222"/>
        <v>0</v>
      </c>
      <c r="U2028" s="47">
        <f t="shared" si="223"/>
        <v>2329.2799999999997</v>
      </c>
    </row>
    <row r="2029" spans="1:21" x14ac:dyDescent="0.3">
      <c r="A2029" s="41" t="str">
        <f t="shared" si="217"/>
        <v>PGAPAC</v>
      </c>
      <c r="B2029" s="43">
        <v>45925</v>
      </c>
      <c r="C2029" s="10" t="s">
        <v>2071</v>
      </c>
      <c r="D2029" s="10" t="s">
        <v>53</v>
      </c>
      <c r="E2029" s="10" t="s">
        <v>15</v>
      </c>
      <c r="F2029" s="10" t="s">
        <v>4</v>
      </c>
      <c r="G2029" s="10" t="s">
        <v>7</v>
      </c>
      <c r="H2029" s="10" t="s">
        <v>43</v>
      </c>
      <c r="I2029" s="45">
        <v>251</v>
      </c>
      <c r="J2029" s="11">
        <v>0</v>
      </c>
      <c r="K2029" s="45">
        <f t="shared" si="218"/>
        <v>251</v>
      </c>
      <c r="L2029" s="10">
        <v>30</v>
      </c>
      <c r="M2029" s="10"/>
      <c r="N2029" s="10" t="b">
        <v>1</v>
      </c>
      <c r="O2029" s="41" t="s">
        <v>44</v>
      </c>
      <c r="P2029" s="45">
        <f t="shared" si="219"/>
        <v>105.42</v>
      </c>
      <c r="Q2029" s="45">
        <f t="shared" si="220"/>
        <v>145.57999999999998</v>
      </c>
      <c r="R2029" s="45">
        <v>150</v>
      </c>
      <c r="S2029" s="45">
        <f t="shared" si="221"/>
        <v>25.1</v>
      </c>
      <c r="T2029" s="45">
        <f t="shared" si="222"/>
        <v>251</v>
      </c>
      <c r="U2029" s="47">
        <f t="shared" si="223"/>
        <v>-280.52000000000004</v>
      </c>
    </row>
    <row r="2030" spans="1:21" x14ac:dyDescent="0.3">
      <c r="A2030" s="41" t="str">
        <f t="shared" si="217"/>
        <v>PZARTO</v>
      </c>
      <c r="B2030" s="43">
        <v>45925</v>
      </c>
      <c r="C2030" s="10" t="s">
        <v>2072</v>
      </c>
      <c r="D2030" s="10" t="s">
        <v>3</v>
      </c>
      <c r="E2030" s="10" t="s">
        <v>9</v>
      </c>
      <c r="F2030" s="10" t="s">
        <v>23</v>
      </c>
      <c r="G2030" s="10" t="s">
        <v>27</v>
      </c>
      <c r="H2030" s="10" t="s">
        <v>43</v>
      </c>
      <c r="I2030" s="45">
        <v>1179</v>
      </c>
      <c r="J2030" s="11">
        <v>0</v>
      </c>
      <c r="K2030" s="45">
        <f t="shared" si="218"/>
        <v>1179</v>
      </c>
      <c r="L2030" s="10">
        <v>41</v>
      </c>
      <c r="M2030" s="10"/>
      <c r="N2030" s="10" t="b">
        <v>0</v>
      </c>
      <c r="O2030" s="41"/>
      <c r="P2030" s="45">
        <f t="shared" si="219"/>
        <v>495.18</v>
      </c>
      <c r="Q2030" s="45">
        <f t="shared" si="220"/>
        <v>683.81999999999994</v>
      </c>
      <c r="R2030" s="45">
        <v>0</v>
      </c>
      <c r="S2030" s="45">
        <f t="shared" si="221"/>
        <v>0</v>
      </c>
      <c r="T2030" s="45">
        <f t="shared" si="222"/>
        <v>0</v>
      </c>
      <c r="U2030" s="47">
        <f t="shared" si="223"/>
        <v>683.81999999999994</v>
      </c>
    </row>
    <row r="2031" spans="1:21" x14ac:dyDescent="0.3">
      <c r="A2031" s="41" t="str">
        <f t="shared" si="217"/>
        <v>PUNIOU</v>
      </c>
      <c r="B2031" s="43">
        <v>45925</v>
      </c>
      <c r="C2031" s="10" t="s">
        <v>2073</v>
      </c>
      <c r="D2031" s="10" t="s">
        <v>10</v>
      </c>
      <c r="E2031" s="10" t="s">
        <v>2</v>
      </c>
      <c r="F2031" s="10" t="s">
        <v>11</v>
      </c>
      <c r="G2031" s="10" t="s">
        <v>7</v>
      </c>
      <c r="H2031" s="10" t="s">
        <v>28</v>
      </c>
      <c r="I2031" s="45">
        <v>3648</v>
      </c>
      <c r="J2031" s="11">
        <v>0</v>
      </c>
      <c r="K2031" s="45">
        <f t="shared" si="218"/>
        <v>3648</v>
      </c>
      <c r="L2031" s="10">
        <v>5</v>
      </c>
      <c r="M2031" s="10">
        <v>3.6</v>
      </c>
      <c r="N2031" s="10" t="b">
        <v>0</v>
      </c>
      <c r="O2031" s="41"/>
      <c r="P2031" s="45">
        <f t="shared" si="219"/>
        <v>1532.1599999999999</v>
      </c>
      <c r="Q2031" s="45">
        <f t="shared" si="220"/>
        <v>2115.84</v>
      </c>
      <c r="R2031" s="45">
        <v>0</v>
      </c>
      <c r="S2031" s="45">
        <f t="shared" si="221"/>
        <v>0</v>
      </c>
      <c r="T2031" s="45">
        <f t="shared" si="222"/>
        <v>0</v>
      </c>
      <c r="U2031" s="47">
        <f t="shared" si="223"/>
        <v>2115.84</v>
      </c>
    </row>
    <row r="2032" spans="1:21" x14ac:dyDescent="0.3">
      <c r="A2032" s="41" t="str">
        <f t="shared" si="217"/>
        <v>PANNDR</v>
      </c>
      <c r="B2032" s="43">
        <v>45926</v>
      </c>
      <c r="C2032" s="10" t="s">
        <v>2074</v>
      </c>
      <c r="D2032" s="10" t="s">
        <v>42</v>
      </c>
      <c r="E2032" s="10" t="s">
        <v>30</v>
      </c>
      <c r="F2032" s="10" t="s">
        <v>4</v>
      </c>
      <c r="G2032" s="10" t="s">
        <v>38</v>
      </c>
      <c r="H2032" s="10" t="s">
        <v>13</v>
      </c>
      <c r="I2032" s="45">
        <v>2175</v>
      </c>
      <c r="J2032" s="11">
        <v>0.20300000000000001</v>
      </c>
      <c r="K2032" s="45">
        <f t="shared" si="218"/>
        <v>1733.4749999999999</v>
      </c>
      <c r="L2032" s="10">
        <v>9</v>
      </c>
      <c r="M2032" s="10">
        <v>3.2</v>
      </c>
      <c r="N2032" s="10" t="b">
        <v>0</v>
      </c>
      <c r="O2032" s="41"/>
      <c r="P2032" s="45">
        <f t="shared" si="219"/>
        <v>728.05949999999996</v>
      </c>
      <c r="Q2032" s="45">
        <f t="shared" si="220"/>
        <v>1005.4155</v>
      </c>
      <c r="R2032" s="45">
        <v>0</v>
      </c>
      <c r="S2032" s="45">
        <f t="shared" si="221"/>
        <v>0</v>
      </c>
      <c r="T2032" s="45">
        <f t="shared" si="222"/>
        <v>0</v>
      </c>
      <c r="U2032" s="47">
        <f t="shared" si="223"/>
        <v>1005.4155</v>
      </c>
    </row>
    <row r="2033" spans="1:21" x14ac:dyDescent="0.3">
      <c r="A2033" s="41" t="str">
        <f t="shared" si="217"/>
        <v>PUNIDR</v>
      </c>
      <c r="B2033" s="43">
        <v>45926</v>
      </c>
      <c r="C2033" s="10" t="s">
        <v>2075</v>
      </c>
      <c r="D2033" s="10" t="s">
        <v>10</v>
      </c>
      <c r="E2033" s="10" t="s">
        <v>30</v>
      </c>
      <c r="F2033" s="10" t="s">
        <v>23</v>
      </c>
      <c r="G2033" s="10" t="s">
        <v>7</v>
      </c>
      <c r="H2033" s="10" t="s">
        <v>13</v>
      </c>
      <c r="I2033" s="45">
        <v>1978</v>
      </c>
      <c r="J2033" s="11">
        <v>0.44700000000000001</v>
      </c>
      <c r="K2033" s="45">
        <f t="shared" si="218"/>
        <v>1093.8339999999998</v>
      </c>
      <c r="L2033" s="10">
        <v>48</v>
      </c>
      <c r="M2033" s="10">
        <v>4.3</v>
      </c>
      <c r="N2033" s="10" t="b">
        <v>0</v>
      </c>
      <c r="O2033" s="41"/>
      <c r="P2033" s="45">
        <f t="shared" si="219"/>
        <v>459.41027999999989</v>
      </c>
      <c r="Q2033" s="45">
        <f t="shared" si="220"/>
        <v>634.42372</v>
      </c>
      <c r="R2033" s="45">
        <v>0</v>
      </c>
      <c r="S2033" s="45">
        <f t="shared" si="221"/>
        <v>0</v>
      </c>
      <c r="T2033" s="45">
        <f t="shared" si="222"/>
        <v>0</v>
      </c>
      <c r="U2033" s="47">
        <f t="shared" si="223"/>
        <v>634.42372</v>
      </c>
    </row>
    <row r="2034" spans="1:21" x14ac:dyDescent="0.3">
      <c r="A2034" s="41" t="str">
        <f t="shared" si="217"/>
        <v>PFORTO</v>
      </c>
      <c r="B2034" s="43">
        <v>45926</v>
      </c>
      <c r="C2034" s="10" t="s">
        <v>2076</v>
      </c>
      <c r="D2034" s="10" t="s">
        <v>65</v>
      </c>
      <c r="E2034" s="10" t="s">
        <v>9</v>
      </c>
      <c r="F2034" s="10" t="s">
        <v>11</v>
      </c>
      <c r="G2034" s="10" t="s">
        <v>49</v>
      </c>
      <c r="H2034" s="10" t="s">
        <v>13</v>
      </c>
      <c r="I2034" s="45">
        <v>1437</v>
      </c>
      <c r="J2034" s="11">
        <v>0</v>
      </c>
      <c r="K2034" s="45">
        <f t="shared" si="218"/>
        <v>1437</v>
      </c>
      <c r="L2034" s="10">
        <v>21</v>
      </c>
      <c r="M2034" s="10">
        <v>1.2</v>
      </c>
      <c r="N2034" s="10" t="b">
        <v>1</v>
      </c>
      <c r="O2034" s="41" t="s">
        <v>44</v>
      </c>
      <c r="P2034" s="45">
        <f t="shared" si="219"/>
        <v>603.54</v>
      </c>
      <c r="Q2034" s="45">
        <f t="shared" si="220"/>
        <v>833.46</v>
      </c>
      <c r="R2034" s="45">
        <v>150</v>
      </c>
      <c r="S2034" s="45">
        <f t="shared" si="221"/>
        <v>143.70000000000002</v>
      </c>
      <c r="T2034" s="45">
        <f t="shared" si="222"/>
        <v>1437</v>
      </c>
      <c r="U2034" s="47">
        <f t="shared" si="223"/>
        <v>-897.24</v>
      </c>
    </row>
    <row r="2035" spans="1:21" x14ac:dyDescent="0.3">
      <c r="A2035" s="41" t="str">
        <f t="shared" si="217"/>
        <v>PZAROU</v>
      </c>
      <c r="B2035" s="43">
        <v>45927</v>
      </c>
      <c r="C2035" s="10" t="s">
        <v>2077</v>
      </c>
      <c r="D2035" s="10" t="s">
        <v>3</v>
      </c>
      <c r="E2035" s="10" t="s">
        <v>2</v>
      </c>
      <c r="F2035" s="10" t="s">
        <v>4</v>
      </c>
      <c r="G2035" s="10" t="s">
        <v>27</v>
      </c>
      <c r="H2035" s="10" t="s">
        <v>43</v>
      </c>
      <c r="I2035" s="45">
        <v>3024</v>
      </c>
      <c r="J2035" s="11">
        <v>0.26500000000000001</v>
      </c>
      <c r="K2035" s="45">
        <f t="shared" si="218"/>
        <v>2222.64</v>
      </c>
      <c r="L2035" s="10">
        <v>12</v>
      </c>
      <c r="M2035" s="10">
        <v>1.2</v>
      </c>
      <c r="N2035" s="10" t="b">
        <v>0</v>
      </c>
      <c r="O2035" s="41"/>
      <c r="P2035" s="45">
        <f t="shared" si="219"/>
        <v>933.50879999999995</v>
      </c>
      <c r="Q2035" s="45">
        <f t="shared" si="220"/>
        <v>1289.1311999999998</v>
      </c>
      <c r="R2035" s="45">
        <v>0</v>
      </c>
      <c r="S2035" s="45">
        <f t="shared" si="221"/>
        <v>0</v>
      </c>
      <c r="T2035" s="45">
        <f t="shared" si="222"/>
        <v>0</v>
      </c>
      <c r="U2035" s="47">
        <f t="shared" si="223"/>
        <v>1289.1311999999998</v>
      </c>
    </row>
    <row r="2036" spans="1:21" x14ac:dyDescent="0.3">
      <c r="A2036" s="41" t="str">
        <f t="shared" si="217"/>
        <v>PBANSH</v>
      </c>
      <c r="B2036" s="43">
        <v>45927</v>
      </c>
      <c r="C2036" s="10" t="s">
        <v>2078</v>
      </c>
      <c r="D2036" s="10" t="s">
        <v>21</v>
      </c>
      <c r="E2036" s="10" t="s">
        <v>18</v>
      </c>
      <c r="F2036" s="10" t="s">
        <v>4</v>
      </c>
      <c r="G2036" s="10" t="s">
        <v>12</v>
      </c>
      <c r="H2036" s="10" t="s">
        <v>43</v>
      </c>
      <c r="I2036" s="45">
        <v>4145</v>
      </c>
      <c r="J2036" s="11">
        <v>0.27600000000000002</v>
      </c>
      <c r="K2036" s="45">
        <f t="shared" si="218"/>
        <v>3000.98</v>
      </c>
      <c r="L2036" s="10">
        <v>16</v>
      </c>
      <c r="M2036" s="10"/>
      <c r="N2036" s="10" t="b">
        <v>0</v>
      </c>
      <c r="O2036" s="41"/>
      <c r="P2036" s="45">
        <f t="shared" si="219"/>
        <v>1260.4115999999999</v>
      </c>
      <c r="Q2036" s="45">
        <f t="shared" si="220"/>
        <v>1740.5684000000001</v>
      </c>
      <c r="R2036" s="45">
        <v>0</v>
      </c>
      <c r="S2036" s="45">
        <f t="shared" si="221"/>
        <v>0</v>
      </c>
      <c r="T2036" s="45">
        <f t="shared" si="222"/>
        <v>0</v>
      </c>
      <c r="U2036" s="47">
        <f t="shared" si="223"/>
        <v>1740.5684000000001</v>
      </c>
    </row>
    <row r="2037" spans="1:21" x14ac:dyDescent="0.3">
      <c r="A2037" s="41" t="str">
        <f t="shared" si="217"/>
        <v>PUNIAC</v>
      </c>
      <c r="B2037" s="43">
        <v>45927</v>
      </c>
      <c r="C2037" s="10" t="s">
        <v>2079</v>
      </c>
      <c r="D2037" s="10" t="s">
        <v>10</v>
      </c>
      <c r="E2037" s="10" t="s">
        <v>15</v>
      </c>
      <c r="F2037" s="10" t="s">
        <v>4</v>
      </c>
      <c r="G2037" s="10" t="s">
        <v>7</v>
      </c>
      <c r="H2037" s="10" t="s">
        <v>6</v>
      </c>
      <c r="I2037" s="45">
        <v>373</v>
      </c>
      <c r="J2037" s="11">
        <v>0.14599999999999999</v>
      </c>
      <c r="K2037" s="45">
        <f t="shared" si="218"/>
        <v>318.54199999999997</v>
      </c>
      <c r="L2037" s="10">
        <v>7</v>
      </c>
      <c r="M2037" s="10">
        <v>1.4</v>
      </c>
      <c r="N2037" s="10" t="b">
        <v>0</v>
      </c>
      <c r="O2037" s="41"/>
      <c r="P2037" s="45">
        <f t="shared" si="219"/>
        <v>133.78763999999998</v>
      </c>
      <c r="Q2037" s="45">
        <f t="shared" si="220"/>
        <v>184.75435999999999</v>
      </c>
      <c r="R2037" s="45">
        <v>0</v>
      </c>
      <c r="S2037" s="45">
        <f t="shared" si="221"/>
        <v>0</v>
      </c>
      <c r="T2037" s="45">
        <f t="shared" si="222"/>
        <v>0</v>
      </c>
      <c r="U2037" s="47">
        <f t="shared" si="223"/>
        <v>184.75435999999999</v>
      </c>
    </row>
    <row r="2038" spans="1:21" x14ac:dyDescent="0.3">
      <c r="A2038" s="41" t="str">
        <f t="shared" si="217"/>
        <v>PUNIDR</v>
      </c>
      <c r="B2038" s="43">
        <v>45927</v>
      </c>
      <c r="C2038" s="10" t="s">
        <v>2080</v>
      </c>
      <c r="D2038" s="10" t="s">
        <v>10</v>
      </c>
      <c r="E2038" s="10" t="s">
        <v>30</v>
      </c>
      <c r="F2038" s="10" t="s">
        <v>4</v>
      </c>
      <c r="G2038" s="10" t="s">
        <v>5</v>
      </c>
      <c r="H2038" s="10" t="s">
        <v>16</v>
      </c>
      <c r="I2038" s="45">
        <v>2013</v>
      </c>
      <c r="J2038" s="11">
        <v>0.41200000000000003</v>
      </c>
      <c r="K2038" s="45">
        <f t="shared" si="218"/>
        <v>1183.644</v>
      </c>
      <c r="L2038" s="10">
        <v>22</v>
      </c>
      <c r="M2038" s="10"/>
      <c r="N2038" s="10" t="b">
        <v>1</v>
      </c>
      <c r="O2038" s="41" t="s">
        <v>44</v>
      </c>
      <c r="P2038" s="45">
        <f t="shared" si="219"/>
        <v>497.13047999999998</v>
      </c>
      <c r="Q2038" s="45">
        <f t="shared" si="220"/>
        <v>686.51351999999997</v>
      </c>
      <c r="R2038" s="45">
        <v>150</v>
      </c>
      <c r="S2038" s="45">
        <f t="shared" si="221"/>
        <v>118.3644</v>
      </c>
      <c r="T2038" s="45">
        <f t="shared" si="222"/>
        <v>1183.644</v>
      </c>
      <c r="U2038" s="47">
        <f t="shared" si="223"/>
        <v>-765.49487999999997</v>
      </c>
    </row>
    <row r="2039" spans="1:21" x14ac:dyDescent="0.3">
      <c r="A2039" s="41" t="str">
        <f t="shared" si="217"/>
        <v>PANNAC</v>
      </c>
      <c r="B2039" s="43">
        <v>45928</v>
      </c>
      <c r="C2039" s="10" t="s">
        <v>2081</v>
      </c>
      <c r="D2039" s="10" t="s">
        <v>42</v>
      </c>
      <c r="E2039" s="10" t="s">
        <v>15</v>
      </c>
      <c r="F2039" s="10" t="s">
        <v>4</v>
      </c>
      <c r="G2039" s="10" t="s">
        <v>7</v>
      </c>
      <c r="H2039" s="10" t="s">
        <v>58</v>
      </c>
      <c r="I2039" s="45">
        <v>427</v>
      </c>
      <c r="J2039" s="11">
        <v>0.34299999999999997</v>
      </c>
      <c r="K2039" s="45">
        <f t="shared" si="218"/>
        <v>280.53899999999999</v>
      </c>
      <c r="L2039" s="10">
        <v>41</v>
      </c>
      <c r="M2039" s="10"/>
      <c r="N2039" s="10" t="b">
        <v>0</v>
      </c>
      <c r="O2039" s="41"/>
      <c r="P2039" s="45">
        <f t="shared" si="219"/>
        <v>117.82637999999999</v>
      </c>
      <c r="Q2039" s="45">
        <f t="shared" si="220"/>
        <v>162.71262000000002</v>
      </c>
      <c r="R2039" s="45">
        <v>0</v>
      </c>
      <c r="S2039" s="45">
        <f t="shared" si="221"/>
        <v>0</v>
      </c>
      <c r="T2039" s="45">
        <f t="shared" si="222"/>
        <v>0</v>
      </c>
      <c r="U2039" s="47">
        <f t="shared" si="223"/>
        <v>162.71262000000002</v>
      </c>
    </row>
    <row r="2040" spans="1:21" x14ac:dyDescent="0.3">
      <c r="A2040" s="41" t="str">
        <f t="shared" si="217"/>
        <v>PUNITO</v>
      </c>
      <c r="B2040" s="43">
        <v>45928</v>
      </c>
      <c r="C2040" s="10" t="s">
        <v>2082</v>
      </c>
      <c r="D2040" s="10" t="s">
        <v>10</v>
      </c>
      <c r="E2040" s="10" t="s">
        <v>9</v>
      </c>
      <c r="F2040" s="10" t="s">
        <v>23</v>
      </c>
      <c r="G2040" s="10" t="s">
        <v>5</v>
      </c>
      <c r="H2040" s="10" t="s">
        <v>47</v>
      </c>
      <c r="I2040" s="45">
        <v>1351</v>
      </c>
      <c r="J2040" s="11">
        <v>0</v>
      </c>
      <c r="K2040" s="45">
        <f t="shared" si="218"/>
        <v>1351</v>
      </c>
      <c r="L2040" s="10">
        <v>49</v>
      </c>
      <c r="M2040" s="10">
        <v>3.1</v>
      </c>
      <c r="N2040" s="10" t="b">
        <v>0</v>
      </c>
      <c r="O2040" s="41"/>
      <c r="P2040" s="45">
        <f t="shared" si="219"/>
        <v>567.41999999999996</v>
      </c>
      <c r="Q2040" s="45">
        <f t="shared" si="220"/>
        <v>783.58</v>
      </c>
      <c r="R2040" s="45">
        <v>0</v>
      </c>
      <c r="S2040" s="45">
        <f t="shared" si="221"/>
        <v>0</v>
      </c>
      <c r="T2040" s="45">
        <f t="shared" si="222"/>
        <v>0</v>
      </c>
      <c r="U2040" s="47">
        <f t="shared" si="223"/>
        <v>783.58</v>
      </c>
    </row>
    <row r="2041" spans="1:21" x14ac:dyDescent="0.3">
      <c r="A2041" s="41" t="str">
        <f t="shared" si="217"/>
        <v>PUNISH</v>
      </c>
      <c r="B2041" s="43">
        <v>45928</v>
      </c>
      <c r="C2041" s="10" t="s">
        <v>2083</v>
      </c>
      <c r="D2041" s="10" t="s">
        <v>10</v>
      </c>
      <c r="E2041" s="10" t="s">
        <v>18</v>
      </c>
      <c r="F2041" s="10" t="s">
        <v>23</v>
      </c>
      <c r="G2041" s="10" t="s">
        <v>27</v>
      </c>
      <c r="H2041" s="10" t="s">
        <v>6</v>
      </c>
      <c r="I2041" s="45">
        <v>4280</v>
      </c>
      <c r="J2041" s="11">
        <v>0</v>
      </c>
      <c r="K2041" s="45">
        <f t="shared" si="218"/>
        <v>4280</v>
      </c>
      <c r="L2041" s="10">
        <v>35</v>
      </c>
      <c r="M2041" s="10">
        <v>2.5</v>
      </c>
      <c r="N2041" s="10" t="b">
        <v>0</v>
      </c>
      <c r="O2041" s="41"/>
      <c r="P2041" s="45">
        <f t="shared" si="219"/>
        <v>1797.6</v>
      </c>
      <c r="Q2041" s="45">
        <f t="shared" si="220"/>
        <v>2482.4</v>
      </c>
      <c r="R2041" s="45">
        <v>0</v>
      </c>
      <c r="S2041" s="45">
        <f t="shared" si="221"/>
        <v>0</v>
      </c>
      <c r="T2041" s="45">
        <f t="shared" si="222"/>
        <v>0</v>
      </c>
      <c r="U2041" s="47">
        <f t="shared" si="223"/>
        <v>2482.4</v>
      </c>
    </row>
    <row r="2042" spans="1:21" x14ac:dyDescent="0.3">
      <c r="A2042" s="41" t="str">
        <f t="shared" si="217"/>
        <v>PANNDR</v>
      </c>
      <c r="B2042" s="43">
        <v>45928</v>
      </c>
      <c r="C2042" s="10" t="s">
        <v>2084</v>
      </c>
      <c r="D2042" s="10" t="s">
        <v>42</v>
      </c>
      <c r="E2042" s="10" t="s">
        <v>30</v>
      </c>
      <c r="F2042" s="10" t="s">
        <v>54</v>
      </c>
      <c r="G2042" s="10" t="s">
        <v>5</v>
      </c>
      <c r="H2042" s="10" t="s">
        <v>43</v>
      </c>
      <c r="I2042" s="45">
        <v>2101</v>
      </c>
      <c r="J2042" s="11">
        <v>0.55700000000000005</v>
      </c>
      <c r="K2042" s="45">
        <f t="shared" si="218"/>
        <v>930.74299999999994</v>
      </c>
      <c r="L2042" s="10">
        <v>6</v>
      </c>
      <c r="M2042" s="10">
        <v>2.1</v>
      </c>
      <c r="N2042" s="10" t="b">
        <v>1</v>
      </c>
      <c r="O2042" s="41" t="s">
        <v>80</v>
      </c>
      <c r="P2042" s="45">
        <f t="shared" si="219"/>
        <v>390.91205999999994</v>
      </c>
      <c r="Q2042" s="45">
        <f t="shared" si="220"/>
        <v>539.83094000000006</v>
      </c>
      <c r="R2042" s="45">
        <v>150</v>
      </c>
      <c r="S2042" s="45">
        <f t="shared" si="221"/>
        <v>93.074299999999994</v>
      </c>
      <c r="T2042" s="45">
        <f t="shared" si="222"/>
        <v>930.74299999999994</v>
      </c>
      <c r="U2042" s="47">
        <f t="shared" si="223"/>
        <v>-633.98635999999988</v>
      </c>
    </row>
    <row r="2043" spans="1:21" x14ac:dyDescent="0.3">
      <c r="A2043" s="41" t="str">
        <f t="shared" si="217"/>
        <v>PGAPTO</v>
      </c>
      <c r="B2043" s="43">
        <v>45929</v>
      </c>
      <c r="C2043" s="10" t="s">
        <v>2085</v>
      </c>
      <c r="D2043" s="10" t="s">
        <v>53</v>
      </c>
      <c r="E2043" s="10" t="s">
        <v>9</v>
      </c>
      <c r="F2043" s="10" t="s">
        <v>4</v>
      </c>
      <c r="G2043" s="10" t="s">
        <v>27</v>
      </c>
      <c r="H2043" s="10" t="s">
        <v>58</v>
      </c>
      <c r="I2043" s="45">
        <v>1628</v>
      </c>
      <c r="J2043" s="11">
        <v>0.26400000000000001</v>
      </c>
      <c r="K2043" s="45">
        <f t="shared" si="218"/>
        <v>1198.2080000000001</v>
      </c>
      <c r="L2043" s="10">
        <v>47</v>
      </c>
      <c r="M2043" s="10">
        <v>2.2999999999999998</v>
      </c>
      <c r="N2043" s="10" t="b">
        <v>1</v>
      </c>
      <c r="O2043" s="41" t="s">
        <v>50</v>
      </c>
      <c r="P2043" s="45">
        <f t="shared" si="219"/>
        <v>503.24736000000001</v>
      </c>
      <c r="Q2043" s="45">
        <f t="shared" si="220"/>
        <v>694.96064000000001</v>
      </c>
      <c r="R2043" s="45">
        <v>150</v>
      </c>
      <c r="S2043" s="45">
        <f t="shared" si="221"/>
        <v>119.82080000000002</v>
      </c>
      <c r="T2043" s="45">
        <f t="shared" si="222"/>
        <v>1198.2080000000001</v>
      </c>
      <c r="U2043" s="47">
        <f t="shared" si="223"/>
        <v>-773.06816000000003</v>
      </c>
    </row>
    <row r="2044" spans="1:21" x14ac:dyDescent="0.3">
      <c r="A2044" s="41" t="str">
        <f t="shared" si="217"/>
        <v>PFOROU</v>
      </c>
      <c r="B2044" s="43">
        <v>45929</v>
      </c>
      <c r="C2044" s="10" t="s">
        <v>2086</v>
      </c>
      <c r="D2044" s="10" t="s">
        <v>65</v>
      </c>
      <c r="E2044" s="10" t="s">
        <v>2</v>
      </c>
      <c r="F2044" s="10" t="s">
        <v>11</v>
      </c>
      <c r="G2044" s="10" t="s">
        <v>12</v>
      </c>
      <c r="H2044" s="10" t="s">
        <v>28</v>
      </c>
      <c r="I2044" s="45">
        <v>3837</v>
      </c>
      <c r="J2044" s="11">
        <v>0</v>
      </c>
      <c r="K2044" s="45">
        <f t="shared" si="218"/>
        <v>3837</v>
      </c>
      <c r="L2044" s="10">
        <v>0</v>
      </c>
      <c r="M2044" s="10">
        <v>4.5</v>
      </c>
      <c r="N2044" s="10" t="b">
        <v>0</v>
      </c>
      <c r="O2044" s="41"/>
      <c r="P2044" s="45">
        <f t="shared" si="219"/>
        <v>1611.54</v>
      </c>
      <c r="Q2044" s="45">
        <f t="shared" si="220"/>
        <v>2225.46</v>
      </c>
      <c r="R2044" s="45">
        <v>0</v>
      </c>
      <c r="S2044" s="45">
        <f t="shared" si="221"/>
        <v>0</v>
      </c>
      <c r="T2044" s="45">
        <f t="shared" si="222"/>
        <v>0</v>
      </c>
      <c r="U2044" s="47">
        <f t="shared" si="223"/>
        <v>2225.46</v>
      </c>
    </row>
    <row r="2045" spans="1:21" x14ac:dyDescent="0.3">
      <c r="A2045" s="41" t="str">
        <f t="shared" si="217"/>
        <v>PBANSH</v>
      </c>
      <c r="B2045" s="43">
        <v>45929</v>
      </c>
      <c r="C2045" s="10" t="s">
        <v>2087</v>
      </c>
      <c r="D2045" s="10" t="s">
        <v>21</v>
      </c>
      <c r="E2045" s="10" t="s">
        <v>18</v>
      </c>
      <c r="F2045" s="10" t="s">
        <v>23</v>
      </c>
      <c r="G2045" s="10" t="s">
        <v>12</v>
      </c>
      <c r="H2045" s="10" t="s">
        <v>32</v>
      </c>
      <c r="I2045" s="45">
        <v>3131</v>
      </c>
      <c r="J2045" s="11">
        <v>0</v>
      </c>
      <c r="K2045" s="45">
        <f t="shared" si="218"/>
        <v>3131</v>
      </c>
      <c r="L2045" s="10">
        <v>0</v>
      </c>
      <c r="M2045" s="10">
        <v>4.5</v>
      </c>
      <c r="N2045" s="10" t="b">
        <v>0</v>
      </c>
      <c r="O2045" s="41"/>
      <c r="P2045" s="45">
        <f t="shared" si="219"/>
        <v>1315.02</v>
      </c>
      <c r="Q2045" s="45">
        <f t="shared" si="220"/>
        <v>1815.98</v>
      </c>
      <c r="R2045" s="45">
        <v>0</v>
      </c>
      <c r="S2045" s="45">
        <f t="shared" si="221"/>
        <v>0</v>
      </c>
      <c r="T2045" s="45">
        <f t="shared" si="222"/>
        <v>0</v>
      </c>
      <c r="U2045" s="47">
        <f t="shared" si="223"/>
        <v>1815.98</v>
      </c>
    </row>
    <row r="2046" spans="1:21" x14ac:dyDescent="0.3">
      <c r="A2046" s="41" t="str">
        <f t="shared" si="217"/>
        <v>PANNTO</v>
      </c>
      <c r="B2046" s="43">
        <v>45930</v>
      </c>
      <c r="C2046" s="10" t="s">
        <v>2088</v>
      </c>
      <c r="D2046" s="10" t="s">
        <v>42</v>
      </c>
      <c r="E2046" s="10" t="s">
        <v>9</v>
      </c>
      <c r="F2046" s="10" t="s">
        <v>23</v>
      </c>
      <c r="G2046" s="10" t="s">
        <v>49</v>
      </c>
      <c r="H2046" s="10" t="s">
        <v>35</v>
      </c>
      <c r="I2046" s="45">
        <v>1419</v>
      </c>
      <c r="J2046" s="11">
        <v>0.56100000000000005</v>
      </c>
      <c r="K2046" s="45">
        <f t="shared" si="218"/>
        <v>622.94099999999992</v>
      </c>
      <c r="L2046" s="10">
        <v>16</v>
      </c>
      <c r="M2046" s="10"/>
      <c r="N2046" s="10" t="b">
        <v>1</v>
      </c>
      <c r="O2046" s="41" t="s">
        <v>33</v>
      </c>
      <c r="P2046" s="45">
        <f t="shared" si="219"/>
        <v>261.63521999999995</v>
      </c>
      <c r="Q2046" s="45">
        <f t="shared" si="220"/>
        <v>361.30577999999997</v>
      </c>
      <c r="R2046" s="45">
        <v>150</v>
      </c>
      <c r="S2046" s="45">
        <f t="shared" si="221"/>
        <v>62.294099999999993</v>
      </c>
      <c r="T2046" s="45">
        <f t="shared" si="222"/>
        <v>622.94099999999992</v>
      </c>
      <c r="U2046" s="47">
        <f t="shared" si="223"/>
        <v>-473.92931999999996</v>
      </c>
    </row>
    <row r="2047" spans="1:21" x14ac:dyDescent="0.3">
      <c r="A2047" s="41" t="str">
        <f t="shared" si="217"/>
        <v>PANNDR</v>
      </c>
      <c r="B2047" s="43">
        <v>45930</v>
      </c>
      <c r="C2047" s="10" t="s">
        <v>2089</v>
      </c>
      <c r="D2047" s="10" t="s">
        <v>42</v>
      </c>
      <c r="E2047" s="10" t="s">
        <v>30</v>
      </c>
      <c r="F2047" s="10" t="s">
        <v>23</v>
      </c>
      <c r="G2047" s="10" t="s">
        <v>38</v>
      </c>
      <c r="H2047" s="10" t="s">
        <v>56</v>
      </c>
      <c r="I2047" s="45">
        <v>2803</v>
      </c>
      <c r="J2047" s="11">
        <v>0</v>
      </c>
      <c r="K2047" s="45">
        <f t="shared" si="218"/>
        <v>2803</v>
      </c>
      <c r="L2047" s="10">
        <v>36</v>
      </c>
      <c r="M2047" s="10">
        <v>1.2</v>
      </c>
      <c r="N2047" s="10" t="b">
        <v>1</v>
      </c>
      <c r="O2047" s="41" t="s">
        <v>33</v>
      </c>
      <c r="P2047" s="45">
        <f t="shared" si="219"/>
        <v>1177.26</v>
      </c>
      <c r="Q2047" s="45">
        <f t="shared" si="220"/>
        <v>1625.74</v>
      </c>
      <c r="R2047" s="45">
        <v>150</v>
      </c>
      <c r="S2047" s="45">
        <f t="shared" si="221"/>
        <v>280.3</v>
      </c>
      <c r="T2047" s="45">
        <f t="shared" si="222"/>
        <v>2803</v>
      </c>
      <c r="U2047" s="47">
        <f t="shared" si="223"/>
        <v>-1607.56</v>
      </c>
    </row>
    <row r="2048" spans="1:21" x14ac:dyDescent="0.3">
      <c r="A2048" s="41" t="str">
        <f t="shared" si="217"/>
        <v>PMANSH</v>
      </c>
      <c r="B2048" s="43">
        <v>45930</v>
      </c>
      <c r="C2048" s="10" t="s">
        <v>2090</v>
      </c>
      <c r="D2048" s="10" t="s">
        <v>31</v>
      </c>
      <c r="E2048" s="10" t="s">
        <v>18</v>
      </c>
      <c r="F2048" s="10" t="s">
        <v>4</v>
      </c>
      <c r="G2048" s="10" t="s">
        <v>27</v>
      </c>
      <c r="H2048" s="10" t="s">
        <v>16</v>
      </c>
      <c r="I2048" s="45">
        <v>3250</v>
      </c>
      <c r="J2048" s="11">
        <v>0.316</v>
      </c>
      <c r="K2048" s="45">
        <f t="shared" si="218"/>
        <v>2223</v>
      </c>
      <c r="L2048" s="10">
        <v>38</v>
      </c>
      <c r="M2048" s="10">
        <v>3.5</v>
      </c>
      <c r="N2048" s="10" t="b">
        <v>0</v>
      </c>
      <c r="O2048" s="41"/>
      <c r="P2048" s="45">
        <f t="shared" si="219"/>
        <v>933.66</v>
      </c>
      <c r="Q2048" s="45">
        <f t="shared" si="220"/>
        <v>1289.3400000000001</v>
      </c>
      <c r="R2048" s="45">
        <v>0</v>
      </c>
      <c r="S2048" s="45">
        <f t="shared" si="221"/>
        <v>0</v>
      </c>
      <c r="T2048" s="45">
        <f t="shared" si="222"/>
        <v>0</v>
      </c>
      <c r="U2048" s="47">
        <f t="shared" si="223"/>
        <v>1289.3400000000001</v>
      </c>
    </row>
    <row r="2049" spans="1:21" x14ac:dyDescent="0.3">
      <c r="A2049" s="41" t="str">
        <f t="shared" si="217"/>
        <v>PMANDR</v>
      </c>
      <c r="B2049" s="43">
        <v>45930</v>
      </c>
      <c r="C2049" s="10" t="s">
        <v>2091</v>
      </c>
      <c r="D2049" s="10" t="s">
        <v>31</v>
      </c>
      <c r="E2049" s="10" t="s">
        <v>30</v>
      </c>
      <c r="F2049" s="10" t="s">
        <v>54</v>
      </c>
      <c r="G2049" s="10" t="s">
        <v>27</v>
      </c>
      <c r="H2049" s="10" t="s">
        <v>56</v>
      </c>
      <c r="I2049" s="45">
        <v>1845</v>
      </c>
      <c r="J2049" s="11">
        <v>0.245</v>
      </c>
      <c r="K2049" s="45">
        <f t="shared" si="218"/>
        <v>1392.9749999999999</v>
      </c>
      <c r="L2049" s="10">
        <v>40</v>
      </c>
      <c r="M2049" s="10">
        <v>3.5</v>
      </c>
      <c r="N2049" s="10" t="b">
        <v>0</v>
      </c>
      <c r="O2049" s="41"/>
      <c r="P2049" s="45">
        <f t="shared" si="219"/>
        <v>585.04949999999997</v>
      </c>
      <c r="Q2049" s="45">
        <f t="shared" si="220"/>
        <v>807.92549999999994</v>
      </c>
      <c r="R2049" s="45">
        <v>0</v>
      </c>
      <c r="S2049" s="45">
        <f t="shared" si="221"/>
        <v>0</v>
      </c>
      <c r="T2049" s="45">
        <f t="shared" si="222"/>
        <v>0</v>
      </c>
      <c r="U2049" s="47">
        <f t="shared" si="223"/>
        <v>807.92549999999994</v>
      </c>
    </row>
    <row r="2050" spans="1:21" x14ac:dyDescent="0.3">
      <c r="A2050" s="41" t="str">
        <f t="shared" ref="A2050:A2113" si="224">UPPER("P"&amp;LEFT(D2050,3)&amp;LEFT(E2050,2))</f>
        <v>PGAPBO</v>
      </c>
      <c r="B2050" s="43">
        <v>45931</v>
      </c>
      <c r="C2050" s="10" t="s">
        <v>2092</v>
      </c>
      <c r="D2050" s="10" t="s">
        <v>53</v>
      </c>
      <c r="E2050" s="10" t="s">
        <v>26</v>
      </c>
      <c r="F2050" s="10" t="s">
        <v>23</v>
      </c>
      <c r="G2050" s="10" t="s">
        <v>49</v>
      </c>
      <c r="H2050" s="10" t="s">
        <v>56</v>
      </c>
      <c r="I2050" s="45">
        <v>2683</v>
      </c>
      <c r="J2050" s="11">
        <v>0.10800000000000001</v>
      </c>
      <c r="K2050" s="45">
        <f t="shared" si="218"/>
        <v>2393.2359999999999</v>
      </c>
      <c r="L2050" s="10">
        <v>33</v>
      </c>
      <c r="M2050" s="10">
        <v>2.2000000000000002</v>
      </c>
      <c r="N2050" s="10" t="b">
        <v>0</v>
      </c>
      <c r="O2050" s="41"/>
      <c r="P2050" s="45">
        <f t="shared" si="219"/>
        <v>1005.1591199999999</v>
      </c>
      <c r="Q2050" s="45">
        <f t="shared" si="220"/>
        <v>1388.0768800000001</v>
      </c>
      <c r="R2050" s="45">
        <v>0</v>
      </c>
      <c r="S2050" s="45">
        <f t="shared" si="221"/>
        <v>0</v>
      </c>
      <c r="T2050" s="45">
        <f t="shared" si="222"/>
        <v>0</v>
      </c>
      <c r="U2050" s="47">
        <f t="shared" si="223"/>
        <v>1388.0768800000001</v>
      </c>
    </row>
    <row r="2051" spans="1:21" x14ac:dyDescent="0.3">
      <c r="A2051" s="41" t="str">
        <f t="shared" si="224"/>
        <v>PMANDR</v>
      </c>
      <c r="B2051" s="43">
        <v>45931</v>
      </c>
      <c r="C2051" s="10" t="s">
        <v>2093</v>
      </c>
      <c r="D2051" s="10" t="s">
        <v>31</v>
      </c>
      <c r="E2051" s="10" t="s">
        <v>30</v>
      </c>
      <c r="F2051" s="10" t="s">
        <v>11</v>
      </c>
      <c r="G2051" s="10" t="s">
        <v>12</v>
      </c>
      <c r="H2051" s="10" t="s">
        <v>47</v>
      </c>
      <c r="I2051" s="45">
        <v>2880</v>
      </c>
      <c r="J2051" s="11">
        <v>0.48200000000000004</v>
      </c>
      <c r="K2051" s="45">
        <f t="shared" ref="K2051:K2114" si="225">I2051*(1-J2051)</f>
        <v>1491.8400000000001</v>
      </c>
      <c r="L2051" s="10">
        <v>49</v>
      </c>
      <c r="M2051" s="10">
        <v>4.5</v>
      </c>
      <c r="N2051" s="10" t="b">
        <v>0</v>
      </c>
      <c r="O2051" s="41"/>
      <c r="P2051" s="45">
        <f t="shared" ref="P2051:P2114" si="226">K2051*0.42</f>
        <v>626.57280000000003</v>
      </c>
      <c r="Q2051" s="45">
        <f t="shared" ref="Q2051:Q2114" si="227">K2051-P2051</f>
        <v>865.26720000000012</v>
      </c>
      <c r="R2051" s="45">
        <v>0</v>
      </c>
      <c r="S2051" s="45">
        <f t="shared" ref="S2051:S2114" si="228">IF(N2051=TRUE,K2051*0.1,0)</f>
        <v>0</v>
      </c>
      <c r="T2051" s="45">
        <f t="shared" ref="T2051:T2114" si="229">IF(N2051=TRUE,K2051,0)</f>
        <v>0</v>
      </c>
      <c r="U2051" s="47">
        <f t="shared" ref="U2051:U2114" si="230">Q2051-R2051-S2051-T2051</f>
        <v>865.26720000000012</v>
      </c>
    </row>
    <row r="2052" spans="1:21" x14ac:dyDescent="0.3">
      <c r="A2052" s="41" t="str">
        <f t="shared" si="224"/>
        <v>PBANSH</v>
      </c>
      <c r="B2052" s="43">
        <v>45931</v>
      </c>
      <c r="C2052" s="10" t="s">
        <v>2094</v>
      </c>
      <c r="D2052" s="10" t="s">
        <v>21</v>
      </c>
      <c r="E2052" s="10" t="s">
        <v>18</v>
      </c>
      <c r="F2052" s="10" t="s">
        <v>11</v>
      </c>
      <c r="G2052" s="10" t="s">
        <v>38</v>
      </c>
      <c r="H2052" s="10" t="s">
        <v>28</v>
      </c>
      <c r="I2052" s="45">
        <v>3566</v>
      </c>
      <c r="J2052" s="11">
        <v>0</v>
      </c>
      <c r="K2052" s="45">
        <f t="shared" si="225"/>
        <v>3566</v>
      </c>
      <c r="L2052" s="10">
        <v>12</v>
      </c>
      <c r="M2052" s="10"/>
      <c r="N2052" s="10" t="b">
        <v>1</v>
      </c>
      <c r="O2052" s="41" t="s">
        <v>44</v>
      </c>
      <c r="P2052" s="45">
        <f t="shared" si="226"/>
        <v>1497.72</v>
      </c>
      <c r="Q2052" s="45">
        <f t="shared" si="227"/>
        <v>2068.2799999999997</v>
      </c>
      <c r="R2052" s="45">
        <v>150</v>
      </c>
      <c r="S2052" s="45">
        <f t="shared" si="228"/>
        <v>356.6</v>
      </c>
      <c r="T2052" s="45">
        <f t="shared" si="229"/>
        <v>3566</v>
      </c>
      <c r="U2052" s="47">
        <f t="shared" si="230"/>
        <v>-2004.3200000000002</v>
      </c>
    </row>
    <row r="2053" spans="1:21" x14ac:dyDescent="0.3">
      <c r="A2053" s="41" t="str">
        <f t="shared" si="224"/>
        <v>PZARSH</v>
      </c>
      <c r="B2053" s="43">
        <v>45932</v>
      </c>
      <c r="C2053" s="10" t="s">
        <v>2095</v>
      </c>
      <c r="D2053" s="10" t="s">
        <v>3</v>
      </c>
      <c r="E2053" s="10" t="s">
        <v>18</v>
      </c>
      <c r="F2053" s="10" t="s">
        <v>11</v>
      </c>
      <c r="G2053" s="10" t="s">
        <v>49</v>
      </c>
      <c r="H2053" s="10" t="s">
        <v>47</v>
      </c>
      <c r="I2053" s="45">
        <v>3501</v>
      </c>
      <c r="J2053" s="11">
        <v>0.20800000000000002</v>
      </c>
      <c r="K2053" s="45">
        <f t="shared" si="225"/>
        <v>2772.7919999999999</v>
      </c>
      <c r="L2053" s="10">
        <v>3</v>
      </c>
      <c r="M2053" s="10">
        <v>2.9</v>
      </c>
      <c r="N2053" s="10" t="b">
        <v>1</v>
      </c>
      <c r="O2053" s="41" t="s">
        <v>50</v>
      </c>
      <c r="P2053" s="45">
        <f t="shared" si="226"/>
        <v>1164.5726399999999</v>
      </c>
      <c r="Q2053" s="45">
        <f t="shared" si="227"/>
        <v>1608.2193600000001</v>
      </c>
      <c r="R2053" s="45">
        <v>150</v>
      </c>
      <c r="S2053" s="45">
        <f t="shared" si="228"/>
        <v>277.2792</v>
      </c>
      <c r="T2053" s="45">
        <f t="shared" si="229"/>
        <v>2772.7919999999999</v>
      </c>
      <c r="U2053" s="47">
        <f t="shared" si="230"/>
        <v>-1591.8518399999998</v>
      </c>
    </row>
    <row r="2054" spans="1:21" x14ac:dyDescent="0.3">
      <c r="A2054" s="41" t="str">
        <f t="shared" si="224"/>
        <v>PZARAC</v>
      </c>
      <c r="B2054" s="43">
        <v>45932</v>
      </c>
      <c r="C2054" s="10" t="s">
        <v>2096</v>
      </c>
      <c r="D2054" s="10" t="s">
        <v>3</v>
      </c>
      <c r="E2054" s="10" t="s">
        <v>15</v>
      </c>
      <c r="F2054" s="10" t="s">
        <v>54</v>
      </c>
      <c r="G2054" s="10" t="s">
        <v>7</v>
      </c>
      <c r="H2054" s="10" t="s">
        <v>13</v>
      </c>
      <c r="I2054" s="45">
        <v>260</v>
      </c>
      <c r="J2054" s="11">
        <v>0</v>
      </c>
      <c r="K2054" s="45">
        <f t="shared" si="225"/>
        <v>260</v>
      </c>
      <c r="L2054" s="10">
        <v>49</v>
      </c>
      <c r="M2054" s="10">
        <v>3.4</v>
      </c>
      <c r="N2054" s="10" t="b">
        <v>0</v>
      </c>
      <c r="O2054" s="41"/>
      <c r="P2054" s="45">
        <f t="shared" si="226"/>
        <v>109.2</v>
      </c>
      <c r="Q2054" s="45">
        <f t="shared" si="227"/>
        <v>150.80000000000001</v>
      </c>
      <c r="R2054" s="45">
        <v>0</v>
      </c>
      <c r="S2054" s="45">
        <f t="shared" si="228"/>
        <v>0</v>
      </c>
      <c r="T2054" s="45">
        <f t="shared" si="229"/>
        <v>0</v>
      </c>
      <c r="U2054" s="47">
        <f t="shared" si="230"/>
        <v>150.80000000000001</v>
      </c>
    </row>
    <row r="2055" spans="1:21" x14ac:dyDescent="0.3">
      <c r="A2055" s="41" t="str">
        <f t="shared" si="224"/>
        <v>PUNIOU</v>
      </c>
      <c r="B2055" s="43">
        <v>45932</v>
      </c>
      <c r="C2055" s="10" t="s">
        <v>2097</v>
      </c>
      <c r="D2055" s="10" t="s">
        <v>10</v>
      </c>
      <c r="E2055" s="10" t="s">
        <v>2</v>
      </c>
      <c r="F2055" s="10" t="s">
        <v>54</v>
      </c>
      <c r="G2055" s="10" t="s">
        <v>27</v>
      </c>
      <c r="H2055" s="10" t="s">
        <v>13</v>
      </c>
      <c r="I2055" s="45">
        <v>4094</v>
      </c>
      <c r="J2055" s="11">
        <v>0</v>
      </c>
      <c r="K2055" s="45">
        <f t="shared" si="225"/>
        <v>4094</v>
      </c>
      <c r="L2055" s="10">
        <v>43</v>
      </c>
      <c r="M2055" s="10">
        <v>3.3</v>
      </c>
      <c r="N2055" s="10" t="b">
        <v>0</v>
      </c>
      <c r="O2055" s="41"/>
      <c r="P2055" s="45">
        <f t="shared" si="226"/>
        <v>1719.48</v>
      </c>
      <c r="Q2055" s="45">
        <f t="shared" si="227"/>
        <v>2374.52</v>
      </c>
      <c r="R2055" s="45">
        <v>0</v>
      </c>
      <c r="S2055" s="45">
        <f t="shared" si="228"/>
        <v>0</v>
      </c>
      <c r="T2055" s="45">
        <f t="shared" si="229"/>
        <v>0</v>
      </c>
      <c r="U2055" s="47">
        <f t="shared" si="230"/>
        <v>2374.52</v>
      </c>
    </row>
    <row r="2056" spans="1:21" x14ac:dyDescent="0.3">
      <c r="A2056" s="41" t="str">
        <f t="shared" si="224"/>
        <v>PBANAC</v>
      </c>
      <c r="B2056" s="43">
        <v>45932</v>
      </c>
      <c r="C2056" s="10" t="s">
        <v>2098</v>
      </c>
      <c r="D2056" s="10" t="s">
        <v>21</v>
      </c>
      <c r="E2056" s="10" t="s">
        <v>15</v>
      </c>
      <c r="F2056" s="10" t="s">
        <v>54</v>
      </c>
      <c r="G2056" s="10" t="s">
        <v>7</v>
      </c>
      <c r="H2056" s="10" t="s">
        <v>16</v>
      </c>
      <c r="I2056" s="45">
        <v>487</v>
      </c>
      <c r="J2056" s="11">
        <v>0</v>
      </c>
      <c r="K2056" s="45">
        <f t="shared" si="225"/>
        <v>487</v>
      </c>
      <c r="L2056" s="10">
        <v>18</v>
      </c>
      <c r="M2056" s="10"/>
      <c r="N2056" s="10" t="b">
        <v>0</v>
      </c>
      <c r="O2056" s="41"/>
      <c r="P2056" s="45">
        <f t="shared" si="226"/>
        <v>204.54</v>
      </c>
      <c r="Q2056" s="45">
        <f t="shared" si="227"/>
        <v>282.46000000000004</v>
      </c>
      <c r="R2056" s="45">
        <v>0</v>
      </c>
      <c r="S2056" s="45">
        <f t="shared" si="228"/>
        <v>0</v>
      </c>
      <c r="T2056" s="45">
        <f t="shared" si="229"/>
        <v>0</v>
      </c>
      <c r="U2056" s="47">
        <f t="shared" si="230"/>
        <v>282.46000000000004</v>
      </c>
    </row>
    <row r="2057" spans="1:21" x14ac:dyDescent="0.3">
      <c r="A2057" s="41" t="str">
        <f t="shared" si="224"/>
        <v>PUNIAC</v>
      </c>
      <c r="B2057" s="43">
        <v>45933</v>
      </c>
      <c r="C2057" s="10" t="s">
        <v>2099</v>
      </c>
      <c r="D2057" s="10" t="s">
        <v>10</v>
      </c>
      <c r="E2057" s="10" t="s">
        <v>15</v>
      </c>
      <c r="F2057" s="10" t="s">
        <v>54</v>
      </c>
      <c r="G2057" s="10" t="s">
        <v>7</v>
      </c>
      <c r="H2057" s="10" t="s">
        <v>35</v>
      </c>
      <c r="I2057" s="45">
        <v>359</v>
      </c>
      <c r="J2057" s="11">
        <v>0.12</v>
      </c>
      <c r="K2057" s="45">
        <f t="shared" si="225"/>
        <v>315.92</v>
      </c>
      <c r="L2057" s="10">
        <v>18</v>
      </c>
      <c r="M2057" s="10">
        <v>4.8</v>
      </c>
      <c r="N2057" s="10" t="b">
        <v>1</v>
      </c>
      <c r="O2057" s="41" t="s">
        <v>33</v>
      </c>
      <c r="P2057" s="45">
        <f t="shared" si="226"/>
        <v>132.68639999999999</v>
      </c>
      <c r="Q2057" s="45">
        <f t="shared" si="227"/>
        <v>183.23360000000002</v>
      </c>
      <c r="R2057" s="45">
        <v>150</v>
      </c>
      <c r="S2057" s="45">
        <f t="shared" si="228"/>
        <v>31.592000000000002</v>
      </c>
      <c r="T2057" s="45">
        <f t="shared" si="229"/>
        <v>315.92</v>
      </c>
      <c r="U2057" s="47">
        <f t="shared" si="230"/>
        <v>-314.27839999999998</v>
      </c>
    </row>
    <row r="2058" spans="1:21" x14ac:dyDescent="0.3">
      <c r="A2058" s="41" t="str">
        <f t="shared" si="224"/>
        <v>PBANSH</v>
      </c>
      <c r="B2058" s="43">
        <v>45933</v>
      </c>
      <c r="C2058" s="10" t="s">
        <v>2100</v>
      </c>
      <c r="D2058" s="10" t="s">
        <v>21</v>
      </c>
      <c r="E2058" s="10" t="s">
        <v>18</v>
      </c>
      <c r="F2058" s="10" t="s">
        <v>11</v>
      </c>
      <c r="G2058" s="10" t="s">
        <v>7</v>
      </c>
      <c r="H2058" s="10" t="s">
        <v>88</v>
      </c>
      <c r="I2058" s="45">
        <v>3579</v>
      </c>
      <c r="J2058" s="11">
        <v>0.43799999999999994</v>
      </c>
      <c r="K2058" s="45">
        <f t="shared" si="225"/>
        <v>2011.3980000000001</v>
      </c>
      <c r="L2058" s="10">
        <v>28</v>
      </c>
      <c r="M2058" s="10">
        <v>3.3</v>
      </c>
      <c r="N2058" s="10" t="b">
        <v>0</v>
      </c>
      <c r="O2058" s="41"/>
      <c r="P2058" s="45">
        <f t="shared" si="226"/>
        <v>844.78715999999997</v>
      </c>
      <c r="Q2058" s="45">
        <f t="shared" si="227"/>
        <v>1166.6108400000003</v>
      </c>
      <c r="R2058" s="45">
        <v>0</v>
      </c>
      <c r="S2058" s="45">
        <f t="shared" si="228"/>
        <v>0</v>
      </c>
      <c r="T2058" s="45">
        <f t="shared" si="229"/>
        <v>0</v>
      </c>
      <c r="U2058" s="47">
        <f t="shared" si="230"/>
        <v>1166.6108400000003</v>
      </c>
    </row>
    <row r="2059" spans="1:21" x14ac:dyDescent="0.3">
      <c r="A2059" s="41" t="str">
        <f t="shared" si="224"/>
        <v>PMANAC</v>
      </c>
      <c r="B2059" s="43">
        <v>45933</v>
      </c>
      <c r="C2059" s="10" t="s">
        <v>2101</v>
      </c>
      <c r="D2059" s="10" t="s">
        <v>31</v>
      </c>
      <c r="E2059" s="10" t="s">
        <v>15</v>
      </c>
      <c r="F2059" s="10" t="s">
        <v>4</v>
      </c>
      <c r="G2059" s="10" t="s">
        <v>7</v>
      </c>
      <c r="H2059" s="10" t="s">
        <v>13</v>
      </c>
      <c r="I2059" s="45">
        <v>481</v>
      </c>
      <c r="J2059" s="11">
        <v>0</v>
      </c>
      <c r="K2059" s="45">
        <f t="shared" si="225"/>
        <v>481</v>
      </c>
      <c r="L2059" s="10">
        <v>16</v>
      </c>
      <c r="M2059" s="10">
        <v>1.4</v>
      </c>
      <c r="N2059" s="10" t="b">
        <v>0</v>
      </c>
      <c r="O2059" s="41"/>
      <c r="P2059" s="45">
        <f t="shared" si="226"/>
        <v>202.01999999999998</v>
      </c>
      <c r="Q2059" s="45">
        <f t="shared" si="227"/>
        <v>278.98</v>
      </c>
      <c r="R2059" s="45">
        <v>0</v>
      </c>
      <c r="S2059" s="45">
        <f t="shared" si="228"/>
        <v>0</v>
      </c>
      <c r="T2059" s="45">
        <f t="shared" si="229"/>
        <v>0</v>
      </c>
      <c r="U2059" s="47">
        <f t="shared" si="230"/>
        <v>278.98</v>
      </c>
    </row>
    <row r="2060" spans="1:21" x14ac:dyDescent="0.3">
      <c r="A2060" s="41" t="str">
        <f t="shared" si="224"/>
        <v>PH&amp;MTO</v>
      </c>
      <c r="B2060" s="43">
        <v>45933</v>
      </c>
      <c r="C2060" s="10" t="s">
        <v>2102</v>
      </c>
      <c r="D2060" s="10" t="s">
        <v>37</v>
      </c>
      <c r="E2060" s="10" t="s">
        <v>9</v>
      </c>
      <c r="F2060" s="10" t="s">
        <v>23</v>
      </c>
      <c r="G2060" s="10" t="s">
        <v>49</v>
      </c>
      <c r="H2060" s="10" t="s">
        <v>35</v>
      </c>
      <c r="I2060" s="45">
        <v>1288</v>
      </c>
      <c r="J2060" s="11">
        <v>0.54100000000000004</v>
      </c>
      <c r="K2060" s="45">
        <f t="shared" si="225"/>
        <v>591.19200000000001</v>
      </c>
      <c r="L2060" s="10">
        <v>15</v>
      </c>
      <c r="M2060" s="10">
        <v>2.5</v>
      </c>
      <c r="N2060" s="10" t="b">
        <v>0</v>
      </c>
      <c r="O2060" s="41"/>
      <c r="P2060" s="45">
        <f t="shared" si="226"/>
        <v>248.30063999999999</v>
      </c>
      <c r="Q2060" s="45">
        <f t="shared" si="227"/>
        <v>342.89136000000002</v>
      </c>
      <c r="R2060" s="45">
        <v>0</v>
      </c>
      <c r="S2060" s="45">
        <f t="shared" si="228"/>
        <v>0</v>
      </c>
      <c r="T2060" s="45">
        <f t="shared" si="229"/>
        <v>0</v>
      </c>
      <c r="U2060" s="47">
        <f t="shared" si="230"/>
        <v>342.89136000000002</v>
      </c>
    </row>
    <row r="2061" spans="1:21" x14ac:dyDescent="0.3">
      <c r="A2061" s="41" t="str">
        <f t="shared" si="224"/>
        <v>PH&amp;MSH</v>
      </c>
      <c r="B2061" s="43">
        <v>45934</v>
      </c>
      <c r="C2061" s="10" t="s">
        <v>2103</v>
      </c>
      <c r="D2061" s="10" t="s">
        <v>37</v>
      </c>
      <c r="E2061" s="10" t="s">
        <v>18</v>
      </c>
      <c r="F2061" s="10" t="s">
        <v>23</v>
      </c>
      <c r="G2061" s="10" t="s">
        <v>12</v>
      </c>
      <c r="H2061" s="10" t="s">
        <v>7</v>
      </c>
      <c r="I2061" s="45">
        <v>4064</v>
      </c>
      <c r="J2061" s="11">
        <v>0</v>
      </c>
      <c r="K2061" s="45">
        <f t="shared" si="225"/>
        <v>4064</v>
      </c>
      <c r="L2061" s="10">
        <v>25</v>
      </c>
      <c r="M2061" s="10">
        <v>3.6</v>
      </c>
      <c r="N2061" s="10" t="b">
        <v>0</v>
      </c>
      <c r="O2061" s="41"/>
      <c r="P2061" s="45">
        <f t="shared" si="226"/>
        <v>1706.8799999999999</v>
      </c>
      <c r="Q2061" s="45">
        <f t="shared" si="227"/>
        <v>2357.12</v>
      </c>
      <c r="R2061" s="45">
        <v>0</v>
      </c>
      <c r="S2061" s="45">
        <f t="shared" si="228"/>
        <v>0</v>
      </c>
      <c r="T2061" s="45">
        <f t="shared" si="229"/>
        <v>0</v>
      </c>
      <c r="U2061" s="47">
        <f t="shared" si="230"/>
        <v>2357.12</v>
      </c>
    </row>
    <row r="2062" spans="1:21" x14ac:dyDescent="0.3">
      <c r="A2062" s="41" t="str">
        <f t="shared" si="224"/>
        <v>PBANOU</v>
      </c>
      <c r="B2062" s="43">
        <v>45934</v>
      </c>
      <c r="C2062" s="10" t="s">
        <v>2104</v>
      </c>
      <c r="D2062" s="10" t="s">
        <v>21</v>
      </c>
      <c r="E2062" s="10" t="s">
        <v>2</v>
      </c>
      <c r="F2062" s="10" t="s">
        <v>54</v>
      </c>
      <c r="G2062" s="10" t="s">
        <v>38</v>
      </c>
      <c r="H2062" s="10" t="s">
        <v>16</v>
      </c>
      <c r="I2062" s="45">
        <v>3763</v>
      </c>
      <c r="J2062" s="11">
        <v>0.44600000000000001</v>
      </c>
      <c r="K2062" s="45">
        <f t="shared" si="225"/>
        <v>2084.7020000000002</v>
      </c>
      <c r="L2062" s="10">
        <v>15</v>
      </c>
      <c r="M2062" s="10">
        <v>3.7</v>
      </c>
      <c r="N2062" s="10" t="b">
        <v>0</v>
      </c>
      <c r="O2062" s="41"/>
      <c r="P2062" s="45">
        <f t="shared" si="226"/>
        <v>875.57484000000011</v>
      </c>
      <c r="Q2062" s="45">
        <f t="shared" si="227"/>
        <v>1209.12716</v>
      </c>
      <c r="R2062" s="45">
        <v>0</v>
      </c>
      <c r="S2062" s="45">
        <f t="shared" si="228"/>
        <v>0</v>
      </c>
      <c r="T2062" s="45">
        <f t="shared" si="229"/>
        <v>0</v>
      </c>
      <c r="U2062" s="47">
        <f t="shared" si="230"/>
        <v>1209.12716</v>
      </c>
    </row>
    <row r="2063" spans="1:21" x14ac:dyDescent="0.3">
      <c r="A2063" s="41" t="str">
        <f t="shared" si="224"/>
        <v>PMANAC</v>
      </c>
      <c r="B2063" s="43">
        <v>45934</v>
      </c>
      <c r="C2063" s="10" t="s">
        <v>2105</v>
      </c>
      <c r="D2063" s="10" t="s">
        <v>31</v>
      </c>
      <c r="E2063" s="10" t="s">
        <v>15</v>
      </c>
      <c r="F2063" s="10" t="s">
        <v>23</v>
      </c>
      <c r="G2063" s="10" t="s">
        <v>7</v>
      </c>
      <c r="H2063" s="10" t="s">
        <v>47</v>
      </c>
      <c r="I2063" s="45">
        <v>375</v>
      </c>
      <c r="J2063" s="11">
        <v>0</v>
      </c>
      <c r="K2063" s="45">
        <f t="shared" si="225"/>
        <v>375</v>
      </c>
      <c r="L2063" s="10">
        <v>38</v>
      </c>
      <c r="M2063" s="10">
        <v>1.4</v>
      </c>
      <c r="N2063" s="10" t="b">
        <v>1</v>
      </c>
      <c r="O2063" s="41" t="s">
        <v>33</v>
      </c>
      <c r="P2063" s="45">
        <f t="shared" si="226"/>
        <v>157.5</v>
      </c>
      <c r="Q2063" s="45">
        <f t="shared" si="227"/>
        <v>217.5</v>
      </c>
      <c r="R2063" s="45">
        <v>150</v>
      </c>
      <c r="S2063" s="45">
        <f t="shared" si="228"/>
        <v>37.5</v>
      </c>
      <c r="T2063" s="45">
        <f t="shared" si="229"/>
        <v>375</v>
      </c>
      <c r="U2063" s="47">
        <f t="shared" si="230"/>
        <v>-345</v>
      </c>
    </row>
    <row r="2064" spans="1:21" x14ac:dyDescent="0.3">
      <c r="A2064" s="41" t="str">
        <f t="shared" si="224"/>
        <v>PH&amp;MAC</v>
      </c>
      <c r="B2064" s="43">
        <v>45934</v>
      </c>
      <c r="C2064" s="10" t="s">
        <v>2106</v>
      </c>
      <c r="D2064" s="10" t="s">
        <v>37</v>
      </c>
      <c r="E2064" s="10" t="s">
        <v>15</v>
      </c>
      <c r="F2064" s="10" t="s">
        <v>23</v>
      </c>
      <c r="G2064" s="10" t="s">
        <v>7</v>
      </c>
      <c r="H2064" s="10" t="s">
        <v>47</v>
      </c>
      <c r="I2064" s="45">
        <v>318</v>
      </c>
      <c r="J2064" s="11">
        <v>0</v>
      </c>
      <c r="K2064" s="45">
        <f t="shared" si="225"/>
        <v>318</v>
      </c>
      <c r="L2064" s="10">
        <v>15</v>
      </c>
      <c r="M2064" s="10">
        <v>3.8</v>
      </c>
      <c r="N2064" s="10" t="b">
        <v>1</v>
      </c>
      <c r="O2064" s="41" t="s">
        <v>33</v>
      </c>
      <c r="P2064" s="45">
        <f t="shared" si="226"/>
        <v>133.56</v>
      </c>
      <c r="Q2064" s="45">
        <f t="shared" si="227"/>
        <v>184.44</v>
      </c>
      <c r="R2064" s="45">
        <v>150</v>
      </c>
      <c r="S2064" s="45">
        <f t="shared" si="228"/>
        <v>31.8</v>
      </c>
      <c r="T2064" s="45">
        <f t="shared" si="229"/>
        <v>318</v>
      </c>
      <c r="U2064" s="47">
        <f t="shared" si="230"/>
        <v>-315.36</v>
      </c>
    </row>
    <row r="2065" spans="1:21" x14ac:dyDescent="0.3">
      <c r="A2065" s="41" t="str">
        <f t="shared" si="224"/>
        <v>PUNISH</v>
      </c>
      <c r="B2065" s="43">
        <v>45935</v>
      </c>
      <c r="C2065" s="10" t="s">
        <v>2107</v>
      </c>
      <c r="D2065" s="10" t="s">
        <v>10</v>
      </c>
      <c r="E2065" s="10" t="s">
        <v>18</v>
      </c>
      <c r="F2065" s="10" t="s">
        <v>4</v>
      </c>
      <c r="G2065" s="10" t="s">
        <v>12</v>
      </c>
      <c r="H2065" s="10" t="s">
        <v>88</v>
      </c>
      <c r="I2065" s="45">
        <v>3560</v>
      </c>
      <c r="J2065" s="11">
        <v>0</v>
      </c>
      <c r="K2065" s="45">
        <f t="shared" si="225"/>
        <v>3560</v>
      </c>
      <c r="L2065" s="10">
        <v>24</v>
      </c>
      <c r="M2065" s="10"/>
      <c r="N2065" s="10" t="b">
        <v>0</v>
      </c>
      <c r="O2065" s="41"/>
      <c r="P2065" s="45">
        <f t="shared" si="226"/>
        <v>1495.2</v>
      </c>
      <c r="Q2065" s="45">
        <f t="shared" si="227"/>
        <v>2064.8000000000002</v>
      </c>
      <c r="R2065" s="45">
        <v>0</v>
      </c>
      <c r="S2065" s="45">
        <f t="shared" si="228"/>
        <v>0</v>
      </c>
      <c r="T2065" s="45">
        <f t="shared" si="229"/>
        <v>0</v>
      </c>
      <c r="U2065" s="47">
        <f t="shared" si="230"/>
        <v>2064.8000000000002</v>
      </c>
    </row>
    <row r="2066" spans="1:21" x14ac:dyDescent="0.3">
      <c r="A2066" s="41" t="str">
        <f t="shared" si="224"/>
        <v>PFORTO</v>
      </c>
      <c r="B2066" s="43">
        <v>45935</v>
      </c>
      <c r="C2066" s="10" t="s">
        <v>2108</v>
      </c>
      <c r="D2066" s="10" t="s">
        <v>65</v>
      </c>
      <c r="E2066" s="10" t="s">
        <v>9</v>
      </c>
      <c r="F2066" s="10" t="s">
        <v>4</v>
      </c>
      <c r="G2066" s="10" t="s">
        <v>46</v>
      </c>
      <c r="H2066" s="10" t="s">
        <v>13</v>
      </c>
      <c r="I2066" s="45">
        <v>1515</v>
      </c>
      <c r="J2066" s="11">
        <v>0</v>
      </c>
      <c r="K2066" s="45">
        <f t="shared" si="225"/>
        <v>1515</v>
      </c>
      <c r="L2066" s="10">
        <v>25</v>
      </c>
      <c r="M2066" s="10">
        <v>1.3</v>
      </c>
      <c r="N2066" s="10" t="b">
        <v>1</v>
      </c>
      <c r="O2066" s="41" t="s">
        <v>33</v>
      </c>
      <c r="P2066" s="45">
        <f t="shared" si="226"/>
        <v>636.29999999999995</v>
      </c>
      <c r="Q2066" s="45">
        <f t="shared" si="227"/>
        <v>878.7</v>
      </c>
      <c r="R2066" s="45">
        <v>150</v>
      </c>
      <c r="S2066" s="45">
        <f t="shared" si="228"/>
        <v>151.5</v>
      </c>
      <c r="T2066" s="45">
        <f t="shared" si="229"/>
        <v>1515</v>
      </c>
      <c r="U2066" s="47">
        <f t="shared" si="230"/>
        <v>-937.8</v>
      </c>
    </row>
    <row r="2067" spans="1:21" x14ac:dyDescent="0.3">
      <c r="A2067" s="41" t="str">
        <f t="shared" si="224"/>
        <v>PZARBO</v>
      </c>
      <c r="B2067" s="43">
        <v>45935</v>
      </c>
      <c r="C2067" s="10" t="s">
        <v>2109</v>
      </c>
      <c r="D2067" s="10" t="s">
        <v>3</v>
      </c>
      <c r="E2067" s="10" t="s">
        <v>26</v>
      </c>
      <c r="F2067" s="10" t="s">
        <v>11</v>
      </c>
      <c r="G2067" s="10" t="s">
        <v>5</v>
      </c>
      <c r="H2067" s="10" t="s">
        <v>13</v>
      </c>
      <c r="I2067" s="45">
        <v>2811</v>
      </c>
      <c r="J2067" s="11">
        <v>0</v>
      </c>
      <c r="K2067" s="45">
        <f t="shared" si="225"/>
        <v>2811</v>
      </c>
      <c r="L2067" s="10">
        <v>49</v>
      </c>
      <c r="M2067" s="10"/>
      <c r="N2067" s="10" t="b">
        <v>0</v>
      </c>
      <c r="O2067" s="41"/>
      <c r="P2067" s="45">
        <f t="shared" si="226"/>
        <v>1180.6199999999999</v>
      </c>
      <c r="Q2067" s="45">
        <f t="shared" si="227"/>
        <v>1630.38</v>
      </c>
      <c r="R2067" s="45">
        <v>0</v>
      </c>
      <c r="S2067" s="45">
        <f t="shared" si="228"/>
        <v>0</v>
      </c>
      <c r="T2067" s="45">
        <f t="shared" si="229"/>
        <v>0</v>
      </c>
      <c r="U2067" s="47">
        <f t="shared" si="230"/>
        <v>1630.38</v>
      </c>
    </row>
    <row r="2068" spans="1:21" x14ac:dyDescent="0.3">
      <c r="A2068" s="41" t="str">
        <f t="shared" si="224"/>
        <v>PH&amp;MBO</v>
      </c>
      <c r="B2068" s="43">
        <v>45936</v>
      </c>
      <c r="C2068" s="10" t="s">
        <v>2110</v>
      </c>
      <c r="D2068" s="10" t="s">
        <v>37</v>
      </c>
      <c r="E2068" s="10" t="s">
        <v>26</v>
      </c>
      <c r="F2068" s="10" t="s">
        <v>4</v>
      </c>
      <c r="G2068" s="10" t="s">
        <v>27</v>
      </c>
      <c r="H2068" s="10" t="s">
        <v>58</v>
      </c>
      <c r="I2068" s="45">
        <v>2751</v>
      </c>
      <c r="J2068" s="11">
        <v>0</v>
      </c>
      <c r="K2068" s="45">
        <f t="shared" si="225"/>
        <v>2751</v>
      </c>
      <c r="L2068" s="10">
        <v>9</v>
      </c>
      <c r="M2068" s="10">
        <v>3.1</v>
      </c>
      <c r="N2068" s="10" t="b">
        <v>0</v>
      </c>
      <c r="O2068" s="41"/>
      <c r="P2068" s="45">
        <f t="shared" si="226"/>
        <v>1155.4199999999998</v>
      </c>
      <c r="Q2068" s="45">
        <f t="shared" si="227"/>
        <v>1595.5800000000002</v>
      </c>
      <c r="R2068" s="45">
        <v>0</v>
      </c>
      <c r="S2068" s="45">
        <f t="shared" si="228"/>
        <v>0</v>
      </c>
      <c r="T2068" s="45">
        <f t="shared" si="229"/>
        <v>0</v>
      </c>
      <c r="U2068" s="47">
        <f t="shared" si="230"/>
        <v>1595.5800000000002</v>
      </c>
    </row>
    <row r="2069" spans="1:21" x14ac:dyDescent="0.3">
      <c r="A2069" s="41" t="str">
        <f t="shared" si="224"/>
        <v>PH&amp;MTO</v>
      </c>
      <c r="B2069" s="43">
        <v>45936</v>
      </c>
      <c r="C2069" s="10" t="s">
        <v>2111</v>
      </c>
      <c r="D2069" s="10" t="s">
        <v>37</v>
      </c>
      <c r="E2069" s="10" t="s">
        <v>9</v>
      </c>
      <c r="F2069" s="10" t="s">
        <v>11</v>
      </c>
      <c r="G2069" s="10" t="s">
        <v>5</v>
      </c>
      <c r="H2069" s="10" t="s">
        <v>13</v>
      </c>
      <c r="I2069" s="45">
        <v>1598</v>
      </c>
      <c r="J2069" s="11">
        <v>0.31</v>
      </c>
      <c r="K2069" s="45">
        <f t="shared" si="225"/>
        <v>1102.6199999999999</v>
      </c>
      <c r="L2069" s="10">
        <v>25</v>
      </c>
      <c r="M2069" s="10"/>
      <c r="N2069" s="10" t="b">
        <v>0</v>
      </c>
      <c r="O2069" s="41"/>
      <c r="P2069" s="45">
        <f t="shared" si="226"/>
        <v>463.10039999999992</v>
      </c>
      <c r="Q2069" s="45">
        <f t="shared" si="227"/>
        <v>639.51959999999997</v>
      </c>
      <c r="R2069" s="45">
        <v>0</v>
      </c>
      <c r="S2069" s="45">
        <f t="shared" si="228"/>
        <v>0</v>
      </c>
      <c r="T2069" s="45">
        <f t="shared" si="229"/>
        <v>0</v>
      </c>
      <c r="U2069" s="47">
        <f t="shared" si="230"/>
        <v>639.51959999999997</v>
      </c>
    </row>
    <row r="2070" spans="1:21" x14ac:dyDescent="0.3">
      <c r="A2070" s="41" t="str">
        <f t="shared" si="224"/>
        <v>PFORAC</v>
      </c>
      <c r="B2070" s="43">
        <v>45936</v>
      </c>
      <c r="C2070" s="10" t="s">
        <v>2112</v>
      </c>
      <c r="D2070" s="10" t="s">
        <v>65</v>
      </c>
      <c r="E2070" s="10" t="s">
        <v>15</v>
      </c>
      <c r="F2070" s="10" t="s">
        <v>54</v>
      </c>
      <c r="G2070" s="10" t="s">
        <v>7</v>
      </c>
      <c r="H2070" s="10" t="s">
        <v>88</v>
      </c>
      <c r="I2070" s="45">
        <v>480</v>
      </c>
      <c r="J2070" s="11">
        <v>0</v>
      </c>
      <c r="K2070" s="45">
        <f t="shared" si="225"/>
        <v>480</v>
      </c>
      <c r="L2070" s="10">
        <v>27</v>
      </c>
      <c r="M2070" s="10">
        <v>4.8</v>
      </c>
      <c r="N2070" s="10" t="b">
        <v>1</v>
      </c>
      <c r="O2070" s="41" t="s">
        <v>33</v>
      </c>
      <c r="P2070" s="45">
        <f t="shared" si="226"/>
        <v>201.6</v>
      </c>
      <c r="Q2070" s="45">
        <f t="shared" si="227"/>
        <v>278.39999999999998</v>
      </c>
      <c r="R2070" s="45">
        <v>150</v>
      </c>
      <c r="S2070" s="45">
        <f t="shared" si="228"/>
        <v>48</v>
      </c>
      <c r="T2070" s="45">
        <f t="shared" si="229"/>
        <v>480</v>
      </c>
      <c r="U2070" s="47">
        <f t="shared" si="230"/>
        <v>-399.6</v>
      </c>
    </row>
    <row r="2071" spans="1:21" x14ac:dyDescent="0.3">
      <c r="A2071" s="41" t="str">
        <f t="shared" si="224"/>
        <v>PH&amp;MSH</v>
      </c>
      <c r="B2071" s="43">
        <v>45936</v>
      </c>
      <c r="C2071" s="10" t="s">
        <v>2113</v>
      </c>
      <c r="D2071" s="10" t="s">
        <v>37</v>
      </c>
      <c r="E2071" s="10" t="s">
        <v>18</v>
      </c>
      <c r="F2071" s="10" t="s">
        <v>4</v>
      </c>
      <c r="G2071" s="10" t="s">
        <v>38</v>
      </c>
      <c r="H2071" s="10" t="s">
        <v>28</v>
      </c>
      <c r="I2071" s="45">
        <v>4170</v>
      </c>
      <c r="J2071" s="11">
        <v>0.11199999999999999</v>
      </c>
      <c r="K2071" s="45">
        <f t="shared" si="225"/>
        <v>3702.96</v>
      </c>
      <c r="L2071" s="10">
        <v>23</v>
      </c>
      <c r="M2071" s="10"/>
      <c r="N2071" s="10" t="b">
        <v>0</v>
      </c>
      <c r="O2071" s="41"/>
      <c r="P2071" s="45">
        <f t="shared" si="226"/>
        <v>1555.2431999999999</v>
      </c>
      <c r="Q2071" s="45">
        <f t="shared" si="227"/>
        <v>2147.7168000000001</v>
      </c>
      <c r="R2071" s="45">
        <v>0</v>
      </c>
      <c r="S2071" s="45">
        <f t="shared" si="228"/>
        <v>0</v>
      </c>
      <c r="T2071" s="45">
        <f t="shared" si="229"/>
        <v>0</v>
      </c>
      <c r="U2071" s="47">
        <f t="shared" si="230"/>
        <v>2147.7168000000001</v>
      </c>
    </row>
    <row r="2072" spans="1:21" x14ac:dyDescent="0.3">
      <c r="A2072" s="41" t="str">
        <f t="shared" si="224"/>
        <v>PMANDR</v>
      </c>
      <c r="B2072" s="43">
        <v>45937</v>
      </c>
      <c r="C2072" s="10" t="s">
        <v>2114</v>
      </c>
      <c r="D2072" s="10" t="s">
        <v>31</v>
      </c>
      <c r="E2072" s="10" t="s">
        <v>30</v>
      </c>
      <c r="F2072" s="10" t="s">
        <v>4</v>
      </c>
      <c r="G2072" s="10" t="s">
        <v>5</v>
      </c>
      <c r="H2072" s="10" t="s">
        <v>13</v>
      </c>
      <c r="I2072" s="45">
        <v>1930</v>
      </c>
      <c r="J2072" s="11">
        <v>0.17</v>
      </c>
      <c r="K2072" s="45">
        <f t="shared" si="225"/>
        <v>1601.8999999999999</v>
      </c>
      <c r="L2072" s="10">
        <v>5</v>
      </c>
      <c r="M2072" s="10">
        <v>1.9</v>
      </c>
      <c r="N2072" s="10" t="b">
        <v>0</v>
      </c>
      <c r="O2072" s="41"/>
      <c r="P2072" s="45">
        <f t="shared" si="226"/>
        <v>672.79799999999989</v>
      </c>
      <c r="Q2072" s="45">
        <f t="shared" si="227"/>
        <v>929.10199999999998</v>
      </c>
      <c r="R2072" s="45">
        <v>0</v>
      </c>
      <c r="S2072" s="45">
        <f t="shared" si="228"/>
        <v>0</v>
      </c>
      <c r="T2072" s="45">
        <f t="shared" si="229"/>
        <v>0</v>
      </c>
      <c r="U2072" s="47">
        <f t="shared" si="230"/>
        <v>929.10199999999998</v>
      </c>
    </row>
    <row r="2073" spans="1:21" x14ac:dyDescent="0.3">
      <c r="A2073" s="41" t="str">
        <f t="shared" si="224"/>
        <v>PUNIAC</v>
      </c>
      <c r="B2073" s="43">
        <v>45937</v>
      </c>
      <c r="C2073" s="10" t="s">
        <v>2115</v>
      </c>
      <c r="D2073" s="10" t="s">
        <v>10</v>
      </c>
      <c r="E2073" s="10" t="s">
        <v>15</v>
      </c>
      <c r="F2073" s="10" t="s">
        <v>54</v>
      </c>
      <c r="G2073" s="10" t="s">
        <v>7</v>
      </c>
      <c r="H2073" s="10" t="s">
        <v>13</v>
      </c>
      <c r="I2073" s="45">
        <v>246</v>
      </c>
      <c r="J2073" s="11">
        <v>0</v>
      </c>
      <c r="K2073" s="45">
        <f t="shared" si="225"/>
        <v>246</v>
      </c>
      <c r="L2073" s="10">
        <v>0</v>
      </c>
      <c r="M2073" s="10">
        <v>3.1</v>
      </c>
      <c r="N2073" s="10" t="b">
        <v>0</v>
      </c>
      <c r="O2073" s="41"/>
      <c r="P2073" s="45">
        <f t="shared" si="226"/>
        <v>103.32</v>
      </c>
      <c r="Q2073" s="45">
        <f t="shared" si="227"/>
        <v>142.68</v>
      </c>
      <c r="R2073" s="45">
        <v>0</v>
      </c>
      <c r="S2073" s="45">
        <f t="shared" si="228"/>
        <v>0</v>
      </c>
      <c r="T2073" s="45">
        <f t="shared" si="229"/>
        <v>0</v>
      </c>
      <c r="U2073" s="47">
        <f t="shared" si="230"/>
        <v>142.68</v>
      </c>
    </row>
    <row r="2074" spans="1:21" x14ac:dyDescent="0.3">
      <c r="A2074" s="41" t="str">
        <f t="shared" si="224"/>
        <v>PUNIBO</v>
      </c>
      <c r="B2074" s="43">
        <v>45937</v>
      </c>
      <c r="C2074" s="10" t="s">
        <v>2116</v>
      </c>
      <c r="D2074" s="10" t="s">
        <v>10</v>
      </c>
      <c r="E2074" s="10" t="s">
        <v>26</v>
      </c>
      <c r="F2074" s="10" t="s">
        <v>11</v>
      </c>
      <c r="G2074" s="10" t="s">
        <v>49</v>
      </c>
      <c r="H2074" s="10" t="s">
        <v>16</v>
      </c>
      <c r="I2074" s="45">
        <v>2619</v>
      </c>
      <c r="J2074" s="11">
        <v>0</v>
      </c>
      <c r="K2074" s="45">
        <f t="shared" si="225"/>
        <v>2619</v>
      </c>
      <c r="L2074" s="10">
        <v>37</v>
      </c>
      <c r="M2074" s="10">
        <v>1.3</v>
      </c>
      <c r="N2074" s="10" t="b">
        <v>0</v>
      </c>
      <c r="O2074" s="41"/>
      <c r="P2074" s="45">
        <f t="shared" si="226"/>
        <v>1099.98</v>
      </c>
      <c r="Q2074" s="45">
        <f t="shared" si="227"/>
        <v>1519.02</v>
      </c>
      <c r="R2074" s="45">
        <v>0</v>
      </c>
      <c r="S2074" s="45">
        <f t="shared" si="228"/>
        <v>0</v>
      </c>
      <c r="T2074" s="45">
        <f t="shared" si="229"/>
        <v>0</v>
      </c>
      <c r="U2074" s="47">
        <f t="shared" si="230"/>
        <v>1519.02</v>
      </c>
    </row>
    <row r="2075" spans="1:21" x14ac:dyDescent="0.3">
      <c r="A2075" s="41" t="str">
        <f t="shared" si="224"/>
        <v>PFORAC</v>
      </c>
      <c r="B2075" s="43">
        <v>45937</v>
      </c>
      <c r="C2075" s="10" t="s">
        <v>2117</v>
      </c>
      <c r="D2075" s="10" t="s">
        <v>65</v>
      </c>
      <c r="E2075" s="10" t="s">
        <v>15</v>
      </c>
      <c r="F2075" s="10" t="s">
        <v>54</v>
      </c>
      <c r="G2075" s="10" t="s">
        <v>7</v>
      </c>
      <c r="H2075" s="10" t="s">
        <v>43</v>
      </c>
      <c r="I2075" s="45">
        <v>424</v>
      </c>
      <c r="J2075" s="11">
        <v>0</v>
      </c>
      <c r="K2075" s="45">
        <f t="shared" si="225"/>
        <v>424</v>
      </c>
      <c r="L2075" s="10">
        <v>21</v>
      </c>
      <c r="M2075" s="10">
        <v>1.6</v>
      </c>
      <c r="N2075" s="10" t="b">
        <v>0</v>
      </c>
      <c r="O2075" s="41"/>
      <c r="P2075" s="45">
        <f t="shared" si="226"/>
        <v>178.07999999999998</v>
      </c>
      <c r="Q2075" s="45">
        <f t="shared" si="227"/>
        <v>245.92000000000002</v>
      </c>
      <c r="R2075" s="45">
        <v>0</v>
      </c>
      <c r="S2075" s="45">
        <f t="shared" si="228"/>
        <v>0</v>
      </c>
      <c r="T2075" s="45">
        <f t="shared" si="229"/>
        <v>0</v>
      </c>
      <c r="U2075" s="47">
        <f t="shared" si="230"/>
        <v>245.92000000000002</v>
      </c>
    </row>
    <row r="2076" spans="1:21" x14ac:dyDescent="0.3">
      <c r="A2076" s="41" t="str">
        <f t="shared" si="224"/>
        <v>PH&amp;MTO</v>
      </c>
      <c r="B2076" s="43">
        <v>45938</v>
      </c>
      <c r="C2076" s="10" t="s">
        <v>2118</v>
      </c>
      <c r="D2076" s="10" t="s">
        <v>37</v>
      </c>
      <c r="E2076" s="10" t="s">
        <v>9</v>
      </c>
      <c r="F2076" s="10" t="s">
        <v>54</v>
      </c>
      <c r="G2076" s="10" t="s">
        <v>49</v>
      </c>
      <c r="H2076" s="10" t="s">
        <v>88</v>
      </c>
      <c r="I2076" s="45">
        <v>1663</v>
      </c>
      <c r="J2076" s="11">
        <v>0</v>
      </c>
      <c r="K2076" s="45">
        <f t="shared" si="225"/>
        <v>1663</v>
      </c>
      <c r="L2076" s="10">
        <v>18</v>
      </c>
      <c r="M2076" s="10">
        <v>1.6</v>
      </c>
      <c r="N2076" s="10" t="b">
        <v>1</v>
      </c>
      <c r="O2076" s="41" t="s">
        <v>44</v>
      </c>
      <c r="P2076" s="45">
        <f t="shared" si="226"/>
        <v>698.45999999999992</v>
      </c>
      <c r="Q2076" s="45">
        <f t="shared" si="227"/>
        <v>964.54000000000008</v>
      </c>
      <c r="R2076" s="45">
        <v>150</v>
      </c>
      <c r="S2076" s="45">
        <f t="shared" si="228"/>
        <v>166.3</v>
      </c>
      <c r="T2076" s="45">
        <f t="shared" si="229"/>
        <v>1663</v>
      </c>
      <c r="U2076" s="47">
        <f t="shared" si="230"/>
        <v>-1014.76</v>
      </c>
    </row>
    <row r="2077" spans="1:21" x14ac:dyDescent="0.3">
      <c r="A2077" s="41" t="str">
        <f t="shared" si="224"/>
        <v>PFOROU</v>
      </c>
      <c r="B2077" s="43">
        <v>45938</v>
      </c>
      <c r="C2077" s="10" t="s">
        <v>2119</v>
      </c>
      <c r="D2077" s="10" t="s">
        <v>65</v>
      </c>
      <c r="E2077" s="10" t="s">
        <v>2</v>
      </c>
      <c r="F2077" s="10" t="s">
        <v>23</v>
      </c>
      <c r="G2077" s="10" t="s">
        <v>27</v>
      </c>
      <c r="H2077" s="10" t="s">
        <v>28</v>
      </c>
      <c r="I2077" s="45">
        <v>4136</v>
      </c>
      <c r="J2077" s="11">
        <v>0</v>
      </c>
      <c r="K2077" s="45">
        <f t="shared" si="225"/>
        <v>4136</v>
      </c>
      <c r="L2077" s="10">
        <v>46</v>
      </c>
      <c r="M2077" s="10">
        <v>3.6</v>
      </c>
      <c r="N2077" s="10" t="b">
        <v>1</v>
      </c>
      <c r="O2077" s="41" t="s">
        <v>50</v>
      </c>
      <c r="P2077" s="45">
        <f t="shared" si="226"/>
        <v>1737.12</v>
      </c>
      <c r="Q2077" s="45">
        <f t="shared" si="227"/>
        <v>2398.88</v>
      </c>
      <c r="R2077" s="45">
        <v>150</v>
      </c>
      <c r="S2077" s="45">
        <f t="shared" si="228"/>
        <v>413.6</v>
      </c>
      <c r="T2077" s="45">
        <f t="shared" si="229"/>
        <v>4136</v>
      </c>
      <c r="U2077" s="47">
        <f t="shared" si="230"/>
        <v>-2300.7199999999998</v>
      </c>
    </row>
    <row r="2078" spans="1:21" x14ac:dyDescent="0.3">
      <c r="A2078" s="41" t="str">
        <f t="shared" si="224"/>
        <v>PANNOU</v>
      </c>
      <c r="B2078" s="43">
        <v>45938</v>
      </c>
      <c r="C2078" s="10" t="s">
        <v>2120</v>
      </c>
      <c r="D2078" s="10" t="s">
        <v>42</v>
      </c>
      <c r="E2078" s="10" t="s">
        <v>2</v>
      </c>
      <c r="F2078" s="10" t="s">
        <v>4</v>
      </c>
      <c r="G2078" s="10" t="s">
        <v>5</v>
      </c>
      <c r="H2078" s="10" t="s">
        <v>35</v>
      </c>
      <c r="I2078" s="45">
        <v>4199</v>
      </c>
      <c r="J2078" s="11">
        <v>0</v>
      </c>
      <c r="K2078" s="45">
        <f t="shared" si="225"/>
        <v>4199</v>
      </c>
      <c r="L2078" s="10">
        <v>5</v>
      </c>
      <c r="M2078" s="10"/>
      <c r="N2078" s="10" t="b">
        <v>0</v>
      </c>
      <c r="O2078" s="41"/>
      <c r="P2078" s="45">
        <f t="shared" si="226"/>
        <v>1763.58</v>
      </c>
      <c r="Q2078" s="45">
        <f t="shared" si="227"/>
        <v>2435.42</v>
      </c>
      <c r="R2078" s="45">
        <v>0</v>
      </c>
      <c r="S2078" s="45">
        <f t="shared" si="228"/>
        <v>0</v>
      </c>
      <c r="T2078" s="45">
        <f t="shared" si="229"/>
        <v>0</v>
      </c>
      <c r="U2078" s="47">
        <f t="shared" si="230"/>
        <v>2435.42</v>
      </c>
    </row>
    <row r="2079" spans="1:21" x14ac:dyDescent="0.3">
      <c r="A2079" s="41" t="str">
        <f t="shared" si="224"/>
        <v>PUNISH</v>
      </c>
      <c r="B2079" s="43">
        <v>45938</v>
      </c>
      <c r="C2079" s="10" t="s">
        <v>2121</v>
      </c>
      <c r="D2079" s="10" t="s">
        <v>10</v>
      </c>
      <c r="E2079" s="10" t="s">
        <v>18</v>
      </c>
      <c r="F2079" s="10" t="s">
        <v>54</v>
      </c>
      <c r="G2079" s="10" t="s">
        <v>5</v>
      </c>
      <c r="H2079" s="10" t="s">
        <v>16</v>
      </c>
      <c r="I2079" s="45">
        <v>3075</v>
      </c>
      <c r="J2079" s="11">
        <v>0</v>
      </c>
      <c r="K2079" s="45">
        <f t="shared" si="225"/>
        <v>3075</v>
      </c>
      <c r="L2079" s="10">
        <v>13</v>
      </c>
      <c r="M2079" s="10"/>
      <c r="N2079" s="10" t="b">
        <v>1</v>
      </c>
      <c r="O2079" s="41" t="s">
        <v>80</v>
      </c>
      <c r="P2079" s="45">
        <f t="shared" si="226"/>
        <v>1291.5</v>
      </c>
      <c r="Q2079" s="45">
        <f t="shared" si="227"/>
        <v>1783.5</v>
      </c>
      <c r="R2079" s="45">
        <v>150</v>
      </c>
      <c r="S2079" s="45">
        <f t="shared" si="228"/>
        <v>307.5</v>
      </c>
      <c r="T2079" s="45">
        <f t="shared" si="229"/>
        <v>3075</v>
      </c>
      <c r="U2079" s="47">
        <f t="shared" si="230"/>
        <v>-1749</v>
      </c>
    </row>
    <row r="2080" spans="1:21" x14ac:dyDescent="0.3">
      <c r="A2080" s="41" t="str">
        <f t="shared" si="224"/>
        <v>PGAPSH</v>
      </c>
      <c r="B2080" s="43">
        <v>45939</v>
      </c>
      <c r="C2080" s="10" t="s">
        <v>2122</v>
      </c>
      <c r="D2080" s="10" t="s">
        <v>53</v>
      </c>
      <c r="E2080" s="10" t="s">
        <v>18</v>
      </c>
      <c r="F2080" s="10" t="s">
        <v>11</v>
      </c>
      <c r="G2080" s="10" t="s">
        <v>38</v>
      </c>
      <c r="H2080" s="10" t="s">
        <v>43</v>
      </c>
      <c r="I2080" s="45">
        <v>3053</v>
      </c>
      <c r="J2080" s="11">
        <v>0</v>
      </c>
      <c r="K2080" s="45">
        <f t="shared" si="225"/>
        <v>3053</v>
      </c>
      <c r="L2080" s="10">
        <v>47</v>
      </c>
      <c r="M2080" s="10">
        <v>3.5</v>
      </c>
      <c r="N2080" s="10" t="b">
        <v>0</v>
      </c>
      <c r="O2080" s="41"/>
      <c r="P2080" s="45">
        <f t="shared" si="226"/>
        <v>1282.26</v>
      </c>
      <c r="Q2080" s="45">
        <f t="shared" si="227"/>
        <v>1770.74</v>
      </c>
      <c r="R2080" s="45">
        <v>0</v>
      </c>
      <c r="S2080" s="45">
        <f t="shared" si="228"/>
        <v>0</v>
      </c>
      <c r="T2080" s="45">
        <f t="shared" si="229"/>
        <v>0</v>
      </c>
      <c r="U2080" s="47">
        <f t="shared" si="230"/>
        <v>1770.74</v>
      </c>
    </row>
    <row r="2081" spans="1:21" x14ac:dyDescent="0.3">
      <c r="A2081" s="41" t="str">
        <f t="shared" si="224"/>
        <v>PANNAC</v>
      </c>
      <c r="B2081" s="43">
        <v>45939</v>
      </c>
      <c r="C2081" s="10" t="s">
        <v>2123</v>
      </c>
      <c r="D2081" s="10" t="s">
        <v>42</v>
      </c>
      <c r="E2081" s="10" t="s">
        <v>15</v>
      </c>
      <c r="F2081" s="10" t="s">
        <v>4</v>
      </c>
      <c r="G2081" s="10" t="s">
        <v>7</v>
      </c>
      <c r="H2081" s="10" t="s">
        <v>7</v>
      </c>
      <c r="I2081" s="45">
        <v>327</v>
      </c>
      <c r="J2081" s="11">
        <v>0</v>
      </c>
      <c r="K2081" s="45">
        <f t="shared" si="225"/>
        <v>327</v>
      </c>
      <c r="L2081" s="10">
        <v>11</v>
      </c>
      <c r="M2081" s="10">
        <v>4.7</v>
      </c>
      <c r="N2081" s="10" t="b">
        <v>0</v>
      </c>
      <c r="O2081" s="41"/>
      <c r="P2081" s="45">
        <f t="shared" si="226"/>
        <v>137.34</v>
      </c>
      <c r="Q2081" s="45">
        <f t="shared" si="227"/>
        <v>189.66</v>
      </c>
      <c r="R2081" s="45">
        <v>0</v>
      </c>
      <c r="S2081" s="45">
        <f t="shared" si="228"/>
        <v>0</v>
      </c>
      <c r="T2081" s="45">
        <f t="shared" si="229"/>
        <v>0</v>
      </c>
      <c r="U2081" s="47">
        <f t="shared" si="230"/>
        <v>189.66</v>
      </c>
    </row>
    <row r="2082" spans="1:21" x14ac:dyDescent="0.3">
      <c r="A2082" s="41" t="str">
        <f t="shared" si="224"/>
        <v>PFORAC</v>
      </c>
      <c r="B2082" s="43">
        <v>45939</v>
      </c>
      <c r="C2082" s="10" t="s">
        <v>2124</v>
      </c>
      <c r="D2082" s="10" t="s">
        <v>65</v>
      </c>
      <c r="E2082" s="10" t="s">
        <v>15</v>
      </c>
      <c r="F2082" s="10" t="s">
        <v>11</v>
      </c>
      <c r="G2082" s="10" t="s">
        <v>7</v>
      </c>
      <c r="H2082" s="10" t="s">
        <v>13</v>
      </c>
      <c r="I2082" s="45">
        <v>310</v>
      </c>
      <c r="J2082" s="11">
        <v>0</v>
      </c>
      <c r="K2082" s="45">
        <f t="shared" si="225"/>
        <v>310</v>
      </c>
      <c r="L2082" s="10">
        <v>6</v>
      </c>
      <c r="M2082" s="10">
        <v>2.4</v>
      </c>
      <c r="N2082" s="10" t="b">
        <v>1</v>
      </c>
      <c r="O2082" s="41" t="s">
        <v>33</v>
      </c>
      <c r="P2082" s="45">
        <f t="shared" si="226"/>
        <v>130.19999999999999</v>
      </c>
      <c r="Q2082" s="45">
        <f t="shared" si="227"/>
        <v>179.8</v>
      </c>
      <c r="R2082" s="45">
        <v>150</v>
      </c>
      <c r="S2082" s="45">
        <f t="shared" si="228"/>
        <v>31</v>
      </c>
      <c r="T2082" s="45">
        <f t="shared" si="229"/>
        <v>310</v>
      </c>
      <c r="U2082" s="47">
        <f t="shared" si="230"/>
        <v>-311.2</v>
      </c>
    </row>
    <row r="2083" spans="1:21" x14ac:dyDescent="0.3">
      <c r="A2083" s="41" t="str">
        <f t="shared" si="224"/>
        <v>PZARBO</v>
      </c>
      <c r="B2083" s="43">
        <v>45939</v>
      </c>
      <c r="C2083" s="10" t="s">
        <v>2125</v>
      </c>
      <c r="D2083" s="10" t="s">
        <v>3</v>
      </c>
      <c r="E2083" s="10" t="s">
        <v>26</v>
      </c>
      <c r="F2083" s="10" t="s">
        <v>4</v>
      </c>
      <c r="G2083" s="10" t="s">
        <v>27</v>
      </c>
      <c r="H2083" s="10" t="s">
        <v>13</v>
      </c>
      <c r="I2083" s="45">
        <v>2359</v>
      </c>
      <c r="J2083" s="11">
        <v>0.36700000000000005</v>
      </c>
      <c r="K2083" s="45">
        <f t="shared" si="225"/>
        <v>1493.2470000000001</v>
      </c>
      <c r="L2083" s="10">
        <v>18</v>
      </c>
      <c r="M2083" s="10">
        <v>2.4</v>
      </c>
      <c r="N2083" s="10" t="b">
        <v>0</v>
      </c>
      <c r="O2083" s="41"/>
      <c r="P2083" s="45">
        <f t="shared" si="226"/>
        <v>627.16373999999996</v>
      </c>
      <c r="Q2083" s="45">
        <f t="shared" si="227"/>
        <v>866.08326000000011</v>
      </c>
      <c r="R2083" s="45">
        <v>0</v>
      </c>
      <c r="S2083" s="45">
        <f t="shared" si="228"/>
        <v>0</v>
      </c>
      <c r="T2083" s="45">
        <f t="shared" si="229"/>
        <v>0</v>
      </c>
      <c r="U2083" s="47">
        <f t="shared" si="230"/>
        <v>866.08326000000011</v>
      </c>
    </row>
    <row r="2084" spans="1:21" x14ac:dyDescent="0.3">
      <c r="A2084" s="41" t="str">
        <f t="shared" si="224"/>
        <v>PGAPSH</v>
      </c>
      <c r="B2084" s="43">
        <v>45940</v>
      </c>
      <c r="C2084" s="10" t="s">
        <v>2126</v>
      </c>
      <c r="D2084" s="10" t="s">
        <v>53</v>
      </c>
      <c r="E2084" s="10" t="s">
        <v>18</v>
      </c>
      <c r="F2084" s="10" t="s">
        <v>54</v>
      </c>
      <c r="G2084" s="10" t="s">
        <v>7</v>
      </c>
      <c r="H2084" s="10" t="s">
        <v>32</v>
      </c>
      <c r="I2084" s="45">
        <v>3867</v>
      </c>
      <c r="J2084" s="11">
        <v>0.58499999999999996</v>
      </c>
      <c r="K2084" s="45">
        <f t="shared" si="225"/>
        <v>1604.8050000000001</v>
      </c>
      <c r="L2084" s="10">
        <v>19</v>
      </c>
      <c r="M2084" s="10">
        <v>3.2</v>
      </c>
      <c r="N2084" s="10" t="b">
        <v>1</v>
      </c>
      <c r="O2084" s="41" t="s">
        <v>80</v>
      </c>
      <c r="P2084" s="45">
        <f t="shared" si="226"/>
        <v>674.0181</v>
      </c>
      <c r="Q2084" s="45">
        <f t="shared" si="227"/>
        <v>930.78690000000006</v>
      </c>
      <c r="R2084" s="45">
        <v>150</v>
      </c>
      <c r="S2084" s="45">
        <f t="shared" si="228"/>
        <v>160.48050000000001</v>
      </c>
      <c r="T2084" s="45">
        <f t="shared" si="229"/>
        <v>1604.8050000000001</v>
      </c>
      <c r="U2084" s="47">
        <f t="shared" si="230"/>
        <v>-984.49860000000001</v>
      </c>
    </row>
    <row r="2085" spans="1:21" x14ac:dyDescent="0.3">
      <c r="A2085" s="41" t="str">
        <f t="shared" si="224"/>
        <v>PGAPDR</v>
      </c>
      <c r="B2085" s="43">
        <v>45940</v>
      </c>
      <c r="C2085" s="10" t="s">
        <v>2127</v>
      </c>
      <c r="D2085" s="10" t="s">
        <v>53</v>
      </c>
      <c r="E2085" s="10" t="s">
        <v>30</v>
      </c>
      <c r="F2085" s="10" t="s">
        <v>54</v>
      </c>
      <c r="G2085" s="10" t="s">
        <v>27</v>
      </c>
      <c r="H2085" s="10" t="s">
        <v>6</v>
      </c>
      <c r="I2085" s="45">
        <v>1863</v>
      </c>
      <c r="J2085" s="11">
        <v>0.35299999999999998</v>
      </c>
      <c r="K2085" s="45">
        <f t="shared" si="225"/>
        <v>1205.3610000000001</v>
      </c>
      <c r="L2085" s="10">
        <v>12</v>
      </c>
      <c r="M2085" s="10">
        <v>2.6</v>
      </c>
      <c r="N2085" s="10" t="b">
        <v>0</v>
      </c>
      <c r="O2085" s="41"/>
      <c r="P2085" s="45">
        <f t="shared" si="226"/>
        <v>506.25162</v>
      </c>
      <c r="Q2085" s="45">
        <f t="shared" si="227"/>
        <v>699.1093800000001</v>
      </c>
      <c r="R2085" s="45">
        <v>0</v>
      </c>
      <c r="S2085" s="45">
        <f t="shared" si="228"/>
        <v>0</v>
      </c>
      <c r="T2085" s="45">
        <f t="shared" si="229"/>
        <v>0</v>
      </c>
      <c r="U2085" s="47">
        <f t="shared" si="230"/>
        <v>699.1093800000001</v>
      </c>
    </row>
    <row r="2086" spans="1:21" x14ac:dyDescent="0.3">
      <c r="A2086" s="41" t="str">
        <f t="shared" si="224"/>
        <v>PGAPOU</v>
      </c>
      <c r="B2086" s="43">
        <v>45940</v>
      </c>
      <c r="C2086" s="10" t="s">
        <v>2128</v>
      </c>
      <c r="D2086" s="10" t="s">
        <v>53</v>
      </c>
      <c r="E2086" s="10" t="s">
        <v>2</v>
      </c>
      <c r="F2086" s="10" t="s">
        <v>4</v>
      </c>
      <c r="G2086" s="10" t="s">
        <v>46</v>
      </c>
      <c r="H2086" s="10" t="s">
        <v>6</v>
      </c>
      <c r="I2086" s="45">
        <v>3847</v>
      </c>
      <c r="J2086" s="11">
        <v>0</v>
      </c>
      <c r="K2086" s="45">
        <f t="shared" si="225"/>
        <v>3847</v>
      </c>
      <c r="L2086" s="10">
        <v>30</v>
      </c>
      <c r="M2086" s="10">
        <v>2.7</v>
      </c>
      <c r="N2086" s="10" t="b">
        <v>0</v>
      </c>
      <c r="O2086" s="41"/>
      <c r="P2086" s="45">
        <f t="shared" si="226"/>
        <v>1615.74</v>
      </c>
      <c r="Q2086" s="45">
        <f t="shared" si="227"/>
        <v>2231.2600000000002</v>
      </c>
      <c r="R2086" s="45">
        <v>0</v>
      </c>
      <c r="S2086" s="45">
        <f t="shared" si="228"/>
        <v>0</v>
      </c>
      <c r="T2086" s="45">
        <f t="shared" si="229"/>
        <v>0</v>
      </c>
      <c r="U2086" s="47">
        <f t="shared" si="230"/>
        <v>2231.2600000000002</v>
      </c>
    </row>
    <row r="2087" spans="1:21" x14ac:dyDescent="0.3">
      <c r="A2087" s="41" t="str">
        <f t="shared" si="224"/>
        <v>PFORAC</v>
      </c>
      <c r="B2087" s="43">
        <v>45941</v>
      </c>
      <c r="C2087" s="10" t="s">
        <v>2129</v>
      </c>
      <c r="D2087" s="10" t="s">
        <v>65</v>
      </c>
      <c r="E2087" s="10" t="s">
        <v>15</v>
      </c>
      <c r="F2087" s="10" t="s">
        <v>54</v>
      </c>
      <c r="G2087" s="10" t="s">
        <v>7</v>
      </c>
      <c r="H2087" s="10" t="s">
        <v>56</v>
      </c>
      <c r="I2087" s="45">
        <v>284</v>
      </c>
      <c r="J2087" s="11">
        <v>0.47600000000000003</v>
      </c>
      <c r="K2087" s="45">
        <f t="shared" si="225"/>
        <v>148.816</v>
      </c>
      <c r="L2087" s="10">
        <v>42</v>
      </c>
      <c r="M2087" s="10">
        <v>2</v>
      </c>
      <c r="N2087" s="10" t="b">
        <v>0</v>
      </c>
      <c r="O2087" s="41"/>
      <c r="P2087" s="45">
        <f t="shared" si="226"/>
        <v>62.502719999999997</v>
      </c>
      <c r="Q2087" s="45">
        <f t="shared" si="227"/>
        <v>86.313280000000006</v>
      </c>
      <c r="R2087" s="45">
        <v>0</v>
      </c>
      <c r="S2087" s="45">
        <f t="shared" si="228"/>
        <v>0</v>
      </c>
      <c r="T2087" s="45">
        <f t="shared" si="229"/>
        <v>0</v>
      </c>
      <c r="U2087" s="47">
        <f t="shared" si="230"/>
        <v>86.313280000000006</v>
      </c>
    </row>
    <row r="2088" spans="1:21" x14ac:dyDescent="0.3">
      <c r="A2088" s="41" t="str">
        <f t="shared" si="224"/>
        <v>PMANSH</v>
      </c>
      <c r="B2088" s="43">
        <v>45941</v>
      </c>
      <c r="C2088" s="10" t="s">
        <v>2130</v>
      </c>
      <c r="D2088" s="10" t="s">
        <v>31</v>
      </c>
      <c r="E2088" s="10" t="s">
        <v>18</v>
      </c>
      <c r="F2088" s="10" t="s">
        <v>11</v>
      </c>
      <c r="G2088" s="10" t="s">
        <v>49</v>
      </c>
      <c r="H2088" s="10" t="s">
        <v>16</v>
      </c>
      <c r="I2088" s="45">
        <v>4098</v>
      </c>
      <c r="J2088" s="11">
        <v>0</v>
      </c>
      <c r="K2088" s="45">
        <f t="shared" si="225"/>
        <v>4098</v>
      </c>
      <c r="L2088" s="10">
        <v>27</v>
      </c>
      <c r="M2088" s="10"/>
      <c r="N2088" s="10" t="b">
        <v>0</v>
      </c>
      <c r="O2088" s="41"/>
      <c r="P2088" s="45">
        <f t="shared" si="226"/>
        <v>1721.1599999999999</v>
      </c>
      <c r="Q2088" s="45">
        <f t="shared" si="227"/>
        <v>2376.84</v>
      </c>
      <c r="R2088" s="45">
        <v>0</v>
      </c>
      <c r="S2088" s="45">
        <f t="shared" si="228"/>
        <v>0</v>
      </c>
      <c r="T2088" s="45">
        <f t="shared" si="229"/>
        <v>0</v>
      </c>
      <c r="U2088" s="47">
        <f t="shared" si="230"/>
        <v>2376.84</v>
      </c>
    </row>
    <row r="2089" spans="1:21" x14ac:dyDescent="0.3">
      <c r="A2089" s="41" t="str">
        <f t="shared" si="224"/>
        <v>PH&amp;MBO</v>
      </c>
      <c r="B2089" s="43">
        <v>45941</v>
      </c>
      <c r="C2089" s="10" t="s">
        <v>2131</v>
      </c>
      <c r="D2089" s="10" t="s">
        <v>37</v>
      </c>
      <c r="E2089" s="10" t="s">
        <v>26</v>
      </c>
      <c r="F2089" s="10" t="s">
        <v>23</v>
      </c>
      <c r="G2089" s="10" t="s">
        <v>27</v>
      </c>
      <c r="H2089" s="10" t="s">
        <v>32</v>
      </c>
      <c r="I2089" s="45">
        <v>2870</v>
      </c>
      <c r="J2089" s="11">
        <v>0</v>
      </c>
      <c r="K2089" s="45">
        <f t="shared" si="225"/>
        <v>2870</v>
      </c>
      <c r="L2089" s="10">
        <v>32</v>
      </c>
      <c r="M2089" s="10">
        <v>3.1</v>
      </c>
      <c r="N2089" s="10" t="b">
        <v>0</v>
      </c>
      <c r="O2089" s="41"/>
      <c r="P2089" s="45">
        <f t="shared" si="226"/>
        <v>1205.3999999999999</v>
      </c>
      <c r="Q2089" s="45">
        <f t="shared" si="227"/>
        <v>1664.6000000000001</v>
      </c>
      <c r="R2089" s="45">
        <v>0</v>
      </c>
      <c r="S2089" s="45">
        <f t="shared" si="228"/>
        <v>0</v>
      </c>
      <c r="T2089" s="45">
        <f t="shared" si="229"/>
        <v>0</v>
      </c>
      <c r="U2089" s="47">
        <f t="shared" si="230"/>
        <v>1664.6000000000001</v>
      </c>
    </row>
    <row r="2090" spans="1:21" x14ac:dyDescent="0.3">
      <c r="A2090" s="41" t="str">
        <f t="shared" si="224"/>
        <v>PFORDR</v>
      </c>
      <c r="B2090" s="43">
        <v>45941</v>
      </c>
      <c r="C2090" s="10" t="s">
        <v>2132</v>
      </c>
      <c r="D2090" s="10" t="s">
        <v>65</v>
      </c>
      <c r="E2090" s="10" t="s">
        <v>30</v>
      </c>
      <c r="F2090" s="10" t="s">
        <v>11</v>
      </c>
      <c r="G2090" s="10" t="s">
        <v>46</v>
      </c>
      <c r="H2090" s="10" t="s">
        <v>13</v>
      </c>
      <c r="I2090" s="45">
        <v>2787</v>
      </c>
      <c r="J2090" s="11">
        <v>0</v>
      </c>
      <c r="K2090" s="45">
        <f t="shared" si="225"/>
        <v>2787</v>
      </c>
      <c r="L2090" s="10">
        <v>7</v>
      </c>
      <c r="M2090" s="10">
        <v>4.5</v>
      </c>
      <c r="N2090" s="10" t="b">
        <v>1</v>
      </c>
      <c r="O2090" s="41" t="s">
        <v>44</v>
      </c>
      <c r="P2090" s="45">
        <f t="shared" si="226"/>
        <v>1170.54</v>
      </c>
      <c r="Q2090" s="45">
        <f t="shared" si="227"/>
        <v>1616.46</v>
      </c>
      <c r="R2090" s="45">
        <v>150</v>
      </c>
      <c r="S2090" s="45">
        <f t="shared" si="228"/>
        <v>278.7</v>
      </c>
      <c r="T2090" s="45">
        <f t="shared" si="229"/>
        <v>2787</v>
      </c>
      <c r="U2090" s="47">
        <f t="shared" si="230"/>
        <v>-1599.24</v>
      </c>
    </row>
    <row r="2091" spans="1:21" x14ac:dyDescent="0.3">
      <c r="A2091" s="41" t="str">
        <f t="shared" si="224"/>
        <v>PGAPOU</v>
      </c>
      <c r="B2091" s="43">
        <v>45942</v>
      </c>
      <c r="C2091" s="10" t="s">
        <v>2133</v>
      </c>
      <c r="D2091" s="10" t="s">
        <v>53</v>
      </c>
      <c r="E2091" s="10" t="s">
        <v>2</v>
      </c>
      <c r="F2091" s="10" t="s">
        <v>11</v>
      </c>
      <c r="G2091" s="10" t="s">
        <v>27</v>
      </c>
      <c r="H2091" s="10" t="s">
        <v>6</v>
      </c>
      <c r="I2091" s="45">
        <v>3421</v>
      </c>
      <c r="J2091" s="11">
        <v>0</v>
      </c>
      <c r="K2091" s="45">
        <f t="shared" si="225"/>
        <v>3421</v>
      </c>
      <c r="L2091" s="10">
        <v>5</v>
      </c>
      <c r="M2091" s="10">
        <v>4.8</v>
      </c>
      <c r="N2091" s="10" t="b">
        <v>0</v>
      </c>
      <c r="O2091" s="41"/>
      <c r="P2091" s="45">
        <f t="shared" si="226"/>
        <v>1436.82</v>
      </c>
      <c r="Q2091" s="45">
        <f t="shared" si="227"/>
        <v>1984.18</v>
      </c>
      <c r="R2091" s="45">
        <v>0</v>
      </c>
      <c r="S2091" s="45">
        <f t="shared" si="228"/>
        <v>0</v>
      </c>
      <c r="T2091" s="45">
        <f t="shared" si="229"/>
        <v>0</v>
      </c>
      <c r="U2091" s="47">
        <f t="shared" si="230"/>
        <v>1984.18</v>
      </c>
    </row>
    <row r="2092" spans="1:21" x14ac:dyDescent="0.3">
      <c r="A2092" s="41" t="str">
        <f t="shared" si="224"/>
        <v>PFORBO</v>
      </c>
      <c r="B2092" s="43">
        <v>45942</v>
      </c>
      <c r="C2092" s="10" t="s">
        <v>2134</v>
      </c>
      <c r="D2092" s="10" t="s">
        <v>65</v>
      </c>
      <c r="E2092" s="10" t="s">
        <v>26</v>
      </c>
      <c r="F2092" s="10" t="s">
        <v>23</v>
      </c>
      <c r="G2092" s="10" t="s">
        <v>12</v>
      </c>
      <c r="H2092" s="10" t="s">
        <v>28</v>
      </c>
      <c r="I2092" s="45">
        <v>2409</v>
      </c>
      <c r="J2092" s="11">
        <v>0</v>
      </c>
      <c r="K2092" s="45">
        <f t="shared" si="225"/>
        <v>2409</v>
      </c>
      <c r="L2092" s="10">
        <v>26</v>
      </c>
      <c r="M2092" s="10">
        <v>4</v>
      </c>
      <c r="N2092" s="10" t="b">
        <v>0</v>
      </c>
      <c r="O2092" s="41"/>
      <c r="P2092" s="45">
        <f t="shared" si="226"/>
        <v>1011.78</v>
      </c>
      <c r="Q2092" s="45">
        <f t="shared" si="227"/>
        <v>1397.22</v>
      </c>
      <c r="R2092" s="45">
        <v>0</v>
      </c>
      <c r="S2092" s="45">
        <f t="shared" si="228"/>
        <v>0</v>
      </c>
      <c r="T2092" s="45">
        <f t="shared" si="229"/>
        <v>0</v>
      </c>
      <c r="U2092" s="47">
        <f t="shared" si="230"/>
        <v>1397.22</v>
      </c>
    </row>
    <row r="2093" spans="1:21" x14ac:dyDescent="0.3">
      <c r="A2093" s="41" t="str">
        <f t="shared" si="224"/>
        <v>PGAPAC</v>
      </c>
      <c r="B2093" s="43">
        <v>45942</v>
      </c>
      <c r="C2093" s="10" t="s">
        <v>2135</v>
      </c>
      <c r="D2093" s="10" t="s">
        <v>53</v>
      </c>
      <c r="E2093" s="10" t="s">
        <v>15</v>
      </c>
      <c r="F2093" s="10" t="s">
        <v>54</v>
      </c>
      <c r="G2093" s="10" t="s">
        <v>7</v>
      </c>
      <c r="H2093" s="10" t="s">
        <v>28</v>
      </c>
      <c r="I2093" s="45">
        <v>260</v>
      </c>
      <c r="J2093" s="11">
        <v>0</v>
      </c>
      <c r="K2093" s="45">
        <f t="shared" si="225"/>
        <v>260</v>
      </c>
      <c r="L2093" s="10">
        <v>33</v>
      </c>
      <c r="M2093" s="10"/>
      <c r="N2093" s="10" t="b">
        <v>0</v>
      </c>
      <c r="O2093" s="41"/>
      <c r="P2093" s="45">
        <f t="shared" si="226"/>
        <v>109.2</v>
      </c>
      <c r="Q2093" s="45">
        <f t="shared" si="227"/>
        <v>150.80000000000001</v>
      </c>
      <c r="R2093" s="45">
        <v>0</v>
      </c>
      <c r="S2093" s="45">
        <f t="shared" si="228"/>
        <v>0</v>
      </c>
      <c r="T2093" s="45">
        <f t="shared" si="229"/>
        <v>0</v>
      </c>
      <c r="U2093" s="47">
        <f t="shared" si="230"/>
        <v>150.80000000000001</v>
      </c>
    </row>
    <row r="2094" spans="1:21" x14ac:dyDescent="0.3">
      <c r="A2094" s="41" t="str">
        <f t="shared" si="224"/>
        <v>PANNBO</v>
      </c>
      <c r="B2094" s="43">
        <v>45942</v>
      </c>
      <c r="C2094" s="10" t="s">
        <v>2136</v>
      </c>
      <c r="D2094" s="10" t="s">
        <v>42</v>
      </c>
      <c r="E2094" s="10" t="s">
        <v>26</v>
      </c>
      <c r="F2094" s="10" t="s">
        <v>4</v>
      </c>
      <c r="G2094" s="10" t="s">
        <v>49</v>
      </c>
      <c r="H2094" s="10" t="s">
        <v>47</v>
      </c>
      <c r="I2094" s="45">
        <v>3000</v>
      </c>
      <c r="J2094" s="11">
        <v>0</v>
      </c>
      <c r="K2094" s="45">
        <f t="shared" si="225"/>
        <v>3000</v>
      </c>
      <c r="L2094" s="10">
        <v>20</v>
      </c>
      <c r="M2094" s="10">
        <v>2.2999999999999998</v>
      </c>
      <c r="N2094" s="10" t="b">
        <v>0</v>
      </c>
      <c r="O2094" s="41"/>
      <c r="P2094" s="45">
        <f t="shared" si="226"/>
        <v>1260</v>
      </c>
      <c r="Q2094" s="45">
        <f t="shared" si="227"/>
        <v>1740</v>
      </c>
      <c r="R2094" s="45">
        <v>0</v>
      </c>
      <c r="S2094" s="45">
        <f t="shared" si="228"/>
        <v>0</v>
      </c>
      <c r="T2094" s="45">
        <f t="shared" si="229"/>
        <v>0</v>
      </c>
      <c r="U2094" s="47">
        <f t="shared" si="230"/>
        <v>1740</v>
      </c>
    </row>
    <row r="2095" spans="1:21" x14ac:dyDescent="0.3">
      <c r="A2095" s="41" t="str">
        <f t="shared" si="224"/>
        <v>PMANBO</v>
      </c>
      <c r="B2095" s="43">
        <v>45943</v>
      </c>
      <c r="C2095" s="10" t="s">
        <v>2137</v>
      </c>
      <c r="D2095" s="10" t="s">
        <v>31</v>
      </c>
      <c r="E2095" s="10" t="s">
        <v>26</v>
      </c>
      <c r="F2095" s="10" t="s">
        <v>23</v>
      </c>
      <c r="G2095" s="10" t="s">
        <v>38</v>
      </c>
      <c r="H2095" s="10" t="s">
        <v>6</v>
      </c>
      <c r="I2095" s="45">
        <v>2873</v>
      </c>
      <c r="J2095" s="11">
        <v>0.222</v>
      </c>
      <c r="K2095" s="45">
        <f t="shared" si="225"/>
        <v>2235.194</v>
      </c>
      <c r="L2095" s="10">
        <v>35</v>
      </c>
      <c r="M2095" s="10">
        <v>3.7</v>
      </c>
      <c r="N2095" s="10" t="b">
        <v>1</v>
      </c>
      <c r="O2095" s="41" t="s">
        <v>44</v>
      </c>
      <c r="P2095" s="45">
        <f t="shared" si="226"/>
        <v>938.78147999999999</v>
      </c>
      <c r="Q2095" s="45">
        <f t="shared" si="227"/>
        <v>1296.4125199999999</v>
      </c>
      <c r="R2095" s="45">
        <v>150</v>
      </c>
      <c r="S2095" s="45">
        <f t="shared" si="228"/>
        <v>223.51940000000002</v>
      </c>
      <c r="T2095" s="45">
        <f t="shared" si="229"/>
        <v>2235.194</v>
      </c>
      <c r="U2095" s="47">
        <f t="shared" si="230"/>
        <v>-1312.3008800000002</v>
      </c>
    </row>
    <row r="2096" spans="1:21" x14ac:dyDescent="0.3">
      <c r="A2096" s="41" t="str">
        <f t="shared" si="224"/>
        <v>PFORAC</v>
      </c>
      <c r="B2096" s="43">
        <v>45943</v>
      </c>
      <c r="C2096" s="10" t="s">
        <v>2138</v>
      </c>
      <c r="D2096" s="10" t="s">
        <v>65</v>
      </c>
      <c r="E2096" s="10" t="s">
        <v>15</v>
      </c>
      <c r="F2096" s="10" t="s">
        <v>54</v>
      </c>
      <c r="G2096" s="10" t="s">
        <v>7</v>
      </c>
      <c r="H2096" s="10" t="s">
        <v>35</v>
      </c>
      <c r="I2096" s="45">
        <v>186</v>
      </c>
      <c r="J2096" s="11">
        <v>0</v>
      </c>
      <c r="K2096" s="45">
        <f t="shared" si="225"/>
        <v>186</v>
      </c>
      <c r="L2096" s="10">
        <v>41</v>
      </c>
      <c r="M2096" s="10">
        <v>1.6</v>
      </c>
      <c r="N2096" s="10" t="b">
        <v>1</v>
      </c>
      <c r="O2096" s="41" t="s">
        <v>33</v>
      </c>
      <c r="P2096" s="45">
        <f t="shared" si="226"/>
        <v>78.11999999999999</v>
      </c>
      <c r="Q2096" s="45">
        <f t="shared" si="227"/>
        <v>107.88000000000001</v>
      </c>
      <c r="R2096" s="45">
        <v>150</v>
      </c>
      <c r="S2096" s="45">
        <f t="shared" si="228"/>
        <v>18.600000000000001</v>
      </c>
      <c r="T2096" s="45">
        <f t="shared" si="229"/>
        <v>186</v>
      </c>
      <c r="U2096" s="47">
        <f t="shared" si="230"/>
        <v>-246.72</v>
      </c>
    </row>
    <row r="2097" spans="1:21" x14ac:dyDescent="0.3">
      <c r="A2097" s="41" t="str">
        <f t="shared" si="224"/>
        <v>PGAPBO</v>
      </c>
      <c r="B2097" s="43">
        <v>45943</v>
      </c>
      <c r="C2097" s="10" t="s">
        <v>2139</v>
      </c>
      <c r="D2097" s="10" t="s">
        <v>53</v>
      </c>
      <c r="E2097" s="10" t="s">
        <v>26</v>
      </c>
      <c r="F2097" s="10" t="s">
        <v>11</v>
      </c>
      <c r="G2097" s="10" t="s">
        <v>49</v>
      </c>
      <c r="H2097" s="10" t="s">
        <v>35</v>
      </c>
      <c r="I2097" s="45">
        <v>2646</v>
      </c>
      <c r="J2097" s="11">
        <v>0.307</v>
      </c>
      <c r="K2097" s="45">
        <f t="shared" si="225"/>
        <v>1833.6780000000001</v>
      </c>
      <c r="L2097" s="10">
        <v>10</v>
      </c>
      <c r="M2097" s="10">
        <v>1</v>
      </c>
      <c r="N2097" s="10" t="b">
        <v>1</v>
      </c>
      <c r="O2097" s="41" t="s">
        <v>33</v>
      </c>
      <c r="P2097" s="45">
        <f t="shared" si="226"/>
        <v>770.14476000000002</v>
      </c>
      <c r="Q2097" s="45">
        <f t="shared" si="227"/>
        <v>1063.5332400000002</v>
      </c>
      <c r="R2097" s="45">
        <v>150</v>
      </c>
      <c r="S2097" s="45">
        <f t="shared" si="228"/>
        <v>183.36780000000002</v>
      </c>
      <c r="T2097" s="45">
        <f t="shared" si="229"/>
        <v>1833.6780000000001</v>
      </c>
      <c r="U2097" s="47">
        <f t="shared" si="230"/>
        <v>-1103.5125599999999</v>
      </c>
    </row>
    <row r="2098" spans="1:21" x14ac:dyDescent="0.3">
      <c r="A2098" s="41" t="str">
        <f t="shared" si="224"/>
        <v>PUNISH</v>
      </c>
      <c r="B2098" s="43">
        <v>45943</v>
      </c>
      <c r="C2098" s="10" t="s">
        <v>2140</v>
      </c>
      <c r="D2098" s="10" t="s">
        <v>10</v>
      </c>
      <c r="E2098" s="10" t="s">
        <v>18</v>
      </c>
      <c r="F2098" s="10" t="s">
        <v>4</v>
      </c>
      <c r="G2098" s="10" t="s">
        <v>12</v>
      </c>
      <c r="H2098" s="10" t="s">
        <v>58</v>
      </c>
      <c r="I2098" s="45">
        <v>3414</v>
      </c>
      <c r="J2098" s="11">
        <v>0</v>
      </c>
      <c r="K2098" s="45">
        <f t="shared" si="225"/>
        <v>3414</v>
      </c>
      <c r="L2098" s="10">
        <v>27</v>
      </c>
      <c r="M2098" s="10">
        <v>2.1</v>
      </c>
      <c r="N2098" s="10" t="b">
        <v>0</v>
      </c>
      <c r="O2098" s="41"/>
      <c r="P2098" s="45">
        <f t="shared" si="226"/>
        <v>1433.8799999999999</v>
      </c>
      <c r="Q2098" s="45">
        <f t="shared" si="227"/>
        <v>1980.1200000000001</v>
      </c>
      <c r="R2098" s="45">
        <v>0</v>
      </c>
      <c r="S2098" s="45">
        <f t="shared" si="228"/>
        <v>0</v>
      </c>
      <c r="T2098" s="45">
        <f t="shared" si="229"/>
        <v>0</v>
      </c>
      <c r="U2098" s="47">
        <f t="shared" si="230"/>
        <v>1980.1200000000001</v>
      </c>
    </row>
    <row r="2099" spans="1:21" x14ac:dyDescent="0.3">
      <c r="A2099" s="41" t="str">
        <f t="shared" si="224"/>
        <v>PBANOU</v>
      </c>
      <c r="B2099" s="43">
        <v>45944</v>
      </c>
      <c r="C2099" s="10" t="s">
        <v>2141</v>
      </c>
      <c r="D2099" s="10" t="s">
        <v>21</v>
      </c>
      <c r="E2099" s="10" t="s">
        <v>2</v>
      </c>
      <c r="F2099" s="10" t="s">
        <v>11</v>
      </c>
      <c r="G2099" s="10" t="s">
        <v>12</v>
      </c>
      <c r="H2099" s="10" t="s">
        <v>13</v>
      </c>
      <c r="I2099" s="45">
        <v>3801</v>
      </c>
      <c r="J2099" s="11">
        <v>0</v>
      </c>
      <c r="K2099" s="45">
        <f t="shared" si="225"/>
        <v>3801</v>
      </c>
      <c r="L2099" s="10">
        <v>30</v>
      </c>
      <c r="M2099" s="10">
        <v>1.6</v>
      </c>
      <c r="N2099" s="10" t="b">
        <v>0</v>
      </c>
      <c r="O2099" s="41"/>
      <c r="P2099" s="45">
        <f t="shared" si="226"/>
        <v>1596.4199999999998</v>
      </c>
      <c r="Q2099" s="45">
        <f t="shared" si="227"/>
        <v>2204.58</v>
      </c>
      <c r="R2099" s="45">
        <v>0</v>
      </c>
      <c r="S2099" s="45">
        <f t="shared" si="228"/>
        <v>0</v>
      </c>
      <c r="T2099" s="45">
        <f t="shared" si="229"/>
        <v>0</v>
      </c>
      <c r="U2099" s="47">
        <f t="shared" si="230"/>
        <v>2204.58</v>
      </c>
    </row>
    <row r="2100" spans="1:21" x14ac:dyDescent="0.3">
      <c r="A2100" s="41" t="str">
        <f t="shared" si="224"/>
        <v>PMANSH</v>
      </c>
      <c r="B2100" s="43">
        <v>45944</v>
      </c>
      <c r="C2100" s="10" t="s">
        <v>2142</v>
      </c>
      <c r="D2100" s="10" t="s">
        <v>31</v>
      </c>
      <c r="E2100" s="10" t="s">
        <v>18</v>
      </c>
      <c r="F2100" s="10" t="s">
        <v>23</v>
      </c>
      <c r="G2100" s="10" t="s">
        <v>49</v>
      </c>
      <c r="H2100" s="10" t="s">
        <v>88</v>
      </c>
      <c r="I2100" s="45">
        <v>4399</v>
      </c>
      <c r="J2100" s="11">
        <v>0</v>
      </c>
      <c r="K2100" s="45">
        <f t="shared" si="225"/>
        <v>4399</v>
      </c>
      <c r="L2100" s="10">
        <v>46</v>
      </c>
      <c r="M2100" s="10">
        <v>2.8</v>
      </c>
      <c r="N2100" s="10" t="b">
        <v>0</v>
      </c>
      <c r="O2100" s="41"/>
      <c r="P2100" s="45">
        <f t="shared" si="226"/>
        <v>1847.58</v>
      </c>
      <c r="Q2100" s="45">
        <f t="shared" si="227"/>
        <v>2551.42</v>
      </c>
      <c r="R2100" s="45">
        <v>0</v>
      </c>
      <c r="S2100" s="45">
        <f t="shared" si="228"/>
        <v>0</v>
      </c>
      <c r="T2100" s="45">
        <f t="shared" si="229"/>
        <v>0</v>
      </c>
      <c r="U2100" s="47">
        <f t="shared" si="230"/>
        <v>2551.42</v>
      </c>
    </row>
    <row r="2101" spans="1:21" x14ac:dyDescent="0.3">
      <c r="A2101" s="41" t="str">
        <f t="shared" si="224"/>
        <v>PFORBO</v>
      </c>
      <c r="B2101" s="43">
        <v>45944</v>
      </c>
      <c r="C2101" s="10" t="s">
        <v>2143</v>
      </c>
      <c r="D2101" s="10" t="s">
        <v>65</v>
      </c>
      <c r="E2101" s="10" t="s">
        <v>26</v>
      </c>
      <c r="F2101" s="10" t="s">
        <v>4</v>
      </c>
      <c r="G2101" s="10" t="s">
        <v>5</v>
      </c>
      <c r="H2101" s="10" t="s">
        <v>35</v>
      </c>
      <c r="I2101" s="45">
        <v>2387</v>
      </c>
      <c r="J2101" s="11">
        <v>0</v>
      </c>
      <c r="K2101" s="45">
        <f t="shared" si="225"/>
        <v>2387</v>
      </c>
      <c r="L2101" s="10">
        <v>35</v>
      </c>
      <c r="M2101" s="10">
        <v>2.2000000000000002</v>
      </c>
      <c r="N2101" s="10" t="b">
        <v>0</v>
      </c>
      <c r="O2101" s="41"/>
      <c r="P2101" s="45">
        <f t="shared" si="226"/>
        <v>1002.54</v>
      </c>
      <c r="Q2101" s="45">
        <f t="shared" si="227"/>
        <v>1384.46</v>
      </c>
      <c r="R2101" s="45">
        <v>0</v>
      </c>
      <c r="S2101" s="45">
        <f t="shared" si="228"/>
        <v>0</v>
      </c>
      <c r="T2101" s="45">
        <f t="shared" si="229"/>
        <v>0</v>
      </c>
      <c r="U2101" s="47">
        <f t="shared" si="230"/>
        <v>1384.46</v>
      </c>
    </row>
    <row r="2102" spans="1:21" x14ac:dyDescent="0.3">
      <c r="A2102" s="41" t="str">
        <f t="shared" si="224"/>
        <v>PFORTO</v>
      </c>
      <c r="B2102" s="43">
        <v>45944</v>
      </c>
      <c r="C2102" s="10" t="s">
        <v>2144</v>
      </c>
      <c r="D2102" s="10" t="s">
        <v>65</v>
      </c>
      <c r="E2102" s="10" t="s">
        <v>9</v>
      </c>
      <c r="F2102" s="10" t="s">
        <v>23</v>
      </c>
      <c r="G2102" s="10" t="s">
        <v>38</v>
      </c>
      <c r="H2102" s="10" t="s">
        <v>16</v>
      </c>
      <c r="I2102" s="45">
        <v>1310</v>
      </c>
      <c r="J2102" s="11">
        <v>0</v>
      </c>
      <c r="K2102" s="45">
        <f t="shared" si="225"/>
        <v>1310</v>
      </c>
      <c r="L2102" s="10">
        <v>27</v>
      </c>
      <c r="M2102" s="10">
        <v>1.7</v>
      </c>
      <c r="N2102" s="10" t="b">
        <v>0</v>
      </c>
      <c r="O2102" s="41"/>
      <c r="P2102" s="45">
        <f t="shared" si="226"/>
        <v>550.19999999999993</v>
      </c>
      <c r="Q2102" s="45">
        <f t="shared" si="227"/>
        <v>759.80000000000007</v>
      </c>
      <c r="R2102" s="45">
        <v>0</v>
      </c>
      <c r="S2102" s="45">
        <f t="shared" si="228"/>
        <v>0</v>
      </c>
      <c r="T2102" s="45">
        <f t="shared" si="229"/>
        <v>0</v>
      </c>
      <c r="U2102" s="47">
        <f t="shared" si="230"/>
        <v>759.80000000000007</v>
      </c>
    </row>
    <row r="2103" spans="1:21" x14ac:dyDescent="0.3">
      <c r="A2103" s="41" t="str">
        <f t="shared" si="224"/>
        <v>PUNIAC</v>
      </c>
      <c r="B2103" s="43">
        <v>45945</v>
      </c>
      <c r="C2103" s="10" t="s">
        <v>2145</v>
      </c>
      <c r="D2103" s="10" t="s">
        <v>10</v>
      </c>
      <c r="E2103" s="10" t="s">
        <v>15</v>
      </c>
      <c r="F2103" s="10" t="s">
        <v>23</v>
      </c>
      <c r="G2103" s="10" t="s">
        <v>7</v>
      </c>
      <c r="H2103" s="10" t="s">
        <v>28</v>
      </c>
      <c r="I2103" s="45">
        <v>374</v>
      </c>
      <c r="J2103" s="11">
        <v>0</v>
      </c>
      <c r="K2103" s="45">
        <f t="shared" si="225"/>
        <v>374</v>
      </c>
      <c r="L2103" s="10">
        <v>47</v>
      </c>
      <c r="M2103" s="10">
        <v>3.6</v>
      </c>
      <c r="N2103" s="10" t="b">
        <v>0</v>
      </c>
      <c r="O2103" s="41"/>
      <c r="P2103" s="45">
        <f t="shared" si="226"/>
        <v>157.07999999999998</v>
      </c>
      <c r="Q2103" s="45">
        <f t="shared" si="227"/>
        <v>216.92000000000002</v>
      </c>
      <c r="R2103" s="45">
        <v>0</v>
      </c>
      <c r="S2103" s="45">
        <f t="shared" si="228"/>
        <v>0</v>
      </c>
      <c r="T2103" s="45">
        <f t="shared" si="229"/>
        <v>0</v>
      </c>
      <c r="U2103" s="47">
        <f t="shared" si="230"/>
        <v>216.92000000000002</v>
      </c>
    </row>
    <row r="2104" spans="1:21" x14ac:dyDescent="0.3">
      <c r="A2104" s="41" t="str">
        <f t="shared" si="224"/>
        <v>PZARBO</v>
      </c>
      <c r="B2104" s="43">
        <v>45945</v>
      </c>
      <c r="C2104" s="10" t="s">
        <v>2146</v>
      </c>
      <c r="D2104" s="10" t="s">
        <v>3</v>
      </c>
      <c r="E2104" s="10" t="s">
        <v>26</v>
      </c>
      <c r="F2104" s="10" t="s">
        <v>54</v>
      </c>
      <c r="G2104" s="10" t="s">
        <v>46</v>
      </c>
      <c r="H2104" s="10" t="s">
        <v>58</v>
      </c>
      <c r="I2104" s="45">
        <v>2515</v>
      </c>
      <c r="J2104" s="11">
        <v>0</v>
      </c>
      <c r="K2104" s="45">
        <f t="shared" si="225"/>
        <v>2515</v>
      </c>
      <c r="L2104" s="10">
        <v>26</v>
      </c>
      <c r="M2104" s="10">
        <v>4.8</v>
      </c>
      <c r="N2104" s="10" t="b">
        <v>1</v>
      </c>
      <c r="O2104" s="41" t="s">
        <v>33</v>
      </c>
      <c r="P2104" s="45">
        <f t="shared" si="226"/>
        <v>1056.3</v>
      </c>
      <c r="Q2104" s="45">
        <f t="shared" si="227"/>
        <v>1458.7</v>
      </c>
      <c r="R2104" s="45">
        <v>150</v>
      </c>
      <c r="S2104" s="45">
        <f t="shared" si="228"/>
        <v>251.5</v>
      </c>
      <c r="T2104" s="45">
        <f t="shared" si="229"/>
        <v>2515</v>
      </c>
      <c r="U2104" s="47">
        <f t="shared" si="230"/>
        <v>-1457.8</v>
      </c>
    </row>
    <row r="2105" spans="1:21" x14ac:dyDescent="0.3">
      <c r="A2105" s="41" t="str">
        <f t="shared" si="224"/>
        <v>PZARTO</v>
      </c>
      <c r="B2105" s="43">
        <v>45945</v>
      </c>
      <c r="C2105" s="10" t="s">
        <v>2147</v>
      </c>
      <c r="D2105" s="10" t="s">
        <v>3</v>
      </c>
      <c r="E2105" s="10" t="s">
        <v>9</v>
      </c>
      <c r="F2105" s="10" t="s">
        <v>4</v>
      </c>
      <c r="G2105" s="10" t="s">
        <v>46</v>
      </c>
      <c r="H2105" s="10" t="s">
        <v>47</v>
      </c>
      <c r="I2105" s="45">
        <v>926</v>
      </c>
      <c r="J2105" s="11">
        <v>0</v>
      </c>
      <c r="K2105" s="45">
        <f t="shared" si="225"/>
        <v>926</v>
      </c>
      <c r="L2105" s="10">
        <v>1</v>
      </c>
      <c r="M2105" s="10">
        <v>3.5</v>
      </c>
      <c r="N2105" s="10" t="b">
        <v>1</v>
      </c>
      <c r="O2105" s="41" t="s">
        <v>33</v>
      </c>
      <c r="P2105" s="45">
        <f t="shared" si="226"/>
        <v>388.91999999999996</v>
      </c>
      <c r="Q2105" s="45">
        <f t="shared" si="227"/>
        <v>537.08000000000004</v>
      </c>
      <c r="R2105" s="45">
        <v>150</v>
      </c>
      <c r="S2105" s="45">
        <f t="shared" si="228"/>
        <v>92.600000000000009</v>
      </c>
      <c r="T2105" s="45">
        <f t="shared" si="229"/>
        <v>926</v>
      </c>
      <c r="U2105" s="47">
        <f t="shared" si="230"/>
        <v>-631.52</v>
      </c>
    </row>
    <row r="2106" spans="1:21" x14ac:dyDescent="0.3">
      <c r="A2106" s="41" t="str">
        <f t="shared" si="224"/>
        <v>PMANAC</v>
      </c>
      <c r="B2106" s="43">
        <v>45945</v>
      </c>
      <c r="C2106" s="10" t="s">
        <v>2148</v>
      </c>
      <c r="D2106" s="10" t="s">
        <v>31</v>
      </c>
      <c r="E2106" s="10" t="s">
        <v>15</v>
      </c>
      <c r="F2106" s="10" t="s">
        <v>54</v>
      </c>
      <c r="G2106" s="10" t="s">
        <v>7</v>
      </c>
      <c r="H2106" s="10" t="s">
        <v>32</v>
      </c>
      <c r="I2106" s="45">
        <v>470</v>
      </c>
      <c r="J2106" s="11">
        <v>0</v>
      </c>
      <c r="K2106" s="45">
        <f t="shared" si="225"/>
        <v>470</v>
      </c>
      <c r="L2106" s="10">
        <v>16</v>
      </c>
      <c r="M2106" s="10">
        <v>1.4</v>
      </c>
      <c r="N2106" s="10" t="b">
        <v>1</v>
      </c>
      <c r="O2106" s="41" t="s">
        <v>50</v>
      </c>
      <c r="P2106" s="45">
        <f t="shared" si="226"/>
        <v>197.4</v>
      </c>
      <c r="Q2106" s="45">
        <f t="shared" si="227"/>
        <v>272.60000000000002</v>
      </c>
      <c r="R2106" s="45">
        <v>150</v>
      </c>
      <c r="S2106" s="45">
        <f t="shared" si="228"/>
        <v>47</v>
      </c>
      <c r="T2106" s="45">
        <f t="shared" si="229"/>
        <v>470</v>
      </c>
      <c r="U2106" s="47">
        <f t="shared" si="230"/>
        <v>-394.4</v>
      </c>
    </row>
    <row r="2107" spans="1:21" x14ac:dyDescent="0.3">
      <c r="A2107" s="41" t="str">
        <f t="shared" si="224"/>
        <v>PMANTO</v>
      </c>
      <c r="B2107" s="43">
        <v>45946</v>
      </c>
      <c r="C2107" s="10" t="s">
        <v>2149</v>
      </c>
      <c r="D2107" s="10" t="s">
        <v>31</v>
      </c>
      <c r="E2107" s="10" t="s">
        <v>9</v>
      </c>
      <c r="F2107" s="10" t="s">
        <v>54</v>
      </c>
      <c r="G2107" s="10" t="s">
        <v>12</v>
      </c>
      <c r="H2107" s="10" t="s">
        <v>6</v>
      </c>
      <c r="I2107" s="45">
        <v>1216</v>
      </c>
      <c r="J2107" s="11">
        <v>0</v>
      </c>
      <c r="K2107" s="45">
        <f t="shared" si="225"/>
        <v>1216</v>
      </c>
      <c r="L2107" s="10">
        <v>41</v>
      </c>
      <c r="M2107" s="10">
        <v>4.7</v>
      </c>
      <c r="N2107" s="10" t="b">
        <v>1</v>
      </c>
      <c r="O2107" s="41" t="s">
        <v>44</v>
      </c>
      <c r="P2107" s="45">
        <f t="shared" si="226"/>
        <v>510.71999999999997</v>
      </c>
      <c r="Q2107" s="45">
        <f t="shared" si="227"/>
        <v>705.28</v>
      </c>
      <c r="R2107" s="45">
        <v>150</v>
      </c>
      <c r="S2107" s="45">
        <f t="shared" si="228"/>
        <v>121.60000000000001</v>
      </c>
      <c r="T2107" s="45">
        <f t="shared" si="229"/>
        <v>1216</v>
      </c>
      <c r="U2107" s="47">
        <f t="shared" si="230"/>
        <v>-782.32</v>
      </c>
    </row>
    <row r="2108" spans="1:21" x14ac:dyDescent="0.3">
      <c r="A2108" s="41" t="str">
        <f t="shared" si="224"/>
        <v>PANNAC</v>
      </c>
      <c r="B2108" s="43">
        <v>45946</v>
      </c>
      <c r="C2108" s="10" t="s">
        <v>2150</v>
      </c>
      <c r="D2108" s="10" t="s">
        <v>42</v>
      </c>
      <c r="E2108" s="10" t="s">
        <v>15</v>
      </c>
      <c r="F2108" s="10" t="s">
        <v>11</v>
      </c>
      <c r="G2108" s="10" t="s">
        <v>7</v>
      </c>
      <c r="H2108" s="10" t="s">
        <v>28</v>
      </c>
      <c r="I2108" s="45">
        <v>341</v>
      </c>
      <c r="J2108" s="11">
        <v>0.38500000000000001</v>
      </c>
      <c r="K2108" s="45">
        <f t="shared" si="225"/>
        <v>209.715</v>
      </c>
      <c r="L2108" s="10">
        <v>43</v>
      </c>
      <c r="M2108" s="10">
        <v>4.0999999999999996</v>
      </c>
      <c r="N2108" s="10" t="b">
        <v>0</v>
      </c>
      <c r="O2108" s="41"/>
      <c r="P2108" s="45">
        <f t="shared" si="226"/>
        <v>88.080299999999994</v>
      </c>
      <c r="Q2108" s="45">
        <f t="shared" si="227"/>
        <v>121.63470000000001</v>
      </c>
      <c r="R2108" s="45">
        <v>0</v>
      </c>
      <c r="S2108" s="45">
        <f t="shared" si="228"/>
        <v>0</v>
      </c>
      <c r="T2108" s="45">
        <f t="shared" si="229"/>
        <v>0</v>
      </c>
      <c r="U2108" s="47">
        <f t="shared" si="230"/>
        <v>121.63470000000001</v>
      </c>
    </row>
    <row r="2109" spans="1:21" x14ac:dyDescent="0.3">
      <c r="A2109" s="41" t="str">
        <f t="shared" si="224"/>
        <v>PANNAC</v>
      </c>
      <c r="B2109" s="43">
        <v>45946</v>
      </c>
      <c r="C2109" s="10" t="s">
        <v>2151</v>
      </c>
      <c r="D2109" s="10" t="s">
        <v>42</v>
      </c>
      <c r="E2109" s="10" t="s">
        <v>15</v>
      </c>
      <c r="F2109" s="10" t="s">
        <v>4</v>
      </c>
      <c r="G2109" s="10" t="s">
        <v>7</v>
      </c>
      <c r="H2109" s="10" t="s">
        <v>6</v>
      </c>
      <c r="I2109" s="45">
        <v>485</v>
      </c>
      <c r="J2109" s="11">
        <v>0</v>
      </c>
      <c r="K2109" s="45">
        <f t="shared" si="225"/>
        <v>485</v>
      </c>
      <c r="L2109" s="10">
        <v>26</v>
      </c>
      <c r="M2109" s="10">
        <v>2.9</v>
      </c>
      <c r="N2109" s="10" t="b">
        <v>0</v>
      </c>
      <c r="O2109" s="41"/>
      <c r="P2109" s="45">
        <f t="shared" si="226"/>
        <v>203.7</v>
      </c>
      <c r="Q2109" s="45">
        <f t="shared" si="227"/>
        <v>281.3</v>
      </c>
      <c r="R2109" s="45">
        <v>0</v>
      </c>
      <c r="S2109" s="45">
        <f t="shared" si="228"/>
        <v>0</v>
      </c>
      <c r="T2109" s="45">
        <f t="shared" si="229"/>
        <v>0</v>
      </c>
      <c r="U2109" s="47">
        <f t="shared" si="230"/>
        <v>281.3</v>
      </c>
    </row>
    <row r="2110" spans="1:21" x14ac:dyDescent="0.3">
      <c r="A2110" s="41" t="str">
        <f t="shared" si="224"/>
        <v>PH&amp;MDR</v>
      </c>
      <c r="B2110" s="43">
        <v>45946</v>
      </c>
      <c r="C2110" s="10" t="s">
        <v>2152</v>
      </c>
      <c r="D2110" s="10" t="s">
        <v>37</v>
      </c>
      <c r="E2110" s="10" t="s">
        <v>30</v>
      </c>
      <c r="F2110" s="10" t="s">
        <v>4</v>
      </c>
      <c r="G2110" s="10" t="s">
        <v>5</v>
      </c>
      <c r="H2110" s="10" t="s">
        <v>56</v>
      </c>
      <c r="I2110" s="45">
        <v>1929</v>
      </c>
      <c r="J2110" s="11">
        <v>0</v>
      </c>
      <c r="K2110" s="45">
        <f t="shared" si="225"/>
        <v>1929</v>
      </c>
      <c r="L2110" s="10">
        <v>32</v>
      </c>
      <c r="M2110" s="10">
        <v>2.5</v>
      </c>
      <c r="N2110" s="10" t="b">
        <v>0</v>
      </c>
      <c r="O2110" s="41"/>
      <c r="P2110" s="45">
        <f t="shared" si="226"/>
        <v>810.18</v>
      </c>
      <c r="Q2110" s="45">
        <f t="shared" si="227"/>
        <v>1118.8200000000002</v>
      </c>
      <c r="R2110" s="45">
        <v>0</v>
      </c>
      <c r="S2110" s="45">
        <f t="shared" si="228"/>
        <v>0</v>
      </c>
      <c r="T2110" s="45">
        <f t="shared" si="229"/>
        <v>0</v>
      </c>
      <c r="U2110" s="47">
        <f t="shared" si="230"/>
        <v>1118.8200000000002</v>
      </c>
    </row>
    <row r="2111" spans="1:21" x14ac:dyDescent="0.3">
      <c r="A2111" s="41" t="str">
        <f t="shared" si="224"/>
        <v>PZARSH</v>
      </c>
      <c r="B2111" s="43">
        <v>45947</v>
      </c>
      <c r="C2111" s="10" t="s">
        <v>2153</v>
      </c>
      <c r="D2111" s="10" t="s">
        <v>3</v>
      </c>
      <c r="E2111" s="10" t="s">
        <v>18</v>
      </c>
      <c r="F2111" s="10" t="s">
        <v>54</v>
      </c>
      <c r="G2111" s="10" t="s">
        <v>12</v>
      </c>
      <c r="H2111" s="10" t="s">
        <v>43</v>
      </c>
      <c r="I2111" s="45">
        <v>3778</v>
      </c>
      <c r="J2111" s="11">
        <v>7.6999999999999999E-2</v>
      </c>
      <c r="K2111" s="45">
        <f t="shared" si="225"/>
        <v>3487.0940000000001</v>
      </c>
      <c r="L2111" s="10">
        <v>23</v>
      </c>
      <c r="M2111" s="10">
        <v>2.6</v>
      </c>
      <c r="N2111" s="10" t="b">
        <v>1</v>
      </c>
      <c r="O2111" s="41" t="s">
        <v>33</v>
      </c>
      <c r="P2111" s="45">
        <f t="shared" si="226"/>
        <v>1464.5794799999999</v>
      </c>
      <c r="Q2111" s="45">
        <f t="shared" si="227"/>
        <v>2022.5145200000002</v>
      </c>
      <c r="R2111" s="45">
        <v>150</v>
      </c>
      <c r="S2111" s="45">
        <f t="shared" si="228"/>
        <v>348.70940000000002</v>
      </c>
      <c r="T2111" s="45">
        <f t="shared" si="229"/>
        <v>3487.0940000000001</v>
      </c>
      <c r="U2111" s="47">
        <f t="shared" si="230"/>
        <v>-1963.2888799999998</v>
      </c>
    </row>
    <row r="2112" spans="1:21" x14ac:dyDescent="0.3">
      <c r="A2112" s="41" t="str">
        <f t="shared" si="224"/>
        <v>PFORSH</v>
      </c>
      <c r="B2112" s="43">
        <v>45947</v>
      </c>
      <c r="C2112" s="10" t="s">
        <v>2154</v>
      </c>
      <c r="D2112" s="10" t="s">
        <v>65</v>
      </c>
      <c r="E2112" s="10" t="s">
        <v>18</v>
      </c>
      <c r="F2112" s="10" t="s">
        <v>23</v>
      </c>
      <c r="G2112" s="10" t="s">
        <v>7</v>
      </c>
      <c r="H2112" s="10" t="s">
        <v>16</v>
      </c>
      <c r="I2112" s="45">
        <v>4295</v>
      </c>
      <c r="J2112" s="11">
        <v>8.3000000000000004E-2</v>
      </c>
      <c r="K2112" s="45">
        <f t="shared" si="225"/>
        <v>3938.5150000000003</v>
      </c>
      <c r="L2112" s="10">
        <v>5</v>
      </c>
      <c r="M2112" s="10">
        <v>3.3</v>
      </c>
      <c r="N2112" s="10" t="b">
        <v>1</v>
      </c>
      <c r="O2112" s="41" t="s">
        <v>33</v>
      </c>
      <c r="P2112" s="45">
        <f t="shared" si="226"/>
        <v>1654.1763000000001</v>
      </c>
      <c r="Q2112" s="45">
        <f t="shared" si="227"/>
        <v>2284.3387000000002</v>
      </c>
      <c r="R2112" s="45">
        <v>150</v>
      </c>
      <c r="S2112" s="45">
        <f t="shared" si="228"/>
        <v>393.85150000000004</v>
      </c>
      <c r="T2112" s="45">
        <f t="shared" si="229"/>
        <v>3938.5150000000003</v>
      </c>
      <c r="U2112" s="47">
        <f t="shared" si="230"/>
        <v>-2198.0277999999998</v>
      </c>
    </row>
    <row r="2113" spans="1:21" x14ac:dyDescent="0.3">
      <c r="A2113" s="41" t="str">
        <f t="shared" si="224"/>
        <v>PMANAC</v>
      </c>
      <c r="B2113" s="43">
        <v>45947</v>
      </c>
      <c r="C2113" s="10" t="s">
        <v>2155</v>
      </c>
      <c r="D2113" s="10" t="s">
        <v>31</v>
      </c>
      <c r="E2113" s="10" t="s">
        <v>15</v>
      </c>
      <c r="F2113" s="10" t="s">
        <v>54</v>
      </c>
      <c r="G2113" s="10" t="s">
        <v>7</v>
      </c>
      <c r="H2113" s="10" t="s">
        <v>88</v>
      </c>
      <c r="I2113" s="45">
        <v>285</v>
      </c>
      <c r="J2113" s="11">
        <v>0</v>
      </c>
      <c r="K2113" s="45">
        <f t="shared" si="225"/>
        <v>285</v>
      </c>
      <c r="L2113" s="10">
        <v>43</v>
      </c>
      <c r="M2113" s="10"/>
      <c r="N2113" s="10" t="b">
        <v>0</v>
      </c>
      <c r="O2113" s="41"/>
      <c r="P2113" s="45">
        <f t="shared" si="226"/>
        <v>119.69999999999999</v>
      </c>
      <c r="Q2113" s="45">
        <f t="shared" si="227"/>
        <v>165.3</v>
      </c>
      <c r="R2113" s="45">
        <v>0</v>
      </c>
      <c r="S2113" s="45">
        <f t="shared" si="228"/>
        <v>0</v>
      </c>
      <c r="T2113" s="45">
        <f t="shared" si="229"/>
        <v>0</v>
      </c>
      <c r="U2113" s="47">
        <f t="shared" si="230"/>
        <v>165.3</v>
      </c>
    </row>
    <row r="2114" spans="1:21" x14ac:dyDescent="0.3">
      <c r="A2114" s="41" t="str">
        <f t="shared" ref="A2114:A2177" si="231">UPPER("P"&amp;LEFT(D2114,3)&amp;LEFT(E2114,2))</f>
        <v>PFOROU</v>
      </c>
      <c r="B2114" s="43">
        <v>45948</v>
      </c>
      <c r="C2114" s="10" t="s">
        <v>2156</v>
      </c>
      <c r="D2114" s="10" t="s">
        <v>65</v>
      </c>
      <c r="E2114" s="10" t="s">
        <v>2</v>
      </c>
      <c r="F2114" s="10" t="s">
        <v>23</v>
      </c>
      <c r="G2114" s="10" t="s">
        <v>49</v>
      </c>
      <c r="H2114" s="10" t="s">
        <v>13</v>
      </c>
      <c r="I2114" s="45">
        <v>4273</v>
      </c>
      <c r="J2114" s="11">
        <v>5.7999999999999996E-2</v>
      </c>
      <c r="K2114" s="45">
        <f t="shared" si="225"/>
        <v>4025.1659999999997</v>
      </c>
      <c r="L2114" s="10">
        <v>12</v>
      </c>
      <c r="M2114" s="10">
        <v>2.1</v>
      </c>
      <c r="N2114" s="10" t="b">
        <v>1</v>
      </c>
      <c r="O2114" s="41" t="s">
        <v>19</v>
      </c>
      <c r="P2114" s="45">
        <f t="shared" si="226"/>
        <v>1690.5697199999997</v>
      </c>
      <c r="Q2114" s="45">
        <f t="shared" si="227"/>
        <v>2334.5962799999998</v>
      </c>
      <c r="R2114" s="45">
        <v>150</v>
      </c>
      <c r="S2114" s="45">
        <f t="shared" si="228"/>
        <v>402.51659999999998</v>
      </c>
      <c r="T2114" s="45">
        <f t="shared" si="229"/>
        <v>4025.1659999999997</v>
      </c>
      <c r="U2114" s="47">
        <f t="shared" si="230"/>
        <v>-2243.0863199999999</v>
      </c>
    </row>
    <row r="2115" spans="1:21" x14ac:dyDescent="0.3">
      <c r="A2115" s="41" t="str">
        <f t="shared" si="231"/>
        <v>PMANAC</v>
      </c>
      <c r="B2115" s="43">
        <v>45948</v>
      </c>
      <c r="C2115" s="10" t="s">
        <v>2157</v>
      </c>
      <c r="D2115" s="10" t="s">
        <v>31</v>
      </c>
      <c r="E2115" s="10" t="s">
        <v>15</v>
      </c>
      <c r="F2115" s="10" t="s">
        <v>11</v>
      </c>
      <c r="G2115" s="10" t="s">
        <v>7</v>
      </c>
      <c r="H2115" s="10" t="s">
        <v>6</v>
      </c>
      <c r="I2115" s="45">
        <v>279</v>
      </c>
      <c r="J2115" s="11">
        <v>0.51</v>
      </c>
      <c r="K2115" s="45">
        <f t="shared" ref="K2115:K2177" si="232">I2115*(1-J2115)</f>
        <v>136.71</v>
      </c>
      <c r="L2115" s="10">
        <v>17</v>
      </c>
      <c r="M2115" s="10">
        <v>2.2000000000000002</v>
      </c>
      <c r="N2115" s="10" t="b">
        <v>0</v>
      </c>
      <c r="O2115" s="41"/>
      <c r="P2115" s="45">
        <f t="shared" ref="P2115:P2177" si="233">K2115*0.42</f>
        <v>57.418199999999999</v>
      </c>
      <c r="Q2115" s="45">
        <f t="shared" ref="Q2115:Q2177" si="234">K2115-P2115</f>
        <v>79.291800000000009</v>
      </c>
      <c r="R2115" s="45">
        <v>0</v>
      </c>
      <c r="S2115" s="45">
        <f t="shared" ref="S2115:S2177" si="235">IF(N2115=TRUE,K2115*0.1,0)</f>
        <v>0</v>
      </c>
      <c r="T2115" s="45">
        <f t="shared" ref="T2115:T2177" si="236">IF(N2115=TRUE,K2115,0)</f>
        <v>0</v>
      </c>
      <c r="U2115" s="47">
        <f t="shared" ref="U2115:U2177" si="237">Q2115-R2115-S2115-T2115</f>
        <v>79.291800000000009</v>
      </c>
    </row>
    <row r="2116" spans="1:21" x14ac:dyDescent="0.3">
      <c r="A2116" s="41" t="str">
        <f t="shared" si="231"/>
        <v>PBANDR</v>
      </c>
      <c r="B2116" s="43">
        <v>45948</v>
      </c>
      <c r="C2116" s="10" t="s">
        <v>2158</v>
      </c>
      <c r="D2116" s="10" t="s">
        <v>21</v>
      </c>
      <c r="E2116" s="10" t="s">
        <v>30</v>
      </c>
      <c r="F2116" s="10" t="s">
        <v>4</v>
      </c>
      <c r="G2116" s="10" t="s">
        <v>27</v>
      </c>
      <c r="H2116" s="10" t="s">
        <v>58</v>
      </c>
      <c r="I2116" s="45">
        <v>2290</v>
      </c>
      <c r="J2116" s="11">
        <v>0.14499999999999999</v>
      </c>
      <c r="K2116" s="45">
        <f t="shared" si="232"/>
        <v>1957.95</v>
      </c>
      <c r="L2116" s="10">
        <v>13</v>
      </c>
      <c r="M2116" s="10">
        <v>1.3</v>
      </c>
      <c r="N2116" s="10" t="b">
        <v>0</v>
      </c>
      <c r="O2116" s="41"/>
      <c r="P2116" s="45">
        <f t="shared" si="233"/>
        <v>822.33899999999994</v>
      </c>
      <c r="Q2116" s="45">
        <f t="shared" si="234"/>
        <v>1135.6110000000001</v>
      </c>
      <c r="R2116" s="45">
        <v>0</v>
      </c>
      <c r="S2116" s="45">
        <f t="shared" si="235"/>
        <v>0</v>
      </c>
      <c r="T2116" s="45">
        <f t="shared" si="236"/>
        <v>0</v>
      </c>
      <c r="U2116" s="47">
        <f t="shared" si="237"/>
        <v>1135.6110000000001</v>
      </c>
    </row>
    <row r="2117" spans="1:21" x14ac:dyDescent="0.3">
      <c r="A2117" s="41" t="str">
        <f t="shared" si="231"/>
        <v>PZARAC</v>
      </c>
      <c r="B2117" s="43">
        <v>45948</v>
      </c>
      <c r="C2117" s="10" t="s">
        <v>2159</v>
      </c>
      <c r="D2117" s="10" t="s">
        <v>3</v>
      </c>
      <c r="E2117" s="10" t="s">
        <v>15</v>
      </c>
      <c r="F2117" s="10" t="s">
        <v>11</v>
      </c>
      <c r="G2117" s="10" t="s">
        <v>7</v>
      </c>
      <c r="H2117" s="10" t="s">
        <v>13</v>
      </c>
      <c r="I2117" s="45">
        <v>251</v>
      </c>
      <c r="J2117" s="11">
        <v>0.499</v>
      </c>
      <c r="K2117" s="45">
        <f t="shared" si="232"/>
        <v>125.751</v>
      </c>
      <c r="L2117" s="10">
        <v>0</v>
      </c>
      <c r="M2117" s="10">
        <v>4.5999999999999996</v>
      </c>
      <c r="N2117" s="10" t="b">
        <v>0</v>
      </c>
      <c r="O2117" s="41"/>
      <c r="P2117" s="45">
        <f t="shared" si="233"/>
        <v>52.815420000000003</v>
      </c>
      <c r="Q2117" s="45">
        <f t="shared" si="234"/>
        <v>72.935580000000002</v>
      </c>
      <c r="R2117" s="45">
        <v>0</v>
      </c>
      <c r="S2117" s="45">
        <f t="shared" si="235"/>
        <v>0</v>
      </c>
      <c r="T2117" s="45">
        <f t="shared" si="236"/>
        <v>0</v>
      </c>
      <c r="U2117" s="47">
        <f t="shared" si="237"/>
        <v>72.935580000000002</v>
      </c>
    </row>
    <row r="2118" spans="1:21" x14ac:dyDescent="0.3">
      <c r="A2118" s="41" t="str">
        <f t="shared" si="231"/>
        <v>PZARSH</v>
      </c>
      <c r="B2118" s="43">
        <v>45949</v>
      </c>
      <c r="C2118" s="10" t="s">
        <v>2160</v>
      </c>
      <c r="D2118" s="10" t="s">
        <v>3</v>
      </c>
      <c r="E2118" s="10" t="s">
        <v>18</v>
      </c>
      <c r="F2118" s="10" t="s">
        <v>11</v>
      </c>
      <c r="G2118" s="10" t="s">
        <v>5</v>
      </c>
      <c r="H2118" s="10" t="s">
        <v>32</v>
      </c>
      <c r="I2118" s="45">
        <v>3887</v>
      </c>
      <c r="J2118" s="11">
        <v>0.39899999999999997</v>
      </c>
      <c r="K2118" s="45">
        <f t="shared" si="232"/>
        <v>2336.087</v>
      </c>
      <c r="L2118" s="10">
        <v>28</v>
      </c>
      <c r="M2118" s="10">
        <v>1.3</v>
      </c>
      <c r="N2118" s="10" t="b">
        <v>1</v>
      </c>
      <c r="O2118" s="41" t="s">
        <v>80</v>
      </c>
      <c r="P2118" s="45">
        <f t="shared" si="233"/>
        <v>981.15653999999995</v>
      </c>
      <c r="Q2118" s="45">
        <f t="shared" si="234"/>
        <v>1354.93046</v>
      </c>
      <c r="R2118" s="45">
        <v>150</v>
      </c>
      <c r="S2118" s="45">
        <f t="shared" si="235"/>
        <v>233.6087</v>
      </c>
      <c r="T2118" s="45">
        <f t="shared" si="236"/>
        <v>2336.087</v>
      </c>
      <c r="U2118" s="47">
        <f t="shared" si="237"/>
        <v>-1364.7652399999999</v>
      </c>
    </row>
    <row r="2119" spans="1:21" x14ac:dyDescent="0.3">
      <c r="A2119" s="41" t="str">
        <f t="shared" si="231"/>
        <v>PZARBO</v>
      </c>
      <c r="B2119" s="43">
        <v>45949</v>
      </c>
      <c r="C2119" s="10" t="s">
        <v>2161</v>
      </c>
      <c r="D2119" s="10" t="s">
        <v>3</v>
      </c>
      <c r="E2119" s="10" t="s">
        <v>26</v>
      </c>
      <c r="F2119" s="10" t="s">
        <v>4</v>
      </c>
      <c r="G2119" s="10" t="s">
        <v>12</v>
      </c>
      <c r="H2119" s="10" t="s">
        <v>47</v>
      </c>
      <c r="I2119" s="45">
        <v>2621</v>
      </c>
      <c r="J2119" s="11">
        <v>0</v>
      </c>
      <c r="K2119" s="45">
        <f t="shared" si="232"/>
        <v>2621</v>
      </c>
      <c r="L2119" s="10">
        <v>12</v>
      </c>
      <c r="M2119" s="10">
        <v>3.6</v>
      </c>
      <c r="N2119" s="10" t="b">
        <v>0</v>
      </c>
      <c r="O2119" s="41"/>
      <c r="P2119" s="45">
        <f t="shared" si="233"/>
        <v>1100.82</v>
      </c>
      <c r="Q2119" s="45">
        <f t="shared" si="234"/>
        <v>1520.18</v>
      </c>
      <c r="R2119" s="45">
        <v>0</v>
      </c>
      <c r="S2119" s="45">
        <f t="shared" si="235"/>
        <v>0</v>
      </c>
      <c r="T2119" s="45">
        <f t="shared" si="236"/>
        <v>0</v>
      </c>
      <c r="U2119" s="47">
        <f t="shared" si="237"/>
        <v>1520.18</v>
      </c>
    </row>
    <row r="2120" spans="1:21" x14ac:dyDescent="0.3">
      <c r="A2120" s="41" t="str">
        <f t="shared" si="231"/>
        <v>PH&amp;MBO</v>
      </c>
      <c r="B2120" s="43">
        <v>45949</v>
      </c>
      <c r="C2120" s="10" t="s">
        <v>2162</v>
      </c>
      <c r="D2120" s="10" t="s">
        <v>37</v>
      </c>
      <c r="E2120" s="10" t="s">
        <v>26</v>
      </c>
      <c r="F2120" s="10" t="s">
        <v>11</v>
      </c>
      <c r="G2120" s="10" t="s">
        <v>49</v>
      </c>
      <c r="H2120" s="10" t="s">
        <v>47</v>
      </c>
      <c r="I2120" s="45">
        <v>2249</v>
      </c>
      <c r="J2120" s="11">
        <v>0</v>
      </c>
      <c r="K2120" s="45">
        <f t="shared" si="232"/>
        <v>2249</v>
      </c>
      <c r="L2120" s="10">
        <v>4</v>
      </c>
      <c r="M2120" s="10">
        <v>3.2</v>
      </c>
      <c r="N2120" s="10" t="b">
        <v>0</v>
      </c>
      <c r="O2120" s="41"/>
      <c r="P2120" s="45">
        <f t="shared" si="233"/>
        <v>944.57999999999993</v>
      </c>
      <c r="Q2120" s="45">
        <f t="shared" si="234"/>
        <v>1304.42</v>
      </c>
      <c r="R2120" s="45">
        <v>0</v>
      </c>
      <c r="S2120" s="45">
        <f t="shared" si="235"/>
        <v>0</v>
      </c>
      <c r="T2120" s="45">
        <f t="shared" si="236"/>
        <v>0</v>
      </c>
      <c r="U2120" s="47">
        <f t="shared" si="237"/>
        <v>1304.42</v>
      </c>
    </row>
    <row r="2121" spans="1:21" x14ac:dyDescent="0.3">
      <c r="A2121" s="41" t="str">
        <f t="shared" si="231"/>
        <v>PBANTO</v>
      </c>
      <c r="B2121" s="43">
        <v>45949</v>
      </c>
      <c r="C2121" s="10" t="s">
        <v>2163</v>
      </c>
      <c r="D2121" s="10" t="s">
        <v>21</v>
      </c>
      <c r="E2121" s="10" t="s">
        <v>9</v>
      </c>
      <c r="F2121" s="10" t="s">
        <v>4</v>
      </c>
      <c r="G2121" s="10" t="s">
        <v>12</v>
      </c>
      <c r="H2121" s="10" t="s">
        <v>6</v>
      </c>
      <c r="I2121" s="45">
        <v>1166</v>
      </c>
      <c r="J2121" s="11">
        <v>0</v>
      </c>
      <c r="K2121" s="45">
        <f t="shared" si="232"/>
        <v>1166</v>
      </c>
      <c r="L2121" s="10">
        <v>1</v>
      </c>
      <c r="M2121" s="10">
        <v>2.8</v>
      </c>
      <c r="N2121" s="10" t="b">
        <v>0</v>
      </c>
      <c r="O2121" s="41"/>
      <c r="P2121" s="45">
        <f t="shared" si="233"/>
        <v>489.71999999999997</v>
      </c>
      <c r="Q2121" s="45">
        <f t="shared" si="234"/>
        <v>676.28</v>
      </c>
      <c r="R2121" s="45">
        <v>0</v>
      </c>
      <c r="S2121" s="45">
        <f t="shared" si="235"/>
        <v>0</v>
      </c>
      <c r="T2121" s="45">
        <f t="shared" si="236"/>
        <v>0</v>
      </c>
      <c r="U2121" s="47">
        <f t="shared" si="237"/>
        <v>676.28</v>
      </c>
    </row>
    <row r="2122" spans="1:21" x14ac:dyDescent="0.3">
      <c r="A2122" s="41" t="str">
        <f t="shared" si="231"/>
        <v>PMANTO</v>
      </c>
      <c r="B2122" s="43">
        <v>45949</v>
      </c>
      <c r="C2122" s="10" t="s">
        <v>2164</v>
      </c>
      <c r="D2122" s="10" t="s">
        <v>31</v>
      </c>
      <c r="E2122" s="10" t="s">
        <v>9</v>
      </c>
      <c r="F2122" s="10" t="s">
        <v>23</v>
      </c>
      <c r="G2122" s="10" t="s">
        <v>12</v>
      </c>
      <c r="H2122" s="10" t="s">
        <v>35</v>
      </c>
      <c r="I2122" s="45">
        <v>917</v>
      </c>
      <c r="J2122" s="11">
        <v>6.6000000000000003E-2</v>
      </c>
      <c r="K2122" s="45">
        <f t="shared" si="232"/>
        <v>856.47799999999995</v>
      </c>
      <c r="L2122" s="10">
        <v>6</v>
      </c>
      <c r="M2122" s="10"/>
      <c r="N2122" s="10" t="b">
        <v>0</v>
      </c>
      <c r="O2122" s="41"/>
      <c r="P2122" s="45">
        <f t="shared" si="233"/>
        <v>359.72075999999998</v>
      </c>
      <c r="Q2122" s="45">
        <f t="shared" si="234"/>
        <v>496.75723999999997</v>
      </c>
      <c r="R2122" s="45">
        <v>0</v>
      </c>
      <c r="S2122" s="45">
        <f t="shared" si="235"/>
        <v>0</v>
      </c>
      <c r="T2122" s="45">
        <f t="shared" si="236"/>
        <v>0</v>
      </c>
      <c r="U2122" s="47">
        <f t="shared" si="237"/>
        <v>496.75723999999997</v>
      </c>
    </row>
    <row r="2123" spans="1:21" x14ac:dyDescent="0.3">
      <c r="A2123" s="41" t="str">
        <f t="shared" si="231"/>
        <v>PZARBO</v>
      </c>
      <c r="B2123" s="43">
        <v>45950</v>
      </c>
      <c r="C2123" s="10" t="s">
        <v>2165</v>
      </c>
      <c r="D2123" s="10" t="s">
        <v>3</v>
      </c>
      <c r="E2123" s="10" t="s">
        <v>26</v>
      </c>
      <c r="F2123" s="10" t="s">
        <v>23</v>
      </c>
      <c r="G2123" s="10" t="s">
        <v>12</v>
      </c>
      <c r="H2123" s="10" t="s">
        <v>7</v>
      </c>
      <c r="I2123" s="45">
        <v>2400</v>
      </c>
      <c r="J2123" s="11">
        <v>0</v>
      </c>
      <c r="K2123" s="45">
        <f t="shared" si="232"/>
        <v>2400</v>
      </c>
      <c r="L2123" s="10">
        <v>10</v>
      </c>
      <c r="M2123" s="10">
        <v>4.5</v>
      </c>
      <c r="N2123" s="10" t="b">
        <v>0</v>
      </c>
      <c r="O2123" s="41"/>
      <c r="P2123" s="45">
        <f t="shared" si="233"/>
        <v>1008</v>
      </c>
      <c r="Q2123" s="45">
        <f t="shared" si="234"/>
        <v>1392</v>
      </c>
      <c r="R2123" s="45">
        <v>0</v>
      </c>
      <c r="S2123" s="45">
        <f t="shared" si="235"/>
        <v>0</v>
      </c>
      <c r="T2123" s="45">
        <f t="shared" si="236"/>
        <v>0</v>
      </c>
      <c r="U2123" s="47">
        <f t="shared" si="237"/>
        <v>1392</v>
      </c>
    </row>
    <row r="2124" spans="1:21" x14ac:dyDescent="0.3">
      <c r="A2124" s="41" t="str">
        <f t="shared" si="231"/>
        <v>PANNOU</v>
      </c>
      <c r="B2124" s="43">
        <v>45950</v>
      </c>
      <c r="C2124" s="10" t="s">
        <v>2166</v>
      </c>
      <c r="D2124" s="10" t="s">
        <v>42</v>
      </c>
      <c r="E2124" s="10" t="s">
        <v>2</v>
      </c>
      <c r="F2124" s="10" t="s">
        <v>23</v>
      </c>
      <c r="G2124" s="10" t="s">
        <v>12</v>
      </c>
      <c r="H2124" s="10" t="s">
        <v>32</v>
      </c>
      <c r="I2124" s="45">
        <v>3398</v>
      </c>
      <c r="J2124" s="11">
        <v>0</v>
      </c>
      <c r="K2124" s="45">
        <f t="shared" si="232"/>
        <v>3398</v>
      </c>
      <c r="L2124" s="10">
        <v>17</v>
      </c>
      <c r="M2124" s="10">
        <v>4.0999999999999996</v>
      </c>
      <c r="N2124" s="10" t="b">
        <v>0</v>
      </c>
      <c r="O2124" s="41"/>
      <c r="P2124" s="45">
        <f t="shared" si="233"/>
        <v>1427.1599999999999</v>
      </c>
      <c r="Q2124" s="45">
        <f t="shared" si="234"/>
        <v>1970.8400000000001</v>
      </c>
      <c r="R2124" s="45">
        <v>0</v>
      </c>
      <c r="S2124" s="45">
        <f t="shared" si="235"/>
        <v>0</v>
      </c>
      <c r="T2124" s="45">
        <f t="shared" si="236"/>
        <v>0</v>
      </c>
      <c r="U2124" s="47">
        <f t="shared" si="237"/>
        <v>1970.8400000000001</v>
      </c>
    </row>
    <row r="2125" spans="1:21" x14ac:dyDescent="0.3">
      <c r="A2125" s="41" t="str">
        <f t="shared" si="231"/>
        <v>PBANOU</v>
      </c>
      <c r="B2125" s="43">
        <v>45950</v>
      </c>
      <c r="C2125" s="10" t="s">
        <v>2167</v>
      </c>
      <c r="D2125" s="10" t="s">
        <v>21</v>
      </c>
      <c r="E2125" s="10" t="s">
        <v>2</v>
      </c>
      <c r="F2125" s="10" t="s">
        <v>54</v>
      </c>
      <c r="G2125" s="10" t="s">
        <v>12</v>
      </c>
      <c r="H2125" s="10" t="s">
        <v>35</v>
      </c>
      <c r="I2125" s="45">
        <v>3673</v>
      </c>
      <c r="J2125" s="11">
        <v>0.441</v>
      </c>
      <c r="K2125" s="45">
        <f t="shared" si="232"/>
        <v>2053.2069999999999</v>
      </c>
      <c r="L2125" s="10">
        <v>25</v>
      </c>
      <c r="M2125" s="10"/>
      <c r="N2125" s="10" t="b">
        <v>1</v>
      </c>
      <c r="O2125" s="41" t="s">
        <v>33</v>
      </c>
      <c r="P2125" s="45">
        <f t="shared" si="233"/>
        <v>862.3469399999999</v>
      </c>
      <c r="Q2125" s="45">
        <f t="shared" si="234"/>
        <v>1190.86006</v>
      </c>
      <c r="R2125" s="45">
        <v>150</v>
      </c>
      <c r="S2125" s="45">
        <f t="shared" si="235"/>
        <v>205.32069999999999</v>
      </c>
      <c r="T2125" s="45">
        <f t="shared" si="236"/>
        <v>2053.2069999999999</v>
      </c>
      <c r="U2125" s="47">
        <f t="shared" si="237"/>
        <v>-1217.6676399999999</v>
      </c>
    </row>
    <row r="2126" spans="1:21" x14ac:dyDescent="0.3">
      <c r="A2126" s="41" t="str">
        <f t="shared" si="231"/>
        <v>PGAPSH</v>
      </c>
      <c r="B2126" s="43">
        <v>45951</v>
      </c>
      <c r="C2126" s="10" t="s">
        <v>2168</v>
      </c>
      <c r="D2126" s="10" t="s">
        <v>53</v>
      </c>
      <c r="E2126" s="10" t="s">
        <v>18</v>
      </c>
      <c r="F2126" s="10" t="s">
        <v>11</v>
      </c>
      <c r="G2126" s="10" t="s">
        <v>49</v>
      </c>
      <c r="H2126" s="10" t="s">
        <v>13</v>
      </c>
      <c r="I2126" s="45">
        <v>4233</v>
      </c>
      <c r="J2126" s="11">
        <v>0</v>
      </c>
      <c r="K2126" s="45">
        <f t="shared" si="232"/>
        <v>4233</v>
      </c>
      <c r="L2126" s="10">
        <v>13</v>
      </c>
      <c r="M2126" s="10">
        <v>3.8</v>
      </c>
      <c r="N2126" s="10" t="b">
        <v>0</v>
      </c>
      <c r="O2126" s="41"/>
      <c r="P2126" s="45">
        <f t="shared" si="233"/>
        <v>1777.86</v>
      </c>
      <c r="Q2126" s="45">
        <f t="shared" si="234"/>
        <v>2455.1400000000003</v>
      </c>
      <c r="R2126" s="45">
        <v>0</v>
      </c>
      <c r="S2126" s="45">
        <f t="shared" si="235"/>
        <v>0</v>
      </c>
      <c r="T2126" s="45">
        <f t="shared" si="236"/>
        <v>0</v>
      </c>
      <c r="U2126" s="47">
        <f t="shared" si="237"/>
        <v>2455.1400000000003</v>
      </c>
    </row>
    <row r="2127" spans="1:21" x14ac:dyDescent="0.3">
      <c r="A2127" s="41" t="str">
        <f t="shared" si="231"/>
        <v>PZARSH</v>
      </c>
      <c r="B2127" s="43">
        <v>45951</v>
      </c>
      <c r="C2127" s="10" t="s">
        <v>2169</v>
      </c>
      <c r="D2127" s="10" t="s">
        <v>3</v>
      </c>
      <c r="E2127" s="10" t="s">
        <v>18</v>
      </c>
      <c r="F2127" s="10" t="s">
        <v>54</v>
      </c>
      <c r="G2127" s="10" t="s">
        <v>46</v>
      </c>
      <c r="H2127" s="10" t="s">
        <v>88</v>
      </c>
      <c r="I2127" s="45">
        <v>3064</v>
      </c>
      <c r="J2127" s="11">
        <v>0</v>
      </c>
      <c r="K2127" s="45">
        <f t="shared" si="232"/>
        <v>3064</v>
      </c>
      <c r="L2127" s="10">
        <v>8</v>
      </c>
      <c r="M2127" s="10">
        <v>2.9</v>
      </c>
      <c r="N2127" s="10" t="b">
        <v>0</v>
      </c>
      <c r="O2127" s="41"/>
      <c r="P2127" s="45">
        <f t="shared" si="233"/>
        <v>1286.8799999999999</v>
      </c>
      <c r="Q2127" s="45">
        <f t="shared" si="234"/>
        <v>1777.1200000000001</v>
      </c>
      <c r="R2127" s="45">
        <v>0</v>
      </c>
      <c r="S2127" s="45">
        <f t="shared" si="235"/>
        <v>0</v>
      </c>
      <c r="T2127" s="45">
        <f t="shared" si="236"/>
        <v>0</v>
      </c>
      <c r="U2127" s="47">
        <f t="shared" si="237"/>
        <v>1777.1200000000001</v>
      </c>
    </row>
    <row r="2128" spans="1:21" x14ac:dyDescent="0.3">
      <c r="A2128" s="41" t="str">
        <f t="shared" si="231"/>
        <v>PBANTO</v>
      </c>
      <c r="B2128" s="43">
        <v>45951</v>
      </c>
      <c r="C2128" s="10" t="s">
        <v>2170</v>
      </c>
      <c r="D2128" s="10" t="s">
        <v>21</v>
      </c>
      <c r="E2128" s="10" t="s">
        <v>9</v>
      </c>
      <c r="F2128" s="10" t="s">
        <v>54</v>
      </c>
      <c r="G2128" s="10" t="s">
        <v>12</v>
      </c>
      <c r="H2128" s="10" t="s">
        <v>6</v>
      </c>
      <c r="I2128" s="45">
        <v>1741</v>
      </c>
      <c r="J2128" s="11">
        <v>0</v>
      </c>
      <c r="K2128" s="45">
        <f t="shared" si="232"/>
        <v>1741</v>
      </c>
      <c r="L2128" s="10">
        <v>9</v>
      </c>
      <c r="M2128" s="10"/>
      <c r="N2128" s="10" t="b">
        <v>0</v>
      </c>
      <c r="O2128" s="41"/>
      <c r="P2128" s="45">
        <f t="shared" si="233"/>
        <v>731.22</v>
      </c>
      <c r="Q2128" s="45">
        <f t="shared" si="234"/>
        <v>1009.78</v>
      </c>
      <c r="R2128" s="45">
        <v>0</v>
      </c>
      <c r="S2128" s="45">
        <f t="shared" si="235"/>
        <v>0</v>
      </c>
      <c r="T2128" s="45">
        <f t="shared" si="236"/>
        <v>0</v>
      </c>
      <c r="U2128" s="47">
        <f t="shared" si="237"/>
        <v>1009.78</v>
      </c>
    </row>
    <row r="2129" spans="1:21" x14ac:dyDescent="0.3">
      <c r="A2129" s="41" t="str">
        <f t="shared" si="231"/>
        <v>PGAPOU</v>
      </c>
      <c r="B2129" s="43">
        <v>45951</v>
      </c>
      <c r="C2129" s="10" t="s">
        <v>2171</v>
      </c>
      <c r="D2129" s="10" t="s">
        <v>53</v>
      </c>
      <c r="E2129" s="10" t="s">
        <v>2</v>
      </c>
      <c r="F2129" s="10" t="s">
        <v>11</v>
      </c>
      <c r="G2129" s="10" t="s">
        <v>12</v>
      </c>
      <c r="H2129" s="10" t="s">
        <v>35</v>
      </c>
      <c r="I2129" s="45">
        <v>3397</v>
      </c>
      <c r="J2129" s="11">
        <v>0.26600000000000001</v>
      </c>
      <c r="K2129" s="45">
        <f t="shared" si="232"/>
        <v>2493.3980000000001</v>
      </c>
      <c r="L2129" s="10">
        <v>21</v>
      </c>
      <c r="M2129" s="10">
        <v>3.9</v>
      </c>
      <c r="N2129" s="10" t="b">
        <v>1</v>
      </c>
      <c r="O2129" s="41" t="s">
        <v>44</v>
      </c>
      <c r="P2129" s="45">
        <f t="shared" si="233"/>
        <v>1047.2271599999999</v>
      </c>
      <c r="Q2129" s="45">
        <f t="shared" si="234"/>
        <v>1446.1708400000002</v>
      </c>
      <c r="R2129" s="45">
        <v>150</v>
      </c>
      <c r="S2129" s="45">
        <f t="shared" si="235"/>
        <v>249.33980000000003</v>
      </c>
      <c r="T2129" s="45">
        <f t="shared" si="236"/>
        <v>2493.3980000000001</v>
      </c>
      <c r="U2129" s="47">
        <f t="shared" si="237"/>
        <v>-1446.5669599999999</v>
      </c>
    </row>
    <row r="2130" spans="1:21" x14ac:dyDescent="0.3">
      <c r="A2130" s="41" t="str">
        <f t="shared" si="231"/>
        <v>PUNIAC</v>
      </c>
      <c r="B2130" s="43">
        <v>45952</v>
      </c>
      <c r="C2130" s="10" t="s">
        <v>2172</v>
      </c>
      <c r="D2130" s="10" t="s">
        <v>10</v>
      </c>
      <c r="E2130" s="10" t="s">
        <v>15</v>
      </c>
      <c r="F2130" s="10" t="s">
        <v>4</v>
      </c>
      <c r="G2130" s="10" t="s">
        <v>7</v>
      </c>
      <c r="H2130" s="10" t="s">
        <v>13</v>
      </c>
      <c r="I2130" s="45">
        <v>268</v>
      </c>
      <c r="J2130" s="11">
        <v>0</v>
      </c>
      <c r="K2130" s="45">
        <f t="shared" si="232"/>
        <v>268</v>
      </c>
      <c r="L2130" s="10">
        <v>38</v>
      </c>
      <c r="M2130" s="10">
        <v>1.9</v>
      </c>
      <c r="N2130" s="10" t="b">
        <v>0</v>
      </c>
      <c r="O2130" s="41"/>
      <c r="P2130" s="45">
        <f t="shared" si="233"/>
        <v>112.56</v>
      </c>
      <c r="Q2130" s="45">
        <f t="shared" si="234"/>
        <v>155.44</v>
      </c>
      <c r="R2130" s="45">
        <v>0</v>
      </c>
      <c r="S2130" s="45">
        <f t="shared" si="235"/>
        <v>0</v>
      </c>
      <c r="T2130" s="45">
        <f t="shared" si="236"/>
        <v>0</v>
      </c>
      <c r="U2130" s="47">
        <f t="shared" si="237"/>
        <v>155.44</v>
      </c>
    </row>
    <row r="2131" spans="1:21" x14ac:dyDescent="0.3">
      <c r="A2131" s="41" t="str">
        <f t="shared" si="231"/>
        <v>PH&amp;MSH</v>
      </c>
      <c r="B2131" s="43">
        <v>45952</v>
      </c>
      <c r="C2131" s="10" t="s">
        <v>2173</v>
      </c>
      <c r="D2131" s="10" t="s">
        <v>37</v>
      </c>
      <c r="E2131" s="10" t="s">
        <v>18</v>
      </c>
      <c r="F2131" s="10" t="s">
        <v>11</v>
      </c>
      <c r="G2131" s="10" t="s">
        <v>49</v>
      </c>
      <c r="H2131" s="10" t="s">
        <v>58</v>
      </c>
      <c r="I2131" s="45">
        <v>3730</v>
      </c>
      <c r="J2131" s="11">
        <v>0</v>
      </c>
      <c r="K2131" s="45">
        <f t="shared" si="232"/>
        <v>3730</v>
      </c>
      <c r="L2131" s="10">
        <v>36</v>
      </c>
      <c r="M2131" s="10">
        <v>2.2999999999999998</v>
      </c>
      <c r="N2131" s="10" t="b">
        <v>0</v>
      </c>
      <c r="O2131" s="41"/>
      <c r="P2131" s="45">
        <f t="shared" si="233"/>
        <v>1566.6</v>
      </c>
      <c r="Q2131" s="45">
        <f t="shared" si="234"/>
        <v>2163.4</v>
      </c>
      <c r="R2131" s="45">
        <v>0</v>
      </c>
      <c r="S2131" s="45">
        <f t="shared" si="235"/>
        <v>0</v>
      </c>
      <c r="T2131" s="45">
        <f t="shared" si="236"/>
        <v>0</v>
      </c>
      <c r="U2131" s="47">
        <f t="shared" si="237"/>
        <v>2163.4</v>
      </c>
    </row>
    <row r="2132" spans="1:21" x14ac:dyDescent="0.3">
      <c r="A2132" s="41" t="str">
        <f t="shared" si="231"/>
        <v>PFORAC</v>
      </c>
      <c r="B2132" s="43">
        <v>45952</v>
      </c>
      <c r="C2132" s="10" t="s">
        <v>2174</v>
      </c>
      <c r="D2132" s="10" t="s">
        <v>65</v>
      </c>
      <c r="E2132" s="10" t="s">
        <v>15</v>
      </c>
      <c r="F2132" s="10" t="s">
        <v>23</v>
      </c>
      <c r="G2132" s="10" t="s">
        <v>7</v>
      </c>
      <c r="H2132" s="10" t="s">
        <v>56</v>
      </c>
      <c r="I2132" s="45">
        <v>447</v>
      </c>
      <c r="J2132" s="11">
        <v>0</v>
      </c>
      <c r="K2132" s="45">
        <f t="shared" si="232"/>
        <v>447</v>
      </c>
      <c r="L2132" s="10">
        <v>47</v>
      </c>
      <c r="M2132" s="10">
        <v>2.8</v>
      </c>
      <c r="N2132" s="10" t="b">
        <v>1</v>
      </c>
      <c r="O2132" s="41" t="s">
        <v>44</v>
      </c>
      <c r="P2132" s="45">
        <f t="shared" si="233"/>
        <v>187.73999999999998</v>
      </c>
      <c r="Q2132" s="45">
        <f t="shared" si="234"/>
        <v>259.26</v>
      </c>
      <c r="R2132" s="45">
        <v>150</v>
      </c>
      <c r="S2132" s="45">
        <f t="shared" si="235"/>
        <v>44.7</v>
      </c>
      <c r="T2132" s="45">
        <f t="shared" si="236"/>
        <v>447</v>
      </c>
      <c r="U2132" s="47">
        <f t="shared" si="237"/>
        <v>-382.44</v>
      </c>
    </row>
    <row r="2133" spans="1:21" x14ac:dyDescent="0.3">
      <c r="A2133" s="41" t="str">
        <f t="shared" si="231"/>
        <v>PH&amp;MDR</v>
      </c>
      <c r="B2133" s="43">
        <v>45952</v>
      </c>
      <c r="C2133" s="10" t="s">
        <v>2175</v>
      </c>
      <c r="D2133" s="10" t="s">
        <v>37</v>
      </c>
      <c r="E2133" s="10" t="s">
        <v>30</v>
      </c>
      <c r="F2133" s="10" t="s">
        <v>4</v>
      </c>
      <c r="G2133" s="10" t="s">
        <v>49</v>
      </c>
      <c r="H2133" s="10" t="s">
        <v>35</v>
      </c>
      <c r="I2133" s="45">
        <v>2813</v>
      </c>
      <c r="J2133" s="11">
        <v>0</v>
      </c>
      <c r="K2133" s="45">
        <f t="shared" si="232"/>
        <v>2813</v>
      </c>
      <c r="L2133" s="10">
        <v>37</v>
      </c>
      <c r="M2133" s="10">
        <v>4.7</v>
      </c>
      <c r="N2133" s="10" t="b">
        <v>0</v>
      </c>
      <c r="O2133" s="41"/>
      <c r="P2133" s="45">
        <f t="shared" si="233"/>
        <v>1181.46</v>
      </c>
      <c r="Q2133" s="45">
        <f t="shared" si="234"/>
        <v>1631.54</v>
      </c>
      <c r="R2133" s="45">
        <v>0</v>
      </c>
      <c r="S2133" s="45">
        <f t="shared" si="235"/>
        <v>0</v>
      </c>
      <c r="T2133" s="45">
        <f t="shared" si="236"/>
        <v>0</v>
      </c>
      <c r="U2133" s="47">
        <f t="shared" si="237"/>
        <v>1631.54</v>
      </c>
    </row>
    <row r="2134" spans="1:21" x14ac:dyDescent="0.3">
      <c r="A2134" s="41" t="str">
        <f t="shared" si="231"/>
        <v>PZARDR</v>
      </c>
      <c r="B2134" s="43">
        <v>45953</v>
      </c>
      <c r="C2134" s="10" t="s">
        <v>2176</v>
      </c>
      <c r="D2134" s="10" t="s">
        <v>3</v>
      </c>
      <c r="E2134" s="10" t="s">
        <v>30</v>
      </c>
      <c r="F2134" s="10" t="s">
        <v>23</v>
      </c>
      <c r="G2134" s="10" t="s">
        <v>27</v>
      </c>
      <c r="H2134" s="10" t="s">
        <v>16</v>
      </c>
      <c r="I2134" s="45">
        <v>1998</v>
      </c>
      <c r="J2134" s="11">
        <v>0</v>
      </c>
      <c r="K2134" s="45">
        <f t="shared" si="232"/>
        <v>1998</v>
      </c>
      <c r="L2134" s="10">
        <v>4</v>
      </c>
      <c r="M2134" s="10">
        <v>3.7</v>
      </c>
      <c r="N2134" s="10" t="b">
        <v>1</v>
      </c>
      <c r="O2134" s="41" t="s">
        <v>33</v>
      </c>
      <c r="P2134" s="45">
        <f t="shared" si="233"/>
        <v>839.16</v>
      </c>
      <c r="Q2134" s="45">
        <f t="shared" si="234"/>
        <v>1158.8400000000001</v>
      </c>
      <c r="R2134" s="45">
        <v>150</v>
      </c>
      <c r="S2134" s="45">
        <f t="shared" si="235"/>
        <v>199.8</v>
      </c>
      <c r="T2134" s="45">
        <f t="shared" si="236"/>
        <v>1998</v>
      </c>
      <c r="U2134" s="47">
        <f t="shared" si="237"/>
        <v>-1188.9599999999998</v>
      </c>
    </row>
    <row r="2135" spans="1:21" x14ac:dyDescent="0.3">
      <c r="A2135" s="41" t="str">
        <f t="shared" si="231"/>
        <v>PANNAC</v>
      </c>
      <c r="B2135" s="43">
        <v>45953</v>
      </c>
      <c r="C2135" s="10" t="s">
        <v>2177</v>
      </c>
      <c r="D2135" s="10" t="s">
        <v>42</v>
      </c>
      <c r="E2135" s="10" t="s">
        <v>15</v>
      </c>
      <c r="F2135" s="10" t="s">
        <v>11</v>
      </c>
      <c r="G2135" s="10" t="s">
        <v>7</v>
      </c>
      <c r="H2135" s="10" t="s">
        <v>16</v>
      </c>
      <c r="I2135" s="45">
        <v>285</v>
      </c>
      <c r="J2135" s="11">
        <v>9.5000000000000001E-2</v>
      </c>
      <c r="K2135" s="45">
        <f t="shared" si="232"/>
        <v>257.92500000000001</v>
      </c>
      <c r="L2135" s="10">
        <v>9</v>
      </c>
      <c r="M2135" s="10">
        <v>3.9</v>
      </c>
      <c r="N2135" s="10" t="b">
        <v>1</v>
      </c>
      <c r="O2135" s="41" t="s">
        <v>44</v>
      </c>
      <c r="P2135" s="45">
        <f t="shared" si="233"/>
        <v>108.32850000000001</v>
      </c>
      <c r="Q2135" s="45">
        <f t="shared" si="234"/>
        <v>149.59649999999999</v>
      </c>
      <c r="R2135" s="45">
        <v>150</v>
      </c>
      <c r="S2135" s="45">
        <f t="shared" si="235"/>
        <v>25.792500000000004</v>
      </c>
      <c r="T2135" s="45">
        <f t="shared" si="236"/>
        <v>257.92500000000001</v>
      </c>
      <c r="U2135" s="47">
        <f t="shared" si="237"/>
        <v>-284.12100000000004</v>
      </c>
    </row>
    <row r="2136" spans="1:21" x14ac:dyDescent="0.3">
      <c r="A2136" s="41" t="str">
        <f t="shared" si="231"/>
        <v>PMANAC</v>
      </c>
      <c r="B2136" s="43">
        <v>45953</v>
      </c>
      <c r="C2136" s="10" t="s">
        <v>2178</v>
      </c>
      <c r="D2136" s="10" t="s">
        <v>31</v>
      </c>
      <c r="E2136" s="10" t="s">
        <v>15</v>
      </c>
      <c r="F2136" s="10" t="s">
        <v>54</v>
      </c>
      <c r="G2136" s="10" t="s">
        <v>7</v>
      </c>
      <c r="H2136" s="10" t="s">
        <v>6</v>
      </c>
      <c r="I2136" s="45">
        <v>262</v>
      </c>
      <c r="J2136" s="11">
        <v>0.58099999999999996</v>
      </c>
      <c r="K2136" s="45">
        <f t="shared" si="232"/>
        <v>109.77800000000001</v>
      </c>
      <c r="L2136" s="10">
        <v>35</v>
      </c>
      <c r="M2136" s="10">
        <v>4.8</v>
      </c>
      <c r="N2136" s="10" t="b">
        <v>0</v>
      </c>
      <c r="O2136" s="41"/>
      <c r="P2136" s="45">
        <f t="shared" si="233"/>
        <v>46.106760000000001</v>
      </c>
      <c r="Q2136" s="45">
        <f t="shared" si="234"/>
        <v>63.671240000000004</v>
      </c>
      <c r="R2136" s="45">
        <v>0</v>
      </c>
      <c r="S2136" s="45">
        <f t="shared" si="235"/>
        <v>0</v>
      </c>
      <c r="T2136" s="45">
        <f t="shared" si="236"/>
        <v>0</v>
      </c>
      <c r="U2136" s="47">
        <f t="shared" si="237"/>
        <v>63.671240000000004</v>
      </c>
    </row>
    <row r="2137" spans="1:21" x14ac:dyDescent="0.3">
      <c r="A2137" s="41" t="str">
        <f t="shared" si="231"/>
        <v>PUNIDR</v>
      </c>
      <c r="B2137" s="43">
        <v>45953</v>
      </c>
      <c r="C2137" s="10" t="s">
        <v>2179</v>
      </c>
      <c r="D2137" s="10" t="s">
        <v>10</v>
      </c>
      <c r="E2137" s="10" t="s">
        <v>30</v>
      </c>
      <c r="F2137" s="10" t="s">
        <v>4</v>
      </c>
      <c r="G2137" s="10" t="s">
        <v>7</v>
      </c>
      <c r="H2137" s="10" t="s">
        <v>32</v>
      </c>
      <c r="I2137" s="45">
        <v>2861</v>
      </c>
      <c r="J2137" s="11">
        <v>0</v>
      </c>
      <c r="K2137" s="45">
        <f t="shared" si="232"/>
        <v>2861</v>
      </c>
      <c r="L2137" s="10">
        <v>0</v>
      </c>
      <c r="M2137" s="10">
        <v>3.7</v>
      </c>
      <c r="N2137" s="10" t="b">
        <v>0</v>
      </c>
      <c r="O2137" s="41"/>
      <c r="P2137" s="45">
        <f t="shared" si="233"/>
        <v>1201.6199999999999</v>
      </c>
      <c r="Q2137" s="45">
        <f t="shared" si="234"/>
        <v>1659.38</v>
      </c>
      <c r="R2137" s="45">
        <v>0</v>
      </c>
      <c r="S2137" s="45">
        <f t="shared" si="235"/>
        <v>0</v>
      </c>
      <c r="T2137" s="45">
        <f t="shared" si="236"/>
        <v>0</v>
      </c>
      <c r="U2137" s="47">
        <f t="shared" si="237"/>
        <v>1659.38</v>
      </c>
    </row>
    <row r="2138" spans="1:21" x14ac:dyDescent="0.3">
      <c r="A2138" s="41" t="str">
        <f t="shared" si="231"/>
        <v>PZARDR</v>
      </c>
      <c r="B2138" s="43">
        <v>45954</v>
      </c>
      <c r="C2138" s="10" t="s">
        <v>2180</v>
      </c>
      <c r="D2138" s="10" t="s">
        <v>3</v>
      </c>
      <c r="E2138" s="10" t="s">
        <v>30</v>
      </c>
      <c r="F2138" s="10" t="s">
        <v>54</v>
      </c>
      <c r="G2138" s="10" t="s">
        <v>49</v>
      </c>
      <c r="H2138" s="10" t="s">
        <v>35</v>
      </c>
      <c r="I2138" s="45">
        <v>2405</v>
      </c>
      <c r="J2138" s="11">
        <v>0</v>
      </c>
      <c r="K2138" s="45">
        <f t="shared" si="232"/>
        <v>2405</v>
      </c>
      <c r="L2138" s="10">
        <v>23</v>
      </c>
      <c r="M2138" s="10">
        <v>4.9000000000000004</v>
      </c>
      <c r="N2138" s="10" t="b">
        <v>0</v>
      </c>
      <c r="O2138" s="41"/>
      <c r="P2138" s="45">
        <f t="shared" si="233"/>
        <v>1010.0999999999999</v>
      </c>
      <c r="Q2138" s="45">
        <f t="shared" si="234"/>
        <v>1394.9</v>
      </c>
      <c r="R2138" s="45">
        <v>0</v>
      </c>
      <c r="S2138" s="45">
        <f t="shared" si="235"/>
        <v>0</v>
      </c>
      <c r="T2138" s="45">
        <f t="shared" si="236"/>
        <v>0</v>
      </c>
      <c r="U2138" s="47">
        <f t="shared" si="237"/>
        <v>1394.9</v>
      </c>
    </row>
    <row r="2139" spans="1:21" x14ac:dyDescent="0.3">
      <c r="A2139" s="41" t="str">
        <f t="shared" si="231"/>
        <v>PFORBO</v>
      </c>
      <c r="B2139" s="43">
        <v>45954</v>
      </c>
      <c r="C2139" s="10" t="s">
        <v>2181</v>
      </c>
      <c r="D2139" s="10" t="s">
        <v>65</v>
      </c>
      <c r="E2139" s="10" t="s">
        <v>26</v>
      </c>
      <c r="F2139" s="10" t="s">
        <v>54</v>
      </c>
      <c r="G2139" s="10" t="s">
        <v>5</v>
      </c>
      <c r="H2139" s="10" t="s">
        <v>13</v>
      </c>
      <c r="I2139" s="45">
        <v>2040</v>
      </c>
      <c r="J2139" s="11">
        <v>0</v>
      </c>
      <c r="K2139" s="45">
        <f t="shared" si="232"/>
        <v>2040</v>
      </c>
      <c r="L2139" s="10">
        <v>17</v>
      </c>
      <c r="M2139" s="10">
        <v>2.6</v>
      </c>
      <c r="N2139" s="10" t="b">
        <v>0</v>
      </c>
      <c r="O2139" s="41"/>
      <c r="P2139" s="45">
        <f t="shared" si="233"/>
        <v>856.8</v>
      </c>
      <c r="Q2139" s="45">
        <f t="shared" si="234"/>
        <v>1183.2</v>
      </c>
      <c r="R2139" s="45">
        <v>0</v>
      </c>
      <c r="S2139" s="45">
        <f t="shared" si="235"/>
        <v>0</v>
      </c>
      <c r="T2139" s="45">
        <f t="shared" si="236"/>
        <v>0</v>
      </c>
      <c r="U2139" s="47">
        <f t="shared" si="237"/>
        <v>1183.2</v>
      </c>
    </row>
    <row r="2140" spans="1:21" x14ac:dyDescent="0.3">
      <c r="A2140" s="41" t="str">
        <f t="shared" si="231"/>
        <v>PUNITO</v>
      </c>
      <c r="B2140" s="43">
        <v>45954</v>
      </c>
      <c r="C2140" s="10" t="s">
        <v>2182</v>
      </c>
      <c r="D2140" s="10" t="s">
        <v>10</v>
      </c>
      <c r="E2140" s="10" t="s">
        <v>9</v>
      </c>
      <c r="F2140" s="10" t="s">
        <v>23</v>
      </c>
      <c r="G2140" s="10" t="s">
        <v>49</v>
      </c>
      <c r="H2140" s="10" t="s">
        <v>47</v>
      </c>
      <c r="I2140" s="45">
        <v>1353</v>
      </c>
      <c r="J2140" s="11">
        <v>0</v>
      </c>
      <c r="K2140" s="45">
        <f t="shared" si="232"/>
        <v>1353</v>
      </c>
      <c r="L2140" s="10">
        <v>7</v>
      </c>
      <c r="M2140" s="10">
        <v>3.3</v>
      </c>
      <c r="N2140" s="10" t="b">
        <v>1</v>
      </c>
      <c r="O2140" s="41" t="s">
        <v>33</v>
      </c>
      <c r="P2140" s="45">
        <f t="shared" si="233"/>
        <v>568.26</v>
      </c>
      <c r="Q2140" s="45">
        <f t="shared" si="234"/>
        <v>784.74</v>
      </c>
      <c r="R2140" s="45">
        <v>150</v>
      </c>
      <c r="S2140" s="45">
        <f t="shared" si="235"/>
        <v>135.30000000000001</v>
      </c>
      <c r="T2140" s="45">
        <f t="shared" si="236"/>
        <v>1353</v>
      </c>
      <c r="U2140" s="47">
        <f t="shared" si="237"/>
        <v>-853.56</v>
      </c>
    </row>
    <row r="2141" spans="1:21" x14ac:dyDescent="0.3">
      <c r="A2141" s="41" t="str">
        <f t="shared" si="231"/>
        <v>PMANTO</v>
      </c>
      <c r="B2141" s="43">
        <v>45954</v>
      </c>
      <c r="C2141" s="10" t="s">
        <v>2183</v>
      </c>
      <c r="D2141" s="10" t="s">
        <v>31</v>
      </c>
      <c r="E2141" s="10" t="s">
        <v>9</v>
      </c>
      <c r="F2141" s="10" t="s">
        <v>23</v>
      </c>
      <c r="G2141" s="10" t="s">
        <v>7</v>
      </c>
      <c r="H2141" s="10" t="s">
        <v>47</v>
      </c>
      <c r="I2141" s="45">
        <v>1579</v>
      </c>
      <c r="J2141" s="11">
        <v>0</v>
      </c>
      <c r="K2141" s="45">
        <f t="shared" si="232"/>
        <v>1579</v>
      </c>
      <c r="L2141" s="10">
        <v>48</v>
      </c>
      <c r="M2141" s="10">
        <v>2.6</v>
      </c>
      <c r="N2141" s="10" t="b">
        <v>0</v>
      </c>
      <c r="O2141" s="41"/>
      <c r="P2141" s="45">
        <f t="shared" si="233"/>
        <v>663.18</v>
      </c>
      <c r="Q2141" s="45">
        <f t="shared" si="234"/>
        <v>915.82</v>
      </c>
      <c r="R2141" s="45">
        <v>0</v>
      </c>
      <c r="S2141" s="45">
        <f t="shared" si="235"/>
        <v>0</v>
      </c>
      <c r="T2141" s="45">
        <f t="shared" si="236"/>
        <v>0</v>
      </c>
      <c r="U2141" s="47">
        <f t="shared" si="237"/>
        <v>915.82</v>
      </c>
    </row>
    <row r="2142" spans="1:21" x14ac:dyDescent="0.3">
      <c r="A2142" s="41" t="str">
        <f t="shared" si="231"/>
        <v>PMANSH</v>
      </c>
      <c r="B2142" s="43">
        <v>45955</v>
      </c>
      <c r="C2142" s="10" t="s">
        <v>2184</v>
      </c>
      <c r="D2142" s="10" t="s">
        <v>31</v>
      </c>
      <c r="E2142" s="10" t="s">
        <v>18</v>
      </c>
      <c r="F2142" s="10" t="s">
        <v>54</v>
      </c>
      <c r="G2142" s="10" t="s">
        <v>49</v>
      </c>
      <c r="H2142" s="10" t="s">
        <v>43</v>
      </c>
      <c r="I2142" s="45">
        <v>4361</v>
      </c>
      <c r="J2142" s="11">
        <v>6.3E-2</v>
      </c>
      <c r="K2142" s="45">
        <f t="shared" si="232"/>
        <v>4086.2570000000001</v>
      </c>
      <c r="L2142" s="10">
        <v>1</v>
      </c>
      <c r="M2142" s="10">
        <v>2</v>
      </c>
      <c r="N2142" s="10" t="b">
        <v>1</v>
      </c>
      <c r="O2142" s="41" t="s">
        <v>44</v>
      </c>
      <c r="P2142" s="45">
        <f t="shared" si="233"/>
        <v>1716.22794</v>
      </c>
      <c r="Q2142" s="45">
        <f t="shared" si="234"/>
        <v>2370.0290599999998</v>
      </c>
      <c r="R2142" s="45">
        <v>150</v>
      </c>
      <c r="S2142" s="45">
        <f t="shared" si="235"/>
        <v>408.62570000000005</v>
      </c>
      <c r="T2142" s="45">
        <f t="shared" si="236"/>
        <v>4086.2570000000001</v>
      </c>
      <c r="U2142" s="47">
        <f t="shared" si="237"/>
        <v>-2274.8536400000003</v>
      </c>
    </row>
    <row r="2143" spans="1:21" x14ac:dyDescent="0.3">
      <c r="A2143" s="41" t="str">
        <f t="shared" si="231"/>
        <v>PMANTO</v>
      </c>
      <c r="B2143" s="43">
        <v>45955</v>
      </c>
      <c r="C2143" s="10" t="s">
        <v>2185</v>
      </c>
      <c r="D2143" s="10" t="s">
        <v>31</v>
      </c>
      <c r="E2143" s="10" t="s">
        <v>9</v>
      </c>
      <c r="F2143" s="10" t="s">
        <v>23</v>
      </c>
      <c r="G2143" s="10" t="s">
        <v>12</v>
      </c>
      <c r="H2143" s="10" t="s">
        <v>43</v>
      </c>
      <c r="I2143" s="45">
        <v>1572</v>
      </c>
      <c r="J2143" s="11">
        <v>0.17300000000000001</v>
      </c>
      <c r="K2143" s="45">
        <f t="shared" si="232"/>
        <v>1300.0439999999999</v>
      </c>
      <c r="L2143" s="10">
        <v>21</v>
      </c>
      <c r="M2143" s="10">
        <v>3.6</v>
      </c>
      <c r="N2143" s="10" t="b">
        <v>1</v>
      </c>
      <c r="O2143" s="41" t="s">
        <v>80</v>
      </c>
      <c r="P2143" s="45">
        <f t="shared" si="233"/>
        <v>546.01847999999995</v>
      </c>
      <c r="Q2143" s="45">
        <f t="shared" si="234"/>
        <v>754.02551999999991</v>
      </c>
      <c r="R2143" s="45">
        <v>150</v>
      </c>
      <c r="S2143" s="45">
        <f t="shared" si="235"/>
        <v>130.0044</v>
      </c>
      <c r="T2143" s="45">
        <f t="shared" si="236"/>
        <v>1300.0439999999999</v>
      </c>
      <c r="U2143" s="47">
        <f t="shared" si="237"/>
        <v>-826.02287999999999</v>
      </c>
    </row>
    <row r="2144" spans="1:21" x14ac:dyDescent="0.3">
      <c r="A2144" s="41" t="str">
        <f t="shared" si="231"/>
        <v>PFOROU</v>
      </c>
      <c r="B2144" s="43">
        <v>45955</v>
      </c>
      <c r="C2144" s="10" t="s">
        <v>2186</v>
      </c>
      <c r="D2144" s="10" t="s">
        <v>65</v>
      </c>
      <c r="E2144" s="10" t="s">
        <v>2</v>
      </c>
      <c r="F2144" s="10" t="s">
        <v>54</v>
      </c>
      <c r="G2144" s="10" t="s">
        <v>38</v>
      </c>
      <c r="H2144" s="10" t="s">
        <v>13</v>
      </c>
      <c r="I2144" s="45">
        <v>4129</v>
      </c>
      <c r="J2144" s="11">
        <v>8.5999999999999993E-2</v>
      </c>
      <c r="K2144" s="45">
        <f t="shared" si="232"/>
        <v>3773.9059999999999</v>
      </c>
      <c r="L2144" s="10">
        <v>5</v>
      </c>
      <c r="M2144" s="10"/>
      <c r="N2144" s="10" t="b">
        <v>1</v>
      </c>
      <c r="O2144" s="41" t="s">
        <v>44</v>
      </c>
      <c r="P2144" s="45">
        <f t="shared" si="233"/>
        <v>1585.04052</v>
      </c>
      <c r="Q2144" s="45">
        <f t="shared" si="234"/>
        <v>2188.8654799999999</v>
      </c>
      <c r="R2144" s="45">
        <v>150</v>
      </c>
      <c r="S2144" s="45">
        <f t="shared" si="235"/>
        <v>377.39060000000001</v>
      </c>
      <c r="T2144" s="45">
        <f t="shared" si="236"/>
        <v>3773.9059999999999</v>
      </c>
      <c r="U2144" s="47">
        <f t="shared" si="237"/>
        <v>-2112.4311200000002</v>
      </c>
    </row>
    <row r="2145" spans="1:21" x14ac:dyDescent="0.3">
      <c r="A2145" s="41" t="str">
        <f t="shared" si="231"/>
        <v>PGAPBO</v>
      </c>
      <c r="B2145" s="43">
        <v>45955</v>
      </c>
      <c r="C2145" s="10" t="s">
        <v>2187</v>
      </c>
      <c r="D2145" s="10" t="s">
        <v>53</v>
      </c>
      <c r="E2145" s="10" t="s">
        <v>26</v>
      </c>
      <c r="F2145" s="10" t="s">
        <v>54</v>
      </c>
      <c r="G2145" s="10" t="s">
        <v>12</v>
      </c>
      <c r="H2145" s="10" t="s">
        <v>47</v>
      </c>
      <c r="I2145" s="45">
        <v>2351</v>
      </c>
      <c r="J2145" s="11">
        <v>0</v>
      </c>
      <c r="K2145" s="45">
        <f t="shared" si="232"/>
        <v>2351</v>
      </c>
      <c r="L2145" s="10">
        <v>21</v>
      </c>
      <c r="M2145" s="10">
        <v>1.8</v>
      </c>
      <c r="N2145" s="10" t="b">
        <v>0</v>
      </c>
      <c r="O2145" s="41"/>
      <c r="P2145" s="45">
        <f t="shared" si="233"/>
        <v>987.42</v>
      </c>
      <c r="Q2145" s="45">
        <f t="shared" si="234"/>
        <v>1363.58</v>
      </c>
      <c r="R2145" s="45">
        <v>0</v>
      </c>
      <c r="S2145" s="45">
        <f t="shared" si="235"/>
        <v>0</v>
      </c>
      <c r="T2145" s="45">
        <f t="shared" si="236"/>
        <v>0</v>
      </c>
      <c r="U2145" s="47">
        <f t="shared" si="237"/>
        <v>1363.58</v>
      </c>
    </row>
    <row r="2146" spans="1:21" x14ac:dyDescent="0.3">
      <c r="A2146" s="41" t="str">
        <f t="shared" si="231"/>
        <v>PUNIAC</v>
      </c>
      <c r="B2146" s="43">
        <v>45955</v>
      </c>
      <c r="C2146" s="10" t="s">
        <v>2188</v>
      </c>
      <c r="D2146" s="10" t="s">
        <v>10</v>
      </c>
      <c r="E2146" s="10" t="s">
        <v>15</v>
      </c>
      <c r="F2146" s="10" t="s">
        <v>23</v>
      </c>
      <c r="G2146" s="10" t="s">
        <v>7</v>
      </c>
      <c r="H2146" s="10" t="s">
        <v>16</v>
      </c>
      <c r="I2146" s="45">
        <v>483</v>
      </c>
      <c r="J2146" s="11">
        <v>0</v>
      </c>
      <c r="K2146" s="45">
        <f t="shared" si="232"/>
        <v>483</v>
      </c>
      <c r="L2146" s="10">
        <v>47</v>
      </c>
      <c r="M2146" s="10"/>
      <c r="N2146" s="10" t="b">
        <v>0</v>
      </c>
      <c r="O2146" s="41"/>
      <c r="P2146" s="45">
        <f t="shared" si="233"/>
        <v>202.85999999999999</v>
      </c>
      <c r="Q2146" s="45">
        <f t="shared" si="234"/>
        <v>280.14</v>
      </c>
      <c r="R2146" s="45">
        <v>0</v>
      </c>
      <c r="S2146" s="45">
        <f t="shared" si="235"/>
        <v>0</v>
      </c>
      <c r="T2146" s="45">
        <f t="shared" si="236"/>
        <v>0</v>
      </c>
      <c r="U2146" s="47">
        <f t="shared" si="237"/>
        <v>280.14</v>
      </c>
    </row>
    <row r="2147" spans="1:21" x14ac:dyDescent="0.3">
      <c r="A2147" s="41" t="str">
        <f t="shared" si="231"/>
        <v>PUNIBO</v>
      </c>
      <c r="B2147" s="43">
        <v>45956</v>
      </c>
      <c r="C2147" s="10" t="s">
        <v>2189</v>
      </c>
      <c r="D2147" s="10" t="s">
        <v>10</v>
      </c>
      <c r="E2147" s="10" t="s">
        <v>26</v>
      </c>
      <c r="F2147" s="10" t="s">
        <v>54</v>
      </c>
      <c r="G2147" s="10" t="s">
        <v>46</v>
      </c>
      <c r="H2147" s="10" t="s">
        <v>13</v>
      </c>
      <c r="I2147" s="45">
        <v>2876</v>
      </c>
      <c r="J2147" s="11">
        <v>0</v>
      </c>
      <c r="K2147" s="45">
        <f t="shared" si="232"/>
        <v>2876</v>
      </c>
      <c r="L2147" s="10">
        <v>43</v>
      </c>
      <c r="M2147" s="10">
        <v>4.4000000000000004</v>
      </c>
      <c r="N2147" s="10" t="b">
        <v>1</v>
      </c>
      <c r="O2147" s="41" t="s">
        <v>50</v>
      </c>
      <c r="P2147" s="45">
        <f t="shared" si="233"/>
        <v>1207.9199999999998</v>
      </c>
      <c r="Q2147" s="45">
        <f t="shared" si="234"/>
        <v>1668.0800000000002</v>
      </c>
      <c r="R2147" s="45">
        <v>150</v>
      </c>
      <c r="S2147" s="45">
        <f t="shared" si="235"/>
        <v>287.60000000000002</v>
      </c>
      <c r="T2147" s="45">
        <f t="shared" si="236"/>
        <v>2876</v>
      </c>
      <c r="U2147" s="47">
        <f t="shared" si="237"/>
        <v>-1645.52</v>
      </c>
    </row>
    <row r="2148" spans="1:21" x14ac:dyDescent="0.3">
      <c r="A2148" s="41" t="str">
        <f t="shared" si="231"/>
        <v>PGAPAC</v>
      </c>
      <c r="B2148" s="43">
        <v>45956</v>
      </c>
      <c r="C2148" s="10" t="s">
        <v>2190</v>
      </c>
      <c r="D2148" s="10" t="s">
        <v>53</v>
      </c>
      <c r="E2148" s="10" t="s">
        <v>15</v>
      </c>
      <c r="F2148" s="10" t="s">
        <v>4</v>
      </c>
      <c r="G2148" s="10" t="s">
        <v>7</v>
      </c>
      <c r="H2148" s="10" t="s">
        <v>58</v>
      </c>
      <c r="I2148" s="45">
        <v>218</v>
      </c>
      <c r="J2148" s="11">
        <v>0</v>
      </c>
      <c r="K2148" s="45">
        <f t="shared" si="232"/>
        <v>218</v>
      </c>
      <c r="L2148" s="10">
        <v>17</v>
      </c>
      <c r="M2148" s="10">
        <v>2.9</v>
      </c>
      <c r="N2148" s="10" t="b">
        <v>1</v>
      </c>
      <c r="O2148" s="41" t="s">
        <v>44</v>
      </c>
      <c r="P2148" s="45">
        <f t="shared" si="233"/>
        <v>91.56</v>
      </c>
      <c r="Q2148" s="45">
        <f t="shared" si="234"/>
        <v>126.44</v>
      </c>
      <c r="R2148" s="45">
        <v>150</v>
      </c>
      <c r="S2148" s="45">
        <f t="shared" si="235"/>
        <v>21.8</v>
      </c>
      <c r="T2148" s="45">
        <f t="shared" si="236"/>
        <v>218</v>
      </c>
      <c r="U2148" s="47">
        <f t="shared" si="237"/>
        <v>-263.36</v>
      </c>
    </row>
    <row r="2149" spans="1:21" x14ac:dyDescent="0.3">
      <c r="A2149" s="41" t="str">
        <f t="shared" si="231"/>
        <v>PBANDR</v>
      </c>
      <c r="B2149" s="43">
        <v>45956</v>
      </c>
      <c r="C2149" s="10" t="s">
        <v>2191</v>
      </c>
      <c r="D2149" s="10" t="s">
        <v>21</v>
      </c>
      <c r="E2149" s="10" t="s">
        <v>30</v>
      </c>
      <c r="F2149" s="10" t="s">
        <v>23</v>
      </c>
      <c r="G2149" s="10" t="s">
        <v>49</v>
      </c>
      <c r="H2149" s="10" t="s">
        <v>56</v>
      </c>
      <c r="I2149" s="45">
        <v>2606</v>
      </c>
      <c r="J2149" s="11">
        <v>8.900000000000001E-2</v>
      </c>
      <c r="K2149" s="45">
        <f t="shared" si="232"/>
        <v>2374.0660000000003</v>
      </c>
      <c r="L2149" s="10">
        <v>19</v>
      </c>
      <c r="M2149" s="10">
        <v>2.2000000000000002</v>
      </c>
      <c r="N2149" s="10" t="b">
        <v>0</v>
      </c>
      <c r="O2149" s="41"/>
      <c r="P2149" s="45">
        <f t="shared" si="233"/>
        <v>997.10772000000009</v>
      </c>
      <c r="Q2149" s="45">
        <f t="shared" si="234"/>
        <v>1376.9582800000003</v>
      </c>
      <c r="R2149" s="45">
        <v>0</v>
      </c>
      <c r="S2149" s="45">
        <f t="shared" si="235"/>
        <v>0</v>
      </c>
      <c r="T2149" s="45">
        <f t="shared" si="236"/>
        <v>0</v>
      </c>
      <c r="U2149" s="47">
        <f t="shared" si="237"/>
        <v>1376.9582800000003</v>
      </c>
    </row>
    <row r="2150" spans="1:21" x14ac:dyDescent="0.3">
      <c r="A2150" s="41" t="str">
        <f t="shared" si="231"/>
        <v>PBANOU</v>
      </c>
      <c r="B2150" s="43">
        <v>45957</v>
      </c>
      <c r="C2150" s="10" t="s">
        <v>2192</v>
      </c>
      <c r="D2150" s="10" t="s">
        <v>21</v>
      </c>
      <c r="E2150" s="10" t="s">
        <v>2</v>
      </c>
      <c r="F2150" s="10" t="s">
        <v>11</v>
      </c>
      <c r="G2150" s="10" t="s">
        <v>49</v>
      </c>
      <c r="H2150" s="10" t="s">
        <v>47</v>
      </c>
      <c r="I2150" s="45">
        <v>3971</v>
      </c>
      <c r="J2150" s="11">
        <v>0.377</v>
      </c>
      <c r="K2150" s="45">
        <f t="shared" si="232"/>
        <v>2473.933</v>
      </c>
      <c r="L2150" s="10">
        <v>6</v>
      </c>
      <c r="M2150" s="10"/>
      <c r="N2150" s="10" t="b">
        <v>1</v>
      </c>
      <c r="O2150" s="41" t="s">
        <v>50</v>
      </c>
      <c r="P2150" s="45">
        <f t="shared" si="233"/>
        <v>1039.05186</v>
      </c>
      <c r="Q2150" s="45">
        <f t="shared" si="234"/>
        <v>1434.88114</v>
      </c>
      <c r="R2150" s="45">
        <v>150</v>
      </c>
      <c r="S2150" s="45">
        <f t="shared" si="235"/>
        <v>247.39330000000001</v>
      </c>
      <c r="T2150" s="45">
        <f t="shared" si="236"/>
        <v>2473.933</v>
      </c>
      <c r="U2150" s="47">
        <f t="shared" si="237"/>
        <v>-1436.44516</v>
      </c>
    </row>
    <row r="2151" spans="1:21" x14ac:dyDescent="0.3">
      <c r="A2151" s="41" t="str">
        <f t="shared" si="231"/>
        <v>PGAPAC</v>
      </c>
      <c r="B2151" s="43">
        <v>45957</v>
      </c>
      <c r="C2151" s="10" t="s">
        <v>2193</v>
      </c>
      <c r="D2151" s="10" t="s">
        <v>53</v>
      </c>
      <c r="E2151" s="10" t="s">
        <v>15</v>
      </c>
      <c r="F2151" s="10" t="s">
        <v>54</v>
      </c>
      <c r="G2151" s="10" t="s">
        <v>7</v>
      </c>
      <c r="H2151" s="10" t="s">
        <v>28</v>
      </c>
      <c r="I2151" s="45">
        <v>376</v>
      </c>
      <c r="J2151" s="11">
        <v>0</v>
      </c>
      <c r="K2151" s="45">
        <f t="shared" si="232"/>
        <v>376</v>
      </c>
      <c r="L2151" s="10">
        <v>22</v>
      </c>
      <c r="M2151" s="10">
        <v>5</v>
      </c>
      <c r="N2151" s="10" t="b">
        <v>0</v>
      </c>
      <c r="O2151" s="41"/>
      <c r="P2151" s="45">
        <f t="shared" si="233"/>
        <v>157.91999999999999</v>
      </c>
      <c r="Q2151" s="45">
        <f t="shared" si="234"/>
        <v>218.08</v>
      </c>
      <c r="R2151" s="45">
        <v>0</v>
      </c>
      <c r="S2151" s="45">
        <f t="shared" si="235"/>
        <v>0</v>
      </c>
      <c r="T2151" s="45">
        <f t="shared" si="236"/>
        <v>0</v>
      </c>
      <c r="U2151" s="47">
        <f t="shared" si="237"/>
        <v>218.08</v>
      </c>
    </row>
    <row r="2152" spans="1:21" x14ac:dyDescent="0.3">
      <c r="A2152" s="41" t="str">
        <f t="shared" si="231"/>
        <v>PH&amp;MDR</v>
      </c>
      <c r="B2152" s="43">
        <v>45957</v>
      </c>
      <c r="C2152" s="10" t="s">
        <v>2194</v>
      </c>
      <c r="D2152" s="10" t="s">
        <v>37</v>
      </c>
      <c r="E2152" s="10" t="s">
        <v>30</v>
      </c>
      <c r="F2152" s="10" t="s">
        <v>23</v>
      </c>
      <c r="G2152" s="10" t="s">
        <v>5</v>
      </c>
      <c r="H2152" s="10" t="s">
        <v>32</v>
      </c>
      <c r="I2152" s="45">
        <v>2550</v>
      </c>
      <c r="J2152" s="11">
        <v>0.55299999999999994</v>
      </c>
      <c r="K2152" s="45">
        <f t="shared" si="232"/>
        <v>1139.8500000000001</v>
      </c>
      <c r="L2152" s="10">
        <v>12</v>
      </c>
      <c r="M2152" s="10">
        <v>3.2</v>
      </c>
      <c r="N2152" s="10" t="b">
        <v>0</v>
      </c>
      <c r="O2152" s="41"/>
      <c r="P2152" s="45">
        <f t="shared" si="233"/>
        <v>478.73700000000002</v>
      </c>
      <c r="Q2152" s="45">
        <f t="shared" si="234"/>
        <v>661.11300000000006</v>
      </c>
      <c r="R2152" s="45">
        <v>0</v>
      </c>
      <c r="S2152" s="45">
        <f t="shared" si="235"/>
        <v>0</v>
      </c>
      <c r="T2152" s="45">
        <f t="shared" si="236"/>
        <v>0</v>
      </c>
      <c r="U2152" s="47">
        <f t="shared" si="237"/>
        <v>661.11300000000006</v>
      </c>
    </row>
    <row r="2153" spans="1:21" x14ac:dyDescent="0.3">
      <c r="A2153" s="41" t="str">
        <f t="shared" si="231"/>
        <v>PANNBO</v>
      </c>
      <c r="B2153" s="43">
        <v>45957</v>
      </c>
      <c r="C2153" s="10" t="s">
        <v>2195</v>
      </c>
      <c r="D2153" s="10" t="s">
        <v>42</v>
      </c>
      <c r="E2153" s="10" t="s">
        <v>26</v>
      </c>
      <c r="F2153" s="10" t="s">
        <v>23</v>
      </c>
      <c r="G2153" s="10" t="s">
        <v>27</v>
      </c>
      <c r="H2153" s="10" t="s">
        <v>88</v>
      </c>
      <c r="I2153" s="45">
        <v>2191</v>
      </c>
      <c r="J2153" s="11">
        <v>0.435</v>
      </c>
      <c r="K2153" s="45">
        <f t="shared" si="232"/>
        <v>1237.915</v>
      </c>
      <c r="L2153" s="10">
        <v>22</v>
      </c>
      <c r="M2153" s="10">
        <v>4.8</v>
      </c>
      <c r="N2153" s="10" t="b">
        <v>1</v>
      </c>
      <c r="O2153" s="41" t="s">
        <v>19</v>
      </c>
      <c r="P2153" s="45">
        <f t="shared" si="233"/>
        <v>519.92430000000002</v>
      </c>
      <c r="Q2153" s="45">
        <f t="shared" si="234"/>
        <v>717.99069999999995</v>
      </c>
      <c r="R2153" s="45">
        <v>150</v>
      </c>
      <c r="S2153" s="45">
        <f t="shared" si="235"/>
        <v>123.7915</v>
      </c>
      <c r="T2153" s="45">
        <f t="shared" si="236"/>
        <v>1237.915</v>
      </c>
      <c r="U2153" s="47">
        <f t="shared" si="237"/>
        <v>-793.71579999999994</v>
      </c>
    </row>
    <row r="2154" spans="1:21" x14ac:dyDescent="0.3">
      <c r="A2154" s="41" t="str">
        <f t="shared" si="231"/>
        <v>PUNIAC</v>
      </c>
      <c r="B2154" s="43">
        <v>45958</v>
      </c>
      <c r="C2154" s="10" t="s">
        <v>2196</v>
      </c>
      <c r="D2154" s="10" t="s">
        <v>10</v>
      </c>
      <c r="E2154" s="10" t="s">
        <v>15</v>
      </c>
      <c r="F2154" s="10" t="s">
        <v>4</v>
      </c>
      <c r="G2154" s="10" t="s">
        <v>7</v>
      </c>
      <c r="H2154" s="10" t="s">
        <v>88</v>
      </c>
      <c r="I2154" s="45">
        <v>289</v>
      </c>
      <c r="J2154" s="11">
        <v>0.36799999999999999</v>
      </c>
      <c r="K2154" s="45">
        <f t="shared" si="232"/>
        <v>182.648</v>
      </c>
      <c r="L2154" s="10">
        <v>46</v>
      </c>
      <c r="M2154" s="10">
        <v>2.2999999999999998</v>
      </c>
      <c r="N2154" s="10" t="b">
        <v>1</v>
      </c>
      <c r="O2154" s="41" t="s">
        <v>33</v>
      </c>
      <c r="P2154" s="45">
        <f t="shared" si="233"/>
        <v>76.712159999999997</v>
      </c>
      <c r="Q2154" s="45">
        <f t="shared" si="234"/>
        <v>105.93584</v>
      </c>
      <c r="R2154" s="45">
        <v>150</v>
      </c>
      <c r="S2154" s="45">
        <f t="shared" si="235"/>
        <v>18.264800000000001</v>
      </c>
      <c r="T2154" s="45">
        <f t="shared" si="236"/>
        <v>182.648</v>
      </c>
      <c r="U2154" s="47">
        <f t="shared" si="237"/>
        <v>-244.97695999999999</v>
      </c>
    </row>
    <row r="2155" spans="1:21" x14ac:dyDescent="0.3">
      <c r="A2155" s="41" t="str">
        <f t="shared" si="231"/>
        <v>PGAPTO</v>
      </c>
      <c r="B2155" s="43">
        <v>45958</v>
      </c>
      <c r="C2155" s="10" t="s">
        <v>2197</v>
      </c>
      <c r="D2155" s="10" t="s">
        <v>53</v>
      </c>
      <c r="E2155" s="10" t="s">
        <v>9</v>
      </c>
      <c r="F2155" s="10" t="s">
        <v>23</v>
      </c>
      <c r="G2155" s="10" t="s">
        <v>5</v>
      </c>
      <c r="H2155" s="10" t="s">
        <v>16</v>
      </c>
      <c r="I2155" s="45">
        <v>1546</v>
      </c>
      <c r="J2155" s="11">
        <v>0.51800000000000002</v>
      </c>
      <c r="K2155" s="45">
        <f t="shared" si="232"/>
        <v>745.17200000000003</v>
      </c>
      <c r="L2155" s="10">
        <v>43</v>
      </c>
      <c r="M2155" s="10">
        <v>5</v>
      </c>
      <c r="N2155" s="10" t="b">
        <v>0</v>
      </c>
      <c r="O2155" s="41"/>
      <c r="P2155" s="45">
        <f t="shared" si="233"/>
        <v>312.97224</v>
      </c>
      <c r="Q2155" s="45">
        <f t="shared" si="234"/>
        <v>432.19976000000003</v>
      </c>
      <c r="R2155" s="45">
        <v>0</v>
      </c>
      <c r="S2155" s="45">
        <f t="shared" si="235"/>
        <v>0</v>
      </c>
      <c r="T2155" s="45">
        <f t="shared" si="236"/>
        <v>0</v>
      </c>
      <c r="U2155" s="47">
        <f t="shared" si="237"/>
        <v>432.19976000000003</v>
      </c>
    </row>
    <row r="2156" spans="1:21" x14ac:dyDescent="0.3">
      <c r="A2156" s="41" t="str">
        <f t="shared" si="231"/>
        <v>PUNISH</v>
      </c>
      <c r="B2156" s="43">
        <v>45958</v>
      </c>
      <c r="C2156" s="10" t="s">
        <v>2198</v>
      </c>
      <c r="D2156" s="10" t="s">
        <v>10</v>
      </c>
      <c r="E2156" s="10" t="s">
        <v>18</v>
      </c>
      <c r="F2156" s="10" t="s">
        <v>54</v>
      </c>
      <c r="G2156" s="10" t="s">
        <v>27</v>
      </c>
      <c r="H2156" s="10" t="s">
        <v>16</v>
      </c>
      <c r="I2156" s="45">
        <v>3586</v>
      </c>
      <c r="J2156" s="11">
        <v>0.192</v>
      </c>
      <c r="K2156" s="45">
        <f t="shared" si="232"/>
        <v>2897.4880000000003</v>
      </c>
      <c r="L2156" s="10">
        <v>38</v>
      </c>
      <c r="M2156" s="10"/>
      <c r="N2156" s="10" t="b">
        <v>1</v>
      </c>
      <c r="O2156" s="41" t="s">
        <v>44</v>
      </c>
      <c r="P2156" s="45">
        <f t="shared" si="233"/>
        <v>1216.94496</v>
      </c>
      <c r="Q2156" s="45">
        <f t="shared" si="234"/>
        <v>1680.5430400000002</v>
      </c>
      <c r="R2156" s="45">
        <v>150</v>
      </c>
      <c r="S2156" s="45">
        <f t="shared" si="235"/>
        <v>289.74880000000002</v>
      </c>
      <c r="T2156" s="45">
        <f t="shared" si="236"/>
        <v>2897.4880000000003</v>
      </c>
      <c r="U2156" s="47">
        <f t="shared" si="237"/>
        <v>-1656.6937600000001</v>
      </c>
    </row>
    <row r="2157" spans="1:21" x14ac:dyDescent="0.3">
      <c r="A2157" s="41" t="str">
        <f t="shared" si="231"/>
        <v>PGAPBO</v>
      </c>
      <c r="B2157" s="43">
        <v>45958</v>
      </c>
      <c r="C2157" s="10" t="s">
        <v>2199</v>
      </c>
      <c r="D2157" s="10" t="s">
        <v>53</v>
      </c>
      <c r="E2157" s="10" t="s">
        <v>26</v>
      </c>
      <c r="F2157" s="10" t="s">
        <v>11</v>
      </c>
      <c r="G2157" s="10" t="s">
        <v>7</v>
      </c>
      <c r="H2157" s="10" t="s">
        <v>35</v>
      </c>
      <c r="I2157" s="45">
        <v>2290</v>
      </c>
      <c r="J2157" s="11">
        <v>0.152</v>
      </c>
      <c r="K2157" s="45">
        <f t="shared" si="232"/>
        <v>1941.9199999999998</v>
      </c>
      <c r="L2157" s="10">
        <v>25</v>
      </c>
      <c r="M2157" s="10">
        <v>3.6</v>
      </c>
      <c r="N2157" s="10" t="b">
        <v>0</v>
      </c>
      <c r="O2157" s="41"/>
      <c r="P2157" s="45">
        <f t="shared" si="233"/>
        <v>815.60639999999989</v>
      </c>
      <c r="Q2157" s="45">
        <f t="shared" si="234"/>
        <v>1126.3136</v>
      </c>
      <c r="R2157" s="45">
        <v>0</v>
      </c>
      <c r="S2157" s="45">
        <f t="shared" si="235"/>
        <v>0</v>
      </c>
      <c r="T2157" s="45">
        <f t="shared" si="236"/>
        <v>0</v>
      </c>
      <c r="U2157" s="47">
        <f t="shared" si="237"/>
        <v>1126.3136</v>
      </c>
    </row>
    <row r="2158" spans="1:21" x14ac:dyDescent="0.3">
      <c r="A2158" s="41" t="str">
        <f t="shared" si="231"/>
        <v>PFORDR</v>
      </c>
      <c r="B2158" s="43">
        <v>45959</v>
      </c>
      <c r="C2158" s="10" t="s">
        <v>2200</v>
      </c>
      <c r="D2158" s="10" t="s">
        <v>65</v>
      </c>
      <c r="E2158" s="10" t="s">
        <v>30</v>
      </c>
      <c r="F2158" s="10" t="s">
        <v>54</v>
      </c>
      <c r="G2158" s="10" t="s">
        <v>49</v>
      </c>
      <c r="H2158" s="10" t="s">
        <v>16</v>
      </c>
      <c r="I2158" s="45">
        <v>2660</v>
      </c>
      <c r="J2158" s="11">
        <v>0</v>
      </c>
      <c r="K2158" s="45">
        <f t="shared" si="232"/>
        <v>2660</v>
      </c>
      <c r="L2158" s="10">
        <v>50</v>
      </c>
      <c r="M2158" s="10">
        <v>3.1</v>
      </c>
      <c r="N2158" s="10" t="b">
        <v>0</v>
      </c>
      <c r="O2158" s="41"/>
      <c r="P2158" s="45">
        <f t="shared" si="233"/>
        <v>1117.2</v>
      </c>
      <c r="Q2158" s="45">
        <f t="shared" si="234"/>
        <v>1542.8</v>
      </c>
      <c r="R2158" s="45">
        <v>0</v>
      </c>
      <c r="S2158" s="45">
        <f t="shared" si="235"/>
        <v>0</v>
      </c>
      <c r="T2158" s="45">
        <f t="shared" si="236"/>
        <v>0</v>
      </c>
      <c r="U2158" s="47">
        <f t="shared" si="237"/>
        <v>1542.8</v>
      </c>
    </row>
    <row r="2159" spans="1:21" x14ac:dyDescent="0.3">
      <c r="A2159" s="41" t="str">
        <f t="shared" si="231"/>
        <v>PANNAC</v>
      </c>
      <c r="B2159" s="43">
        <v>45959</v>
      </c>
      <c r="C2159" s="10" t="s">
        <v>2201</v>
      </c>
      <c r="D2159" s="10" t="s">
        <v>42</v>
      </c>
      <c r="E2159" s="10" t="s">
        <v>15</v>
      </c>
      <c r="F2159" s="10" t="s">
        <v>4</v>
      </c>
      <c r="G2159" s="10" t="s">
        <v>7</v>
      </c>
      <c r="H2159" s="10" t="s">
        <v>58</v>
      </c>
      <c r="I2159" s="45">
        <v>286</v>
      </c>
      <c r="J2159" s="11">
        <v>0.46899999999999997</v>
      </c>
      <c r="K2159" s="45">
        <f t="shared" si="232"/>
        <v>151.86600000000001</v>
      </c>
      <c r="L2159" s="10">
        <v>26</v>
      </c>
      <c r="M2159" s="10">
        <v>3.8</v>
      </c>
      <c r="N2159" s="10" t="b">
        <v>0</v>
      </c>
      <c r="O2159" s="41"/>
      <c r="P2159" s="45">
        <f t="shared" si="233"/>
        <v>63.783720000000002</v>
      </c>
      <c r="Q2159" s="45">
        <f t="shared" si="234"/>
        <v>88.082280000000011</v>
      </c>
      <c r="R2159" s="45">
        <v>0</v>
      </c>
      <c r="S2159" s="45">
        <f t="shared" si="235"/>
        <v>0</v>
      </c>
      <c r="T2159" s="45">
        <f t="shared" si="236"/>
        <v>0</v>
      </c>
      <c r="U2159" s="47">
        <f t="shared" si="237"/>
        <v>88.082280000000011</v>
      </c>
    </row>
    <row r="2160" spans="1:21" x14ac:dyDescent="0.3">
      <c r="A2160" s="41" t="str">
        <f t="shared" si="231"/>
        <v>PGAPDR</v>
      </c>
      <c r="B2160" s="43">
        <v>45959</v>
      </c>
      <c r="C2160" s="10" t="s">
        <v>2202</v>
      </c>
      <c r="D2160" s="10" t="s">
        <v>53</v>
      </c>
      <c r="E2160" s="10" t="s">
        <v>30</v>
      </c>
      <c r="F2160" s="10" t="s">
        <v>11</v>
      </c>
      <c r="G2160" s="10" t="s">
        <v>38</v>
      </c>
      <c r="H2160" s="10" t="s">
        <v>28</v>
      </c>
      <c r="I2160" s="45">
        <v>2361</v>
      </c>
      <c r="J2160" s="11">
        <v>0</v>
      </c>
      <c r="K2160" s="45">
        <f t="shared" si="232"/>
        <v>2361</v>
      </c>
      <c r="L2160" s="10">
        <v>26</v>
      </c>
      <c r="M2160" s="10">
        <v>4.3</v>
      </c>
      <c r="N2160" s="10" t="b">
        <v>0</v>
      </c>
      <c r="O2160" s="41"/>
      <c r="P2160" s="45">
        <f t="shared" si="233"/>
        <v>991.62</v>
      </c>
      <c r="Q2160" s="45">
        <f t="shared" si="234"/>
        <v>1369.38</v>
      </c>
      <c r="R2160" s="45">
        <v>0</v>
      </c>
      <c r="S2160" s="45">
        <f t="shared" si="235"/>
        <v>0</v>
      </c>
      <c r="T2160" s="45">
        <f t="shared" si="236"/>
        <v>0</v>
      </c>
      <c r="U2160" s="47">
        <f t="shared" si="237"/>
        <v>1369.38</v>
      </c>
    </row>
    <row r="2161" spans="1:21" x14ac:dyDescent="0.3">
      <c r="A2161" s="41" t="str">
        <f t="shared" si="231"/>
        <v>PZAROU</v>
      </c>
      <c r="B2161" s="43">
        <v>45960</v>
      </c>
      <c r="C2161" s="10" t="s">
        <v>2203</v>
      </c>
      <c r="D2161" s="10" t="s">
        <v>3</v>
      </c>
      <c r="E2161" s="10" t="s">
        <v>2</v>
      </c>
      <c r="F2161" s="10" t="s">
        <v>54</v>
      </c>
      <c r="G2161" s="10" t="s">
        <v>38</v>
      </c>
      <c r="H2161" s="10" t="s">
        <v>43</v>
      </c>
      <c r="I2161" s="45">
        <v>3742</v>
      </c>
      <c r="J2161" s="11">
        <v>0</v>
      </c>
      <c r="K2161" s="45">
        <f t="shared" si="232"/>
        <v>3742</v>
      </c>
      <c r="L2161" s="10">
        <v>6</v>
      </c>
      <c r="M2161" s="10">
        <v>1.4</v>
      </c>
      <c r="N2161" s="10" t="b">
        <v>0</v>
      </c>
      <c r="O2161" s="41"/>
      <c r="P2161" s="45">
        <f t="shared" si="233"/>
        <v>1571.6399999999999</v>
      </c>
      <c r="Q2161" s="45">
        <f t="shared" si="234"/>
        <v>2170.36</v>
      </c>
      <c r="R2161" s="45">
        <v>0</v>
      </c>
      <c r="S2161" s="45">
        <f t="shared" si="235"/>
        <v>0</v>
      </c>
      <c r="T2161" s="45">
        <f t="shared" si="236"/>
        <v>0</v>
      </c>
      <c r="U2161" s="47">
        <f t="shared" si="237"/>
        <v>2170.36</v>
      </c>
    </row>
    <row r="2162" spans="1:21" x14ac:dyDescent="0.3">
      <c r="A2162" s="41" t="str">
        <f t="shared" si="231"/>
        <v>PMANDR</v>
      </c>
      <c r="B2162" s="43">
        <v>45960</v>
      </c>
      <c r="C2162" s="10" t="s">
        <v>2204</v>
      </c>
      <c r="D2162" s="10" t="s">
        <v>31</v>
      </c>
      <c r="E2162" s="10" t="s">
        <v>30</v>
      </c>
      <c r="F2162" s="10" t="s">
        <v>11</v>
      </c>
      <c r="G2162" s="10" t="s">
        <v>38</v>
      </c>
      <c r="H2162" s="10" t="s">
        <v>13</v>
      </c>
      <c r="I2162" s="45">
        <v>1943</v>
      </c>
      <c r="J2162" s="11">
        <v>0</v>
      </c>
      <c r="K2162" s="45">
        <f t="shared" si="232"/>
        <v>1943</v>
      </c>
      <c r="L2162" s="10">
        <v>40</v>
      </c>
      <c r="M2162" s="10">
        <v>2.2999999999999998</v>
      </c>
      <c r="N2162" s="10" t="b">
        <v>0</v>
      </c>
      <c r="O2162" s="41"/>
      <c r="P2162" s="45">
        <f t="shared" si="233"/>
        <v>816.06</v>
      </c>
      <c r="Q2162" s="45">
        <f t="shared" si="234"/>
        <v>1126.94</v>
      </c>
      <c r="R2162" s="45">
        <v>0</v>
      </c>
      <c r="S2162" s="45">
        <f t="shared" si="235"/>
        <v>0</v>
      </c>
      <c r="T2162" s="45">
        <f t="shared" si="236"/>
        <v>0</v>
      </c>
      <c r="U2162" s="47">
        <f t="shared" si="237"/>
        <v>1126.94</v>
      </c>
    </row>
    <row r="2163" spans="1:21" x14ac:dyDescent="0.3">
      <c r="A2163" s="41" t="str">
        <f t="shared" si="231"/>
        <v>PZARSH</v>
      </c>
      <c r="B2163" s="43">
        <v>45960</v>
      </c>
      <c r="C2163" s="10" t="s">
        <v>2205</v>
      </c>
      <c r="D2163" s="10" t="s">
        <v>3</v>
      </c>
      <c r="E2163" s="10" t="s">
        <v>18</v>
      </c>
      <c r="F2163" s="10" t="s">
        <v>54</v>
      </c>
      <c r="G2163" s="10" t="s">
        <v>12</v>
      </c>
      <c r="H2163" s="10" t="s">
        <v>35</v>
      </c>
      <c r="I2163" s="45">
        <v>3809</v>
      </c>
      <c r="J2163" s="11">
        <v>0</v>
      </c>
      <c r="K2163" s="45">
        <f t="shared" si="232"/>
        <v>3809</v>
      </c>
      <c r="L2163" s="10">
        <v>9</v>
      </c>
      <c r="M2163" s="10"/>
      <c r="N2163" s="10" t="b">
        <v>0</v>
      </c>
      <c r="O2163" s="41"/>
      <c r="P2163" s="45">
        <f t="shared" si="233"/>
        <v>1599.78</v>
      </c>
      <c r="Q2163" s="45">
        <f t="shared" si="234"/>
        <v>2209.2200000000003</v>
      </c>
      <c r="R2163" s="45">
        <v>0</v>
      </c>
      <c r="S2163" s="45">
        <f t="shared" si="235"/>
        <v>0</v>
      </c>
      <c r="T2163" s="45">
        <f t="shared" si="236"/>
        <v>0</v>
      </c>
      <c r="U2163" s="47">
        <f t="shared" si="237"/>
        <v>2209.2200000000003</v>
      </c>
    </row>
    <row r="2164" spans="1:21" x14ac:dyDescent="0.3">
      <c r="A2164" s="41" t="str">
        <f t="shared" si="231"/>
        <v>PGAPAC</v>
      </c>
      <c r="B2164" s="43">
        <v>45960</v>
      </c>
      <c r="C2164" s="10" t="s">
        <v>2206</v>
      </c>
      <c r="D2164" s="10" t="s">
        <v>53</v>
      </c>
      <c r="E2164" s="10" t="s">
        <v>15</v>
      </c>
      <c r="F2164" s="10" t="s">
        <v>4</v>
      </c>
      <c r="G2164" s="10" t="s">
        <v>7</v>
      </c>
      <c r="H2164" s="10" t="s">
        <v>16</v>
      </c>
      <c r="I2164" s="45">
        <v>422</v>
      </c>
      <c r="J2164" s="11">
        <v>0</v>
      </c>
      <c r="K2164" s="45">
        <f t="shared" si="232"/>
        <v>422</v>
      </c>
      <c r="L2164" s="10">
        <v>2</v>
      </c>
      <c r="M2164" s="10">
        <v>3.8</v>
      </c>
      <c r="N2164" s="10" t="b">
        <v>1</v>
      </c>
      <c r="O2164" s="41" t="s">
        <v>50</v>
      </c>
      <c r="P2164" s="45">
        <f t="shared" si="233"/>
        <v>177.23999999999998</v>
      </c>
      <c r="Q2164" s="45">
        <f t="shared" si="234"/>
        <v>244.76000000000002</v>
      </c>
      <c r="R2164" s="45">
        <v>150</v>
      </c>
      <c r="S2164" s="45">
        <f t="shared" si="235"/>
        <v>42.2</v>
      </c>
      <c r="T2164" s="45">
        <f t="shared" si="236"/>
        <v>422</v>
      </c>
      <c r="U2164" s="47">
        <f t="shared" si="237"/>
        <v>-369.44</v>
      </c>
    </row>
    <row r="2165" spans="1:21" x14ac:dyDescent="0.3">
      <c r="A2165" s="41" t="str">
        <f t="shared" si="231"/>
        <v>PH&amp;MSH</v>
      </c>
      <c r="B2165" s="43">
        <v>45961</v>
      </c>
      <c r="C2165" s="10" t="s">
        <v>2207</v>
      </c>
      <c r="D2165" s="10" t="s">
        <v>37</v>
      </c>
      <c r="E2165" s="10" t="s">
        <v>18</v>
      </c>
      <c r="F2165" s="10" t="s">
        <v>4</v>
      </c>
      <c r="G2165" s="10" t="s">
        <v>5</v>
      </c>
      <c r="H2165" s="10" t="s">
        <v>43</v>
      </c>
      <c r="I2165" s="45">
        <v>3863</v>
      </c>
      <c r="J2165" s="11">
        <v>0</v>
      </c>
      <c r="K2165" s="45">
        <f t="shared" si="232"/>
        <v>3863</v>
      </c>
      <c r="L2165" s="10">
        <v>46</v>
      </c>
      <c r="M2165" s="10">
        <v>2.6</v>
      </c>
      <c r="N2165" s="10" t="b">
        <v>0</v>
      </c>
      <c r="O2165" s="41"/>
      <c r="P2165" s="45">
        <f t="shared" si="233"/>
        <v>1622.46</v>
      </c>
      <c r="Q2165" s="45">
        <f t="shared" si="234"/>
        <v>2240.54</v>
      </c>
      <c r="R2165" s="45">
        <v>0</v>
      </c>
      <c r="S2165" s="45">
        <f t="shared" si="235"/>
        <v>0</v>
      </c>
      <c r="T2165" s="45">
        <f t="shared" si="236"/>
        <v>0</v>
      </c>
      <c r="U2165" s="47">
        <f t="shared" si="237"/>
        <v>2240.54</v>
      </c>
    </row>
    <row r="2166" spans="1:21" x14ac:dyDescent="0.3">
      <c r="A2166" s="41" t="str">
        <f t="shared" si="231"/>
        <v>PUNIAC</v>
      </c>
      <c r="B2166" s="43">
        <v>45961</v>
      </c>
      <c r="C2166" s="10" t="s">
        <v>2208</v>
      </c>
      <c r="D2166" s="10" t="s">
        <v>10</v>
      </c>
      <c r="E2166" s="10" t="s">
        <v>15</v>
      </c>
      <c r="F2166" s="10" t="s">
        <v>54</v>
      </c>
      <c r="G2166" s="10" t="s">
        <v>7</v>
      </c>
      <c r="H2166" s="10" t="s">
        <v>7</v>
      </c>
      <c r="I2166" s="45">
        <v>424</v>
      </c>
      <c r="J2166" s="11">
        <v>0.314</v>
      </c>
      <c r="K2166" s="45">
        <f t="shared" si="232"/>
        <v>290.86399999999998</v>
      </c>
      <c r="L2166" s="10">
        <v>40</v>
      </c>
      <c r="M2166" s="10">
        <v>2.4</v>
      </c>
      <c r="N2166" s="10" t="b">
        <v>0</v>
      </c>
      <c r="O2166" s="41"/>
      <c r="P2166" s="45">
        <f t="shared" si="233"/>
        <v>122.16287999999999</v>
      </c>
      <c r="Q2166" s="45">
        <f t="shared" si="234"/>
        <v>168.70112</v>
      </c>
      <c r="R2166" s="45">
        <v>0</v>
      </c>
      <c r="S2166" s="45">
        <f t="shared" si="235"/>
        <v>0</v>
      </c>
      <c r="T2166" s="45">
        <f t="shared" si="236"/>
        <v>0</v>
      </c>
      <c r="U2166" s="47">
        <f t="shared" si="237"/>
        <v>168.70112</v>
      </c>
    </row>
    <row r="2167" spans="1:21" x14ac:dyDescent="0.3">
      <c r="A2167" s="41" t="str">
        <f t="shared" si="231"/>
        <v>PBANAC</v>
      </c>
      <c r="B2167" s="43">
        <v>45961</v>
      </c>
      <c r="C2167" s="10" t="s">
        <v>2209</v>
      </c>
      <c r="D2167" s="10" t="s">
        <v>21</v>
      </c>
      <c r="E2167" s="10" t="s">
        <v>15</v>
      </c>
      <c r="F2167" s="10" t="s">
        <v>54</v>
      </c>
      <c r="G2167" s="10" t="s">
        <v>7</v>
      </c>
      <c r="H2167" s="10" t="s">
        <v>16</v>
      </c>
      <c r="I2167" s="45">
        <v>473</v>
      </c>
      <c r="J2167" s="11">
        <v>0</v>
      </c>
      <c r="K2167" s="45">
        <f t="shared" si="232"/>
        <v>473</v>
      </c>
      <c r="L2167" s="10">
        <v>6</v>
      </c>
      <c r="M2167" s="10">
        <v>4.9000000000000004</v>
      </c>
      <c r="N2167" s="10" t="b">
        <v>1</v>
      </c>
      <c r="O2167" s="41" t="s">
        <v>44</v>
      </c>
      <c r="P2167" s="45">
        <f t="shared" si="233"/>
        <v>198.66</v>
      </c>
      <c r="Q2167" s="45">
        <f t="shared" si="234"/>
        <v>274.34000000000003</v>
      </c>
      <c r="R2167" s="45">
        <v>150</v>
      </c>
      <c r="S2167" s="45">
        <f t="shared" si="235"/>
        <v>47.300000000000004</v>
      </c>
      <c r="T2167" s="45">
        <f t="shared" si="236"/>
        <v>473</v>
      </c>
      <c r="U2167" s="47">
        <f t="shared" si="237"/>
        <v>-395.96</v>
      </c>
    </row>
    <row r="2168" spans="1:21" x14ac:dyDescent="0.3">
      <c r="A2168" s="41" t="str">
        <f t="shared" si="231"/>
        <v>PBANSH</v>
      </c>
      <c r="B2168" s="43">
        <v>45962</v>
      </c>
      <c r="C2168" s="10" t="s">
        <v>2210</v>
      </c>
      <c r="D2168" s="10" t="s">
        <v>21</v>
      </c>
      <c r="E2168" s="10" t="s">
        <v>18</v>
      </c>
      <c r="F2168" s="10" t="s">
        <v>11</v>
      </c>
      <c r="G2168" s="10" t="s">
        <v>49</v>
      </c>
      <c r="H2168" s="10" t="s">
        <v>88</v>
      </c>
      <c r="I2168" s="45">
        <v>3857</v>
      </c>
      <c r="J2168" s="11">
        <v>0.16500000000000001</v>
      </c>
      <c r="K2168" s="45">
        <f t="shared" si="232"/>
        <v>3220.5949999999998</v>
      </c>
      <c r="L2168" s="10">
        <v>11</v>
      </c>
      <c r="M2168" s="10">
        <v>3</v>
      </c>
      <c r="N2168" s="10" t="b">
        <v>0</v>
      </c>
      <c r="O2168" s="41"/>
      <c r="P2168" s="45">
        <f t="shared" si="233"/>
        <v>1352.6498999999999</v>
      </c>
      <c r="Q2168" s="45">
        <f t="shared" si="234"/>
        <v>1867.9450999999999</v>
      </c>
      <c r="R2168" s="45">
        <v>0</v>
      </c>
      <c r="S2168" s="45">
        <f t="shared" si="235"/>
        <v>0</v>
      </c>
      <c r="T2168" s="45">
        <f t="shared" si="236"/>
        <v>0</v>
      </c>
      <c r="U2168" s="47">
        <f t="shared" si="237"/>
        <v>1867.9450999999999</v>
      </c>
    </row>
    <row r="2169" spans="1:21" x14ac:dyDescent="0.3">
      <c r="A2169" s="41" t="str">
        <f t="shared" si="231"/>
        <v>PH&amp;MSH</v>
      </c>
      <c r="B2169" s="43">
        <v>45962</v>
      </c>
      <c r="C2169" s="10" t="s">
        <v>2211</v>
      </c>
      <c r="D2169" s="10" t="s">
        <v>37</v>
      </c>
      <c r="E2169" s="10" t="s">
        <v>18</v>
      </c>
      <c r="F2169" s="10" t="s">
        <v>11</v>
      </c>
      <c r="G2169" s="10" t="s">
        <v>46</v>
      </c>
      <c r="H2169" s="10" t="s">
        <v>43</v>
      </c>
      <c r="I2169" s="45">
        <v>4008</v>
      </c>
      <c r="J2169" s="11">
        <v>0</v>
      </c>
      <c r="K2169" s="45">
        <f t="shared" si="232"/>
        <v>4008</v>
      </c>
      <c r="L2169" s="10">
        <v>27</v>
      </c>
      <c r="M2169" s="10">
        <v>3.3</v>
      </c>
      <c r="N2169" s="10" t="b">
        <v>0</v>
      </c>
      <c r="O2169" s="41"/>
      <c r="P2169" s="45">
        <f t="shared" si="233"/>
        <v>1683.36</v>
      </c>
      <c r="Q2169" s="45">
        <f t="shared" si="234"/>
        <v>2324.6400000000003</v>
      </c>
      <c r="R2169" s="45">
        <v>0</v>
      </c>
      <c r="S2169" s="45">
        <f t="shared" si="235"/>
        <v>0</v>
      </c>
      <c r="T2169" s="45">
        <f t="shared" si="236"/>
        <v>0</v>
      </c>
      <c r="U2169" s="47">
        <f t="shared" si="237"/>
        <v>2324.6400000000003</v>
      </c>
    </row>
    <row r="2170" spans="1:21" x14ac:dyDescent="0.3">
      <c r="A2170" s="41" t="str">
        <f t="shared" si="231"/>
        <v>PANNSH</v>
      </c>
      <c r="B2170" s="43">
        <v>45962</v>
      </c>
      <c r="C2170" s="10" t="s">
        <v>2212</v>
      </c>
      <c r="D2170" s="10" t="s">
        <v>42</v>
      </c>
      <c r="E2170" s="10" t="s">
        <v>18</v>
      </c>
      <c r="F2170" s="10" t="s">
        <v>11</v>
      </c>
      <c r="G2170" s="10" t="s">
        <v>7</v>
      </c>
      <c r="H2170" s="10" t="s">
        <v>47</v>
      </c>
      <c r="I2170" s="45">
        <v>3570</v>
      </c>
      <c r="J2170" s="11">
        <v>0</v>
      </c>
      <c r="K2170" s="45">
        <f t="shared" si="232"/>
        <v>3570</v>
      </c>
      <c r="L2170" s="10">
        <v>45</v>
      </c>
      <c r="M2170" s="10">
        <v>3.4</v>
      </c>
      <c r="N2170" s="10" t="b">
        <v>0</v>
      </c>
      <c r="O2170" s="41"/>
      <c r="P2170" s="45">
        <f t="shared" si="233"/>
        <v>1499.3999999999999</v>
      </c>
      <c r="Q2170" s="45">
        <f t="shared" si="234"/>
        <v>2070.6000000000004</v>
      </c>
      <c r="R2170" s="45">
        <v>0</v>
      </c>
      <c r="S2170" s="45">
        <f t="shared" si="235"/>
        <v>0</v>
      </c>
      <c r="T2170" s="45">
        <f t="shared" si="236"/>
        <v>0</v>
      </c>
      <c r="U2170" s="47">
        <f t="shared" si="237"/>
        <v>2070.6000000000004</v>
      </c>
    </row>
    <row r="2171" spans="1:21" x14ac:dyDescent="0.3">
      <c r="A2171" s="41" t="str">
        <f t="shared" si="231"/>
        <v>PUNIAC</v>
      </c>
      <c r="B2171" s="43">
        <v>45962</v>
      </c>
      <c r="C2171" s="10" t="s">
        <v>2213</v>
      </c>
      <c r="D2171" s="10" t="s">
        <v>10</v>
      </c>
      <c r="E2171" s="10" t="s">
        <v>15</v>
      </c>
      <c r="F2171" s="10" t="s">
        <v>4</v>
      </c>
      <c r="G2171" s="10" t="s">
        <v>7</v>
      </c>
      <c r="H2171" s="10" t="s">
        <v>47</v>
      </c>
      <c r="I2171" s="45">
        <v>357</v>
      </c>
      <c r="J2171" s="11">
        <v>0</v>
      </c>
      <c r="K2171" s="45">
        <f t="shared" si="232"/>
        <v>357</v>
      </c>
      <c r="L2171" s="10">
        <v>42</v>
      </c>
      <c r="M2171" s="10">
        <v>3.8</v>
      </c>
      <c r="N2171" s="10" t="b">
        <v>0</v>
      </c>
      <c r="O2171" s="41"/>
      <c r="P2171" s="45">
        <f t="shared" si="233"/>
        <v>149.94</v>
      </c>
      <c r="Q2171" s="45">
        <f t="shared" si="234"/>
        <v>207.06</v>
      </c>
      <c r="R2171" s="45">
        <v>0</v>
      </c>
      <c r="S2171" s="45">
        <f t="shared" si="235"/>
        <v>0</v>
      </c>
      <c r="T2171" s="45">
        <f t="shared" si="236"/>
        <v>0</v>
      </c>
      <c r="U2171" s="47">
        <f t="shared" si="237"/>
        <v>207.06</v>
      </c>
    </row>
    <row r="2172" spans="1:21" x14ac:dyDescent="0.3">
      <c r="A2172" s="41" t="str">
        <f t="shared" si="231"/>
        <v>PUNITO</v>
      </c>
      <c r="B2172" s="43">
        <v>45963</v>
      </c>
      <c r="C2172" s="10" t="s">
        <v>2214</v>
      </c>
      <c r="D2172" s="10" t="s">
        <v>10</v>
      </c>
      <c r="E2172" s="10" t="s">
        <v>9</v>
      </c>
      <c r="F2172" s="10" t="s">
        <v>11</v>
      </c>
      <c r="G2172" s="10" t="s">
        <v>5</v>
      </c>
      <c r="H2172" s="10" t="s">
        <v>16</v>
      </c>
      <c r="I2172" s="45">
        <v>1567</v>
      </c>
      <c r="J2172" s="11">
        <v>0</v>
      </c>
      <c r="K2172" s="45">
        <f t="shared" si="232"/>
        <v>1567</v>
      </c>
      <c r="L2172" s="10">
        <v>39</v>
      </c>
      <c r="M2172" s="10">
        <v>4.3</v>
      </c>
      <c r="N2172" s="10" t="b">
        <v>0</v>
      </c>
      <c r="O2172" s="41"/>
      <c r="P2172" s="45">
        <f t="shared" si="233"/>
        <v>658.14</v>
      </c>
      <c r="Q2172" s="45">
        <f t="shared" si="234"/>
        <v>908.86</v>
      </c>
      <c r="R2172" s="45">
        <v>0</v>
      </c>
      <c r="S2172" s="45">
        <f t="shared" si="235"/>
        <v>0</v>
      </c>
      <c r="T2172" s="45">
        <f t="shared" si="236"/>
        <v>0</v>
      </c>
      <c r="U2172" s="47">
        <f t="shared" si="237"/>
        <v>908.86</v>
      </c>
    </row>
    <row r="2173" spans="1:21" x14ac:dyDescent="0.3">
      <c r="A2173" s="41" t="str">
        <f t="shared" si="231"/>
        <v>PMANTO</v>
      </c>
      <c r="B2173" s="43">
        <v>45963</v>
      </c>
      <c r="C2173" s="10" t="s">
        <v>2215</v>
      </c>
      <c r="D2173" s="10" t="s">
        <v>31</v>
      </c>
      <c r="E2173" s="10" t="s">
        <v>9</v>
      </c>
      <c r="F2173" s="10" t="s">
        <v>54</v>
      </c>
      <c r="G2173" s="10" t="s">
        <v>5</v>
      </c>
      <c r="H2173" s="10" t="s">
        <v>16</v>
      </c>
      <c r="I2173" s="45">
        <v>1055</v>
      </c>
      <c r="J2173" s="11">
        <v>0</v>
      </c>
      <c r="K2173" s="45">
        <f t="shared" si="232"/>
        <v>1055</v>
      </c>
      <c r="L2173" s="10">
        <v>10</v>
      </c>
      <c r="M2173" s="10">
        <v>2.1</v>
      </c>
      <c r="N2173" s="10" t="b">
        <v>0</v>
      </c>
      <c r="O2173" s="41"/>
      <c r="P2173" s="45">
        <f t="shared" si="233"/>
        <v>443.09999999999997</v>
      </c>
      <c r="Q2173" s="45">
        <f t="shared" si="234"/>
        <v>611.90000000000009</v>
      </c>
      <c r="R2173" s="45">
        <v>0</v>
      </c>
      <c r="S2173" s="45">
        <f t="shared" si="235"/>
        <v>0</v>
      </c>
      <c r="T2173" s="45">
        <f t="shared" si="236"/>
        <v>0</v>
      </c>
      <c r="U2173" s="47">
        <f t="shared" si="237"/>
        <v>611.90000000000009</v>
      </c>
    </row>
    <row r="2174" spans="1:21" x14ac:dyDescent="0.3">
      <c r="A2174" s="41" t="str">
        <f t="shared" si="231"/>
        <v>PBANDR</v>
      </c>
      <c r="B2174" s="43">
        <v>45963</v>
      </c>
      <c r="C2174" s="10" t="s">
        <v>2216</v>
      </c>
      <c r="D2174" s="10" t="s">
        <v>21</v>
      </c>
      <c r="E2174" s="10" t="s">
        <v>30</v>
      </c>
      <c r="F2174" s="10" t="s">
        <v>11</v>
      </c>
      <c r="G2174" s="10" t="s">
        <v>12</v>
      </c>
      <c r="H2174" s="10" t="s">
        <v>88</v>
      </c>
      <c r="I2174" s="45">
        <v>2722</v>
      </c>
      <c r="J2174" s="11">
        <v>0</v>
      </c>
      <c r="K2174" s="45">
        <f t="shared" si="232"/>
        <v>2722</v>
      </c>
      <c r="L2174" s="10">
        <v>1</v>
      </c>
      <c r="M2174" s="10">
        <v>3.1</v>
      </c>
      <c r="N2174" s="10" t="b">
        <v>1</v>
      </c>
      <c r="O2174" s="41" t="s">
        <v>33</v>
      </c>
      <c r="P2174" s="45">
        <f t="shared" si="233"/>
        <v>1143.24</v>
      </c>
      <c r="Q2174" s="45">
        <f t="shared" si="234"/>
        <v>1578.76</v>
      </c>
      <c r="R2174" s="45">
        <v>150</v>
      </c>
      <c r="S2174" s="45">
        <f t="shared" si="235"/>
        <v>272.2</v>
      </c>
      <c r="T2174" s="45">
        <f t="shared" si="236"/>
        <v>2722</v>
      </c>
      <c r="U2174" s="47">
        <f t="shared" si="237"/>
        <v>-1565.44</v>
      </c>
    </row>
    <row r="2175" spans="1:21" x14ac:dyDescent="0.3">
      <c r="A2175" s="41" t="str">
        <f t="shared" si="231"/>
        <v>PBANAC</v>
      </c>
      <c r="B2175" s="43">
        <v>45963</v>
      </c>
      <c r="C2175" s="10" t="s">
        <v>2217</v>
      </c>
      <c r="D2175" s="10" t="s">
        <v>21</v>
      </c>
      <c r="E2175" s="10" t="s">
        <v>15</v>
      </c>
      <c r="F2175" s="10" t="s">
        <v>11</v>
      </c>
      <c r="G2175" s="10" t="s">
        <v>7</v>
      </c>
      <c r="H2175" s="10" t="s">
        <v>47</v>
      </c>
      <c r="I2175" s="45">
        <v>275</v>
      </c>
      <c r="J2175" s="11">
        <v>0.54799999999999993</v>
      </c>
      <c r="K2175" s="45">
        <f t="shared" si="232"/>
        <v>124.30000000000003</v>
      </c>
      <c r="L2175" s="10">
        <v>40</v>
      </c>
      <c r="M2175" s="10">
        <v>2.6</v>
      </c>
      <c r="N2175" s="10" t="b">
        <v>1</v>
      </c>
      <c r="O2175" s="41" t="s">
        <v>33</v>
      </c>
      <c r="P2175" s="45">
        <f t="shared" si="233"/>
        <v>52.20600000000001</v>
      </c>
      <c r="Q2175" s="45">
        <f t="shared" si="234"/>
        <v>72.094000000000023</v>
      </c>
      <c r="R2175" s="45">
        <v>150</v>
      </c>
      <c r="S2175" s="45">
        <f t="shared" si="235"/>
        <v>12.430000000000003</v>
      </c>
      <c r="T2175" s="45">
        <f t="shared" si="236"/>
        <v>124.30000000000003</v>
      </c>
      <c r="U2175" s="47">
        <f t="shared" si="237"/>
        <v>-214.63600000000002</v>
      </c>
    </row>
    <row r="2176" spans="1:21" x14ac:dyDescent="0.3">
      <c r="A2176" s="41" t="str">
        <f t="shared" si="231"/>
        <v>PANNBO</v>
      </c>
      <c r="B2176" s="43">
        <v>45964</v>
      </c>
      <c r="C2176" s="10" t="s">
        <v>2218</v>
      </c>
      <c r="D2176" s="10" t="s">
        <v>42</v>
      </c>
      <c r="E2176" s="10" t="s">
        <v>26</v>
      </c>
      <c r="F2176" s="10" t="s">
        <v>54</v>
      </c>
      <c r="G2176" s="10" t="s">
        <v>5</v>
      </c>
      <c r="H2176" s="10" t="s">
        <v>13</v>
      </c>
      <c r="I2176" s="45">
        <v>2286</v>
      </c>
      <c r="J2176" s="11">
        <v>0</v>
      </c>
      <c r="K2176" s="45">
        <f t="shared" si="232"/>
        <v>2286</v>
      </c>
      <c r="L2176" s="10">
        <v>20</v>
      </c>
      <c r="M2176" s="10">
        <v>4.9000000000000004</v>
      </c>
      <c r="N2176" s="10" t="b">
        <v>0</v>
      </c>
      <c r="O2176" s="41"/>
      <c r="P2176" s="45">
        <f t="shared" si="233"/>
        <v>960.12</v>
      </c>
      <c r="Q2176" s="45">
        <f t="shared" si="234"/>
        <v>1325.88</v>
      </c>
      <c r="R2176" s="45">
        <v>0</v>
      </c>
      <c r="S2176" s="45">
        <f t="shared" si="235"/>
        <v>0</v>
      </c>
      <c r="T2176" s="45">
        <f t="shared" si="236"/>
        <v>0</v>
      </c>
      <c r="U2176" s="47">
        <f t="shared" si="237"/>
        <v>1325.88</v>
      </c>
    </row>
    <row r="2177" spans="1:21" x14ac:dyDescent="0.3">
      <c r="A2177" s="41" t="str">
        <f t="shared" si="231"/>
        <v>PANNSH</v>
      </c>
      <c r="B2177" s="43">
        <v>45964</v>
      </c>
      <c r="C2177" s="10" t="s">
        <v>2219</v>
      </c>
      <c r="D2177" s="10" t="s">
        <v>42</v>
      </c>
      <c r="E2177" s="10" t="s">
        <v>18</v>
      </c>
      <c r="F2177" s="10" t="s">
        <v>54</v>
      </c>
      <c r="G2177" s="10" t="s">
        <v>38</v>
      </c>
      <c r="H2177" s="10" t="s">
        <v>43</v>
      </c>
      <c r="I2177" s="45">
        <v>3677</v>
      </c>
      <c r="J2177" s="11">
        <v>0</v>
      </c>
      <c r="K2177" s="45">
        <f t="shared" si="232"/>
        <v>3677</v>
      </c>
      <c r="L2177" s="10">
        <v>23</v>
      </c>
      <c r="M2177" s="10">
        <v>1.3</v>
      </c>
      <c r="N2177" s="10" t="b">
        <v>1</v>
      </c>
      <c r="O2177" s="41" t="s">
        <v>44</v>
      </c>
      <c r="P2177" s="45">
        <f t="shared" si="233"/>
        <v>1544.34</v>
      </c>
      <c r="Q2177" s="45">
        <f t="shared" si="234"/>
        <v>2132.66</v>
      </c>
      <c r="R2177" s="45">
        <v>150</v>
      </c>
      <c r="S2177" s="45">
        <f t="shared" si="235"/>
        <v>367.70000000000005</v>
      </c>
      <c r="T2177" s="45">
        <f t="shared" si="236"/>
        <v>3677</v>
      </c>
      <c r="U2177" s="47">
        <f t="shared" si="237"/>
        <v>-2062.04</v>
      </c>
    </row>
    <row r="2178" spans="1:21" x14ac:dyDescent="0.3">
      <c r="B2178" s="44"/>
      <c r="Q2178" s="46">
        <f>SUM(Q2:Q2177)</f>
        <v>2537704.5804999955</v>
      </c>
      <c r="U2178" s="48">
        <f>SUM(U2:U2177)</f>
        <v>1021465.1045000014</v>
      </c>
    </row>
    <row r="2179" spans="1:21" x14ac:dyDescent="0.3">
      <c r="B2179" s="44"/>
    </row>
    <row r="2180" spans="1:21" x14ac:dyDescent="0.3">
      <c r="B2180" s="44"/>
    </row>
    <row r="2181" spans="1:21" x14ac:dyDescent="0.3">
      <c r="B2181" s="44"/>
    </row>
    <row r="2182" spans="1:21" x14ac:dyDescent="0.3">
      <c r="B2182" s="44"/>
      <c r="M2182" s="3">
        <f>(R2178+S2178+T2178)</f>
        <v>0</v>
      </c>
    </row>
    <row r="2183" spans="1:21" x14ac:dyDescent="0.3">
      <c r="B2183" s="44"/>
    </row>
    <row r="2184" spans="1:21" x14ac:dyDescent="0.3">
      <c r="B2184" s="44"/>
    </row>
    <row r="2185" spans="1:21" x14ac:dyDescent="0.3">
      <c r="B2185" s="44"/>
    </row>
    <row r="2186" spans="1:21" x14ac:dyDescent="0.3">
      <c r="B2186" s="44"/>
    </row>
    <row r="2187" spans="1:21" x14ac:dyDescent="0.3">
      <c r="B2187" s="44"/>
    </row>
    <row r="2188" spans="1:21" x14ac:dyDescent="0.3">
      <c r="B2188" s="44"/>
    </row>
    <row r="2189" spans="1:21" x14ac:dyDescent="0.3">
      <c r="B2189" s="44"/>
    </row>
    <row r="2190" spans="1:21" x14ac:dyDescent="0.3">
      <c r="B2190" s="44"/>
    </row>
    <row r="2191" spans="1:21" x14ac:dyDescent="0.3">
      <c r="B2191" s="44"/>
    </row>
    <row r="2192" spans="1:21" x14ac:dyDescent="0.3">
      <c r="B2192" s="44"/>
    </row>
    <row r="2193" spans="2:2" x14ac:dyDescent="0.3">
      <c r="B2193" s="44"/>
    </row>
    <row r="2194" spans="2:2" x14ac:dyDescent="0.3">
      <c r="B2194" s="44"/>
    </row>
    <row r="2195" spans="2:2" x14ac:dyDescent="0.3">
      <c r="B2195" s="44"/>
    </row>
    <row r="2196" spans="2:2" x14ac:dyDescent="0.3">
      <c r="B2196" s="44"/>
    </row>
    <row r="2197" spans="2:2" x14ac:dyDescent="0.3">
      <c r="B2197" s="44"/>
    </row>
    <row r="2198" spans="2:2" x14ac:dyDescent="0.3">
      <c r="B2198" s="44"/>
    </row>
    <row r="2199" spans="2:2" x14ac:dyDescent="0.3">
      <c r="B2199" s="44"/>
    </row>
    <row r="2200" spans="2:2" x14ac:dyDescent="0.3">
      <c r="B2200" s="44"/>
    </row>
    <row r="2201" spans="2:2" x14ac:dyDescent="0.3">
      <c r="B2201" s="44"/>
    </row>
    <row r="2202" spans="2:2" x14ac:dyDescent="0.3">
      <c r="B2202" s="44"/>
    </row>
    <row r="2203" spans="2:2" x14ac:dyDescent="0.3">
      <c r="B2203" s="44"/>
    </row>
    <row r="2204" spans="2:2" x14ac:dyDescent="0.3">
      <c r="B2204" s="44"/>
    </row>
    <row r="2205" spans="2:2" x14ac:dyDescent="0.3">
      <c r="B2205" s="44"/>
    </row>
    <row r="2206" spans="2:2" x14ac:dyDescent="0.3">
      <c r="B2206" s="44"/>
    </row>
    <row r="2207" spans="2:2" x14ac:dyDescent="0.3">
      <c r="B2207" s="44"/>
    </row>
    <row r="2208" spans="2:2" x14ac:dyDescent="0.3">
      <c r="B2208" s="44"/>
    </row>
    <row r="2209" spans="2:2" x14ac:dyDescent="0.3">
      <c r="B2209" s="44"/>
    </row>
    <row r="2210" spans="2:2" x14ac:dyDescent="0.3">
      <c r="B2210" s="44"/>
    </row>
    <row r="2211" spans="2:2" x14ac:dyDescent="0.3">
      <c r="B2211" s="44"/>
    </row>
    <row r="2212" spans="2:2" x14ac:dyDescent="0.3">
      <c r="B2212" s="44"/>
    </row>
    <row r="2213" spans="2:2" x14ac:dyDescent="0.3">
      <c r="B2213" s="44"/>
    </row>
    <row r="1048576" spans="17:17" x14ac:dyDescent="0.3">
      <c r="Q1048576" s="46">
        <f>SUM(Q2:Q1048575)</f>
        <v>5075409.160999991</v>
      </c>
    </row>
  </sheetData>
  <conditionalFormatting sqref="H1:H1048576">
    <cfRule type="containsText" dxfId="224" priority="3" operator="containsText" text="n/a">
      <formula>NOT(ISERROR(SEARCH("n/a",H1)))</formula>
    </cfRule>
  </conditionalFormatting>
  <conditionalFormatting sqref="O1:O1048576">
    <cfRule type="containsText" dxfId="223" priority="2" operator="containsText" text="UNDISC">
      <formula>NOT(ISERROR(SEARCH("UNDISC",O1)))</formula>
    </cfRule>
  </conditionalFormatting>
  <conditionalFormatting sqref="G1:G1048576">
    <cfRule type="containsText" dxfId="220" priority="1" operator="containsText" text="N/A">
      <formula>NOT(ISERROR(SEARCH("N/A",G1)))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TABLES</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Kasera</dc:creator>
  <cp:lastModifiedBy>priyanka k</cp:lastModifiedBy>
  <dcterms:created xsi:type="dcterms:W3CDTF">2026-03-22T17:47:56Z</dcterms:created>
  <dcterms:modified xsi:type="dcterms:W3CDTF">2026-03-26T04:35:49Z</dcterms:modified>
</cp:coreProperties>
</file>